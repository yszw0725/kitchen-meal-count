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プレビュー" sheetId="2" state="visible" r:id="rId4"/>
    <sheet name="月次集計" sheetId="3" state="visible" r:id="rId5"/>
    <sheet name="食数記録" sheetId="4" state="visible" r:id="rId6"/>
    <sheet name="職員食来客記録" sheetId="5" state="visible" r:id="rId7"/>
    <sheet name="利用者名簿" sheetId="6" state="visible" r:id="rId8"/>
    <sheet name="区分マスタ" sheetId="7" state="visible" r:id="rId9"/>
    <sheet name="内部計算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<sst xmlns="http://schemas.openxmlformats.org/spreadsheetml/2006/main" count="139" uniqueCount="112">
  <si>
    <r>
      <rPr>
        <b val="true"/>
        <sz val="16"/>
        <color rgb="FF2F5496"/>
        <rFont val="Noto Sans CJK SC"/>
        <family val="2"/>
      </rPr>
      <t xml:space="preserve">厨房食数管理 入力用</t>
    </r>
    <r>
      <rPr>
        <b val="true"/>
        <sz val="16"/>
        <color rgb="FF2F5496"/>
        <rFont val="游ゴシック"/>
        <family val="0"/>
        <charset val="1"/>
      </rPr>
      <t xml:space="preserve">Excel</t>
    </r>
    <r>
      <rPr>
        <b val="true"/>
        <sz val="16"/>
        <color rgb="FF2F5496"/>
        <rFont val="Noto Sans CJK SC"/>
        <family val="2"/>
      </rPr>
      <t xml:space="preserve">テンプレート（試作版）</t>
    </r>
  </si>
  <si>
    <t xml:space="preserve">■ このファイルの役割</t>
  </si>
  <si>
    <t xml:space="preserve">このファイルに入力した内容を、管理者画面から「アップロード」すると、厨房タブレットの食数表に反映されます。</t>
  </si>
  <si>
    <t xml:space="preserve">印刷は行いません。今まで通りの「欠食が出たら記入する」感覚で使えるよう設計しています。</t>
  </si>
  <si>
    <t xml:space="preserve">■ シートの説明</t>
  </si>
  <si>
    <r>
      <rPr>
        <sz val="11"/>
        <rFont val="Noto Sans CJK SC"/>
        <family val="2"/>
      </rPr>
      <t xml:space="preserve">・プレビュー　　　選んだ日付の厨房タブレット表示を簡易的に再現（</t>
    </r>
    <r>
      <rPr>
        <sz val="11"/>
        <rFont val="游ゴシック"/>
        <family val="0"/>
        <charset val="1"/>
      </rPr>
      <t xml:space="preserve">GH</t>
    </r>
    <r>
      <rPr>
        <sz val="11"/>
        <rFont val="Noto Sans CJK SC"/>
        <family val="2"/>
      </rPr>
      <t xml:space="preserve">の標準喫食ルールは含みません）</t>
    </r>
  </si>
  <si>
    <r>
      <rPr>
        <sz val="11"/>
        <rFont val="Noto Sans CJK SC"/>
        <family val="2"/>
      </rPr>
      <t xml:space="preserve">・月次集計　　　　月初の食単価清算用。対象月の朝昼夕それぞれの合計食数を自動集計（</t>
    </r>
    <r>
      <rPr>
        <sz val="11"/>
        <rFont val="游ゴシック"/>
        <family val="0"/>
        <charset val="1"/>
      </rPr>
      <t xml:space="preserve">GH</t>
    </r>
    <r>
      <rPr>
        <sz val="11"/>
        <rFont val="Noto Sans CJK SC"/>
        <family val="2"/>
      </rPr>
      <t xml:space="preserve">の標準喫食ルールを含む正式な集計）</t>
    </r>
  </si>
  <si>
    <r>
      <rPr>
        <sz val="11"/>
        <rFont val="Noto Sans CJK SC"/>
        <family val="2"/>
      </rPr>
      <t xml:space="preserve">・食数記録　　　　欠食者・臨時喫食者が出るたびに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行追加してください。</t>
    </r>
  </si>
  <si>
    <r>
      <rPr>
        <sz val="11"/>
        <rFont val="Noto Sans CJK SC"/>
        <family val="2"/>
      </rPr>
      <t xml:space="preserve">・職員食来客記録　職員食や来客が出た日だけ、日付と人数を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行追加してください。</t>
    </r>
  </si>
  <si>
    <t xml:space="preserve">・利用者名簿　　　新しく入所・退所した方がいたら、この表を更新してください。</t>
  </si>
  <si>
    <t xml:space="preserve">・区分マスタ　　　プルダウンの元データです。通常は触る必要はありません。</t>
  </si>
  <si>
    <t xml:space="preserve">■ 入力のルール</t>
  </si>
  <si>
    <t xml:space="preserve">・黄色のセルが入力欄です。プルダウンがある列は、セルをクリックすると▼が出るので選択してください。</t>
  </si>
  <si>
    <t xml:space="preserve">・過去の行は消さずに、そのまま下に追加していってください（自動で最新分だけ取り込みます）。</t>
  </si>
  <si>
    <r>
      <rPr>
        <sz val="11"/>
        <rFont val="Noto Sans CJK SC"/>
        <family val="2"/>
      </rPr>
      <t xml:space="preserve">・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日まるごと欠食の場合は、朝・昼・夕の</t>
    </r>
    <r>
      <rPr>
        <sz val="11"/>
        <rFont val="游ゴシック"/>
        <family val="0"/>
        <charset val="1"/>
      </rPr>
      <t xml:space="preserve">3</t>
    </r>
    <r>
      <rPr>
        <sz val="11"/>
        <rFont val="Noto Sans CJK SC"/>
        <family val="2"/>
      </rPr>
      <t xml:space="preserve">行を追加してください。</t>
    </r>
  </si>
  <si>
    <t xml:space="preserve">・グレーの斜体の行は入力例です。同じ形式で、その下の行から入力してください（消しても構いません）。</t>
  </si>
  <si>
    <t xml:space="preserve">■ 食形態の略号</t>
  </si>
  <si>
    <t xml:space="preserve">刻み食＝キ／ダイエット食＝ダ／粗みじん食＝粗／超みじん食＝超</t>
  </si>
  <si>
    <r>
      <rPr>
        <sz val="11"/>
        <rFont val="Noto Sans CJK SC"/>
        <family val="2"/>
      </rPr>
      <t xml:space="preserve">利用者名簿シートで該当欄に○をつけると、プレビュー画面の氏名の横に「</t>
    </r>
    <r>
      <rPr>
        <sz val="11"/>
        <rFont val="游ゴシック"/>
        <family val="0"/>
        <charset val="1"/>
      </rPr>
      <t xml:space="preserve">(</t>
    </r>
    <r>
      <rPr>
        <sz val="11"/>
        <rFont val="Noto Sans CJK SC"/>
        <family val="2"/>
      </rPr>
      <t xml:space="preserve">ダ</t>
    </r>
    <r>
      <rPr>
        <sz val="11"/>
        <rFont val="游ゴシック"/>
        <family val="0"/>
        <charset val="1"/>
      </rPr>
      <t xml:space="preserve">)</t>
    </r>
    <r>
      <rPr>
        <sz val="11"/>
        <rFont val="Noto Sans CJK SC"/>
        <family val="2"/>
      </rPr>
      <t xml:space="preserve">」のように自動で表示されます。</t>
    </r>
  </si>
  <si>
    <t xml:space="preserve">厨房タブレット 簡易プレビュー</t>
  </si>
  <si>
    <t xml:space="preserve">表示する日付</t>
  </si>
  <si>
    <t xml:space="preserve">※これは簡易プレビューです。「食数記録」シートに実際に入力された欠食・臨時喫食の登録内容のみを集計します。</t>
  </si>
  <si>
    <r>
      <rPr>
        <sz val="10"/>
        <color rgb="FFC00000"/>
        <rFont val="Noto Sans CJK SC"/>
        <family val="2"/>
      </rPr>
      <t xml:space="preserve">　</t>
    </r>
    <r>
      <rPr>
        <sz val="10"/>
        <color rgb="FFC00000"/>
        <rFont val="游ゴシック"/>
        <family val="0"/>
        <charset val="1"/>
      </rPr>
      <t xml:space="preserve">GH</t>
    </r>
    <r>
      <rPr>
        <sz val="10"/>
        <color rgb="FFC00000"/>
        <rFont val="Noto Sans CJK SC"/>
        <family val="2"/>
      </rPr>
      <t xml:space="preserve">利用者の「平日昼は基本的に喫食」という標準ルールはここでは自動適用されません（本番の</t>
    </r>
    <r>
      <rPr>
        <sz val="10"/>
        <color rgb="FFC00000"/>
        <rFont val="游ゴシック"/>
        <family val="0"/>
        <charset val="1"/>
      </rPr>
      <t xml:space="preserve">Web</t>
    </r>
    <r>
      <rPr>
        <sz val="10"/>
        <color rgb="FFC00000"/>
        <rFont val="Noto Sans CJK SC"/>
        <family val="2"/>
      </rPr>
      <t xml:space="preserve">アプリ側の計算ロジックであり、この</t>
    </r>
    <r>
      <rPr>
        <sz val="10"/>
        <color rgb="FFC00000"/>
        <rFont val="游ゴシック"/>
        <family val="0"/>
        <charset val="1"/>
      </rPr>
      <t xml:space="preserve">Excel</t>
    </r>
    <r>
      <rPr>
        <sz val="10"/>
        <color rgb="FFC00000"/>
        <rFont val="Noto Sans CJK SC"/>
        <family val="2"/>
      </rPr>
      <t xml:space="preserve">プレビューには含まれません）。</t>
    </r>
  </si>
  <si>
    <t xml:space="preserve">朝食</t>
  </si>
  <si>
    <t xml:space="preserve">昼食</t>
  </si>
  <si>
    <t xml:space="preserve">夕食</t>
  </si>
  <si>
    <t xml:space="preserve">男性入所</t>
  </si>
  <si>
    <t xml:space="preserve">女性入所</t>
  </si>
  <si>
    <r>
      <rPr>
        <b val="true"/>
        <sz val="12"/>
        <rFont val="Noto Sans CJK SC"/>
        <family val="2"/>
      </rPr>
      <t xml:space="preserve">男性</t>
    </r>
    <r>
      <rPr>
        <b val="true"/>
        <sz val="12"/>
        <rFont val="游ゴシック"/>
        <family val="0"/>
        <charset val="1"/>
      </rPr>
      <t xml:space="preserve">GH</t>
    </r>
  </si>
  <si>
    <r>
      <rPr>
        <b val="true"/>
        <sz val="12"/>
        <rFont val="Noto Sans CJK SC"/>
        <family val="2"/>
      </rPr>
      <t xml:space="preserve">女性</t>
    </r>
    <r>
      <rPr>
        <b val="true"/>
        <sz val="12"/>
        <rFont val="游ゴシック"/>
        <family val="0"/>
        <charset val="1"/>
      </rPr>
      <t xml:space="preserve">GH</t>
    </r>
  </si>
  <si>
    <t xml:space="preserve">職員</t>
  </si>
  <si>
    <t xml:space="preserve">来客</t>
  </si>
  <si>
    <t xml:space="preserve">調理必要数</t>
  </si>
  <si>
    <t xml:space="preserve">月次集計（食単価清算用）</t>
  </si>
  <si>
    <r>
      <rPr>
        <sz val="11"/>
        <rFont val="Noto Sans CJK SC"/>
        <family val="2"/>
      </rPr>
      <t xml:space="preserve">対象年月（</t>
    </r>
    <r>
      <rPr>
        <sz val="11"/>
        <rFont val="游ゴシック"/>
        <family val="0"/>
        <charset val="1"/>
      </rPr>
      <t xml:space="preserve">1</t>
    </r>
    <r>
      <rPr>
        <sz val="11"/>
        <rFont val="Noto Sans CJK SC"/>
        <family val="2"/>
      </rPr>
      <t xml:space="preserve">日を入力）</t>
    </r>
  </si>
  <si>
    <r>
      <rPr>
        <sz val="10"/>
        <color rgb="FFC00000"/>
        <rFont val="游ゴシック"/>
        <family val="0"/>
        <charset val="1"/>
      </rPr>
      <t xml:space="preserve">※GH</t>
    </r>
    <r>
      <rPr>
        <sz val="10"/>
        <color rgb="FFC00000"/>
        <rFont val="Noto Sans CJK SC"/>
        <family val="2"/>
      </rPr>
      <t xml:space="preserve">利用者は「平日昼は基本的に喫食」という標準ルールをこの集計のみ自動適用します（清算金額に直結するため、名簿の在籍者数から平日昼の標準喫食人数を計算し、欠食登録があれば差し引きます）。</t>
    </r>
  </si>
  <si>
    <r>
      <rPr>
        <sz val="10"/>
        <color rgb="FFC00000"/>
        <rFont val="Noto Sans CJK SC"/>
        <family val="2"/>
      </rPr>
      <t xml:space="preserve">※日付が対象月の日数を超える行（</t>
    </r>
    <r>
      <rPr>
        <sz val="10"/>
        <color rgb="FFC00000"/>
        <rFont val="游ゴシック"/>
        <family val="0"/>
        <charset val="1"/>
      </rPr>
      <t xml:space="preserve">29</t>
    </r>
    <r>
      <rPr>
        <sz val="10"/>
        <color rgb="FFC00000"/>
        <rFont val="Noto Sans CJK SC"/>
        <family val="2"/>
      </rPr>
      <t xml:space="preserve">〜</t>
    </r>
    <r>
      <rPr>
        <sz val="10"/>
        <color rgb="FFC00000"/>
        <rFont val="游ゴシック"/>
        <family val="0"/>
        <charset val="1"/>
      </rPr>
      <t xml:space="preserve">31</t>
    </r>
    <r>
      <rPr>
        <sz val="10"/>
        <color rgb="FFC00000"/>
        <rFont val="Noto Sans CJK SC"/>
        <family val="2"/>
      </rPr>
      <t xml:space="preserve">日目で該当月に存在しない日）は空欄になります。</t>
    </r>
  </si>
  <si>
    <t xml:space="preserve">月間合計食数</t>
  </si>
  <si>
    <t xml:space="preserve">日付</t>
  </si>
  <si>
    <t xml:space="preserve">曜日</t>
  </si>
  <si>
    <t xml:space="preserve">朝食計</t>
  </si>
  <si>
    <t xml:space="preserve">昼食計</t>
  </si>
  <si>
    <t xml:space="preserve">夕食計</t>
  </si>
  <si>
    <t xml:space="preserve">食事</t>
  </si>
  <si>
    <t xml:space="preserve">利用者</t>
  </si>
  <si>
    <t xml:space="preserve">種別</t>
  </si>
  <si>
    <t xml:space="preserve">備考</t>
  </si>
  <si>
    <t xml:space="preserve">区分（自動）</t>
  </si>
  <si>
    <r>
      <rPr>
        <sz val="10"/>
        <color rgb="FFC00000"/>
        <rFont val="游ゴシック"/>
        <family val="0"/>
        <charset val="1"/>
      </rPr>
      <t xml:space="preserve">※F</t>
    </r>
    <r>
      <rPr>
        <sz val="10"/>
        <color rgb="FFC00000"/>
        <rFont val="Noto Sans CJK SC"/>
        <family val="2"/>
      </rPr>
      <t xml:space="preserve">列は編集不要（利用者名簿から区分を自動取得。プレビュー計算用）</t>
    </r>
  </si>
  <si>
    <t xml:space="preserve">昼</t>
  </si>
  <si>
    <t xml:space="preserve">山田 太郎</t>
  </si>
  <si>
    <t xml:space="preserve">欠食</t>
  </si>
  <si>
    <t xml:space="preserve">入力例：外出のため</t>
  </si>
  <si>
    <t xml:space="preserve">朝</t>
  </si>
  <si>
    <t xml:space="preserve">鈴木 花子</t>
  </si>
  <si>
    <t xml:space="preserve">入力例：体調不良</t>
  </si>
  <si>
    <t xml:space="preserve">佐藤 一郎</t>
  </si>
  <si>
    <t xml:space="preserve">臨時喫食</t>
  </si>
  <si>
    <r>
      <rPr>
        <i val="true"/>
        <sz val="11"/>
        <color rgb="FF808080"/>
        <rFont val="Noto Sans CJK SC"/>
        <family val="2"/>
      </rPr>
      <t xml:space="preserve">入力例：</t>
    </r>
    <r>
      <rPr>
        <i val="true"/>
        <sz val="11"/>
        <color rgb="FF808080"/>
        <rFont val="游ゴシック"/>
        <family val="0"/>
        <charset val="1"/>
      </rPr>
      <t xml:space="preserve">GH</t>
    </r>
    <r>
      <rPr>
        <i val="true"/>
        <sz val="11"/>
        <color rgb="FF808080"/>
        <rFont val="Noto Sans CJK SC"/>
        <family val="2"/>
      </rPr>
      <t xml:space="preserve">行事参加</t>
    </r>
  </si>
  <si>
    <t xml:space="preserve">職員食数</t>
  </si>
  <si>
    <t xml:space="preserve">来客数</t>
  </si>
  <si>
    <r>
      <rPr>
        <i val="true"/>
        <sz val="11"/>
        <color rgb="FF808080"/>
        <rFont val="Noto Sans CJK SC"/>
        <family val="2"/>
      </rPr>
      <t xml:space="preserve">入力例：来客</t>
    </r>
    <r>
      <rPr>
        <i val="true"/>
        <sz val="11"/>
        <color rgb="FF808080"/>
        <rFont val="游ゴシック"/>
        <family val="0"/>
        <charset val="1"/>
      </rPr>
      <t xml:space="preserve">2</t>
    </r>
    <r>
      <rPr>
        <i val="true"/>
        <sz val="11"/>
        <color rgb="FF808080"/>
        <rFont val="Noto Sans CJK SC"/>
        <family val="2"/>
      </rPr>
      <t xml:space="preserve">名</t>
    </r>
  </si>
  <si>
    <t xml:space="preserve">氏名</t>
  </si>
  <si>
    <t xml:space="preserve">区分</t>
  </si>
  <si>
    <t xml:space="preserve">刻み食</t>
  </si>
  <si>
    <t xml:space="preserve">ダイエット食</t>
  </si>
  <si>
    <t xml:space="preserve">粗みじん食</t>
  </si>
  <si>
    <t xml:space="preserve">超みじん食</t>
  </si>
  <si>
    <t xml:space="preserve">在籍状態</t>
  </si>
  <si>
    <t xml:space="preserve">食形態略称（自動）</t>
  </si>
  <si>
    <r>
      <rPr>
        <sz val="10"/>
        <color rgb="FFC00000"/>
        <rFont val="游ゴシック"/>
        <family val="0"/>
        <charset val="1"/>
      </rPr>
      <t xml:space="preserve">※I</t>
    </r>
    <r>
      <rPr>
        <sz val="10"/>
        <color rgb="FFC00000"/>
        <rFont val="Noto Sans CJK SC"/>
        <family val="2"/>
      </rPr>
      <t xml:space="preserve">列は編集不要（キ</t>
    </r>
    <r>
      <rPr>
        <sz val="10"/>
        <color rgb="FFC00000"/>
        <rFont val="游ゴシック"/>
        <family val="0"/>
        <charset val="1"/>
      </rPr>
      <t xml:space="preserve">=</t>
    </r>
    <r>
      <rPr>
        <sz val="10"/>
        <color rgb="FFC00000"/>
        <rFont val="Noto Sans CJK SC"/>
        <family val="2"/>
      </rPr>
      <t xml:space="preserve">刻み食／ダ</t>
    </r>
    <r>
      <rPr>
        <sz val="10"/>
        <color rgb="FFC00000"/>
        <rFont val="游ゴシック"/>
        <family val="0"/>
        <charset val="1"/>
      </rPr>
      <t xml:space="preserve">=</t>
    </r>
    <r>
      <rPr>
        <sz val="10"/>
        <color rgb="FFC00000"/>
        <rFont val="Noto Sans CJK SC"/>
        <family val="2"/>
      </rPr>
      <t xml:space="preserve">ダイエット食／粗</t>
    </r>
    <r>
      <rPr>
        <sz val="10"/>
        <color rgb="FFC00000"/>
        <rFont val="游ゴシック"/>
        <family val="0"/>
        <charset val="1"/>
      </rPr>
      <t xml:space="preserve">=</t>
    </r>
    <r>
      <rPr>
        <sz val="10"/>
        <color rgb="FFC00000"/>
        <rFont val="Noto Sans CJK SC"/>
        <family val="2"/>
      </rPr>
      <t xml:space="preserve">粗みじん食／超</t>
    </r>
    <r>
      <rPr>
        <sz val="10"/>
        <color rgb="FFC00000"/>
        <rFont val="游ゴシック"/>
        <family val="0"/>
        <charset val="1"/>
      </rPr>
      <t xml:space="preserve">=</t>
    </r>
    <r>
      <rPr>
        <sz val="10"/>
        <color rgb="FFC00000"/>
        <rFont val="Noto Sans CJK SC"/>
        <family val="2"/>
      </rPr>
      <t xml:space="preserve">超みじん食）</t>
    </r>
  </si>
  <si>
    <t xml:space="preserve">在籍</t>
  </si>
  <si>
    <t xml:space="preserve">入力例：食形態は該当欄に○</t>
  </si>
  <si>
    <t xml:space="preserve">○</t>
  </si>
  <si>
    <t xml:space="preserve">入力例：刻み食</t>
  </si>
  <si>
    <r>
      <rPr>
        <i val="true"/>
        <sz val="11"/>
        <color rgb="FF808080"/>
        <rFont val="Noto Sans CJK SC"/>
        <family val="2"/>
      </rPr>
      <t xml:space="preserve">男性</t>
    </r>
    <r>
      <rPr>
        <i val="true"/>
        <sz val="11"/>
        <color rgb="FF808080"/>
        <rFont val="游ゴシック"/>
        <family val="0"/>
        <charset val="1"/>
      </rPr>
      <t xml:space="preserve">GH</t>
    </r>
  </si>
  <si>
    <r>
      <rPr>
        <i val="true"/>
        <sz val="11"/>
        <color rgb="FF808080"/>
        <rFont val="Noto Sans CJK SC"/>
        <family val="2"/>
      </rPr>
      <t xml:space="preserve">入力例：ニュースの家</t>
    </r>
    <r>
      <rPr>
        <i val="true"/>
        <sz val="11"/>
        <color rgb="FF808080"/>
        <rFont val="游ゴシック"/>
        <family val="0"/>
        <charset val="1"/>
      </rPr>
      <t xml:space="preserve">1</t>
    </r>
  </si>
  <si>
    <t xml:space="preserve">高橋 幸子</t>
  </si>
  <si>
    <r>
      <rPr>
        <i val="true"/>
        <sz val="11"/>
        <color rgb="FF808080"/>
        <rFont val="Noto Sans CJK SC"/>
        <family val="2"/>
      </rPr>
      <t xml:space="preserve">女性</t>
    </r>
    <r>
      <rPr>
        <i val="true"/>
        <sz val="11"/>
        <color rgb="FF808080"/>
        <rFont val="游ゴシック"/>
        <family val="0"/>
        <charset val="1"/>
      </rPr>
      <t xml:space="preserve">GH</t>
    </r>
  </si>
  <si>
    <t xml:space="preserve">退所</t>
  </si>
  <si>
    <t xml:space="preserve">入力例：退所済みは行を残したまま在籍状態を変更</t>
  </si>
  <si>
    <t xml:space="preserve">利用者区分</t>
  </si>
  <si>
    <t xml:space="preserve">食事区分</t>
  </si>
  <si>
    <t xml:space="preserve">記録種別</t>
  </si>
  <si>
    <t xml:space="preserve">※このシートはプルダウンの参照元です。通常は編集不要です。</t>
  </si>
  <si>
    <r>
      <rPr>
        <sz val="11"/>
        <rFont val="Noto Sans CJK SC"/>
        <family val="2"/>
      </rPr>
      <t xml:space="preserve">男性</t>
    </r>
    <r>
      <rPr>
        <sz val="11"/>
        <rFont val="游ゴシック"/>
        <family val="0"/>
        <charset val="1"/>
      </rPr>
      <t xml:space="preserve">GH</t>
    </r>
  </si>
  <si>
    <t xml:space="preserve">夕</t>
  </si>
  <si>
    <r>
      <rPr>
        <sz val="11"/>
        <rFont val="Noto Sans CJK SC"/>
        <family val="2"/>
      </rPr>
      <t xml:space="preserve">女性</t>
    </r>
    <r>
      <rPr>
        <sz val="11"/>
        <rFont val="游ゴシック"/>
        <family val="0"/>
        <charset val="1"/>
      </rPr>
      <t xml:space="preserve">GH</t>
    </r>
  </si>
  <si>
    <r>
      <rPr>
        <sz val="10"/>
        <color rgb="FFC00000"/>
        <rFont val="Noto Sans CJK SC"/>
        <family val="2"/>
      </rPr>
      <t xml:space="preserve">男性入所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朝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欠食</t>
    </r>
    <r>
      <rPr>
        <sz val="10"/>
        <color rgb="FFC00000"/>
        <rFont val="游ゴシック"/>
        <family val="0"/>
        <charset val="1"/>
      </rPr>
      <t xml:space="preserve">_flag</t>
    </r>
  </si>
  <si>
    <r>
      <rPr>
        <sz val="10"/>
        <color rgb="FFC00000"/>
        <rFont val="Noto Sans CJK SC"/>
        <family val="2"/>
      </rPr>
      <t xml:space="preserve">男性入所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朝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欠食</t>
    </r>
    <r>
      <rPr>
        <sz val="10"/>
        <color rgb="FFC00000"/>
        <rFont val="游ゴシック"/>
        <family val="0"/>
        <charset val="1"/>
      </rPr>
      <t xml:space="preserve">_idx</t>
    </r>
  </si>
  <si>
    <r>
      <rPr>
        <sz val="10"/>
        <color rgb="FFC00000"/>
        <rFont val="Noto Sans CJK SC"/>
        <family val="2"/>
      </rPr>
      <t xml:space="preserve">男性入所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昼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欠食</t>
    </r>
    <r>
      <rPr>
        <sz val="10"/>
        <color rgb="FFC00000"/>
        <rFont val="游ゴシック"/>
        <family val="0"/>
        <charset val="1"/>
      </rPr>
      <t xml:space="preserve">_flag</t>
    </r>
  </si>
  <si>
    <r>
      <rPr>
        <sz val="10"/>
        <color rgb="FFC00000"/>
        <rFont val="Noto Sans CJK SC"/>
        <family val="2"/>
      </rPr>
      <t xml:space="preserve">男性入所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昼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欠食</t>
    </r>
    <r>
      <rPr>
        <sz val="10"/>
        <color rgb="FFC00000"/>
        <rFont val="游ゴシック"/>
        <family val="0"/>
        <charset val="1"/>
      </rPr>
      <t xml:space="preserve">_idx</t>
    </r>
  </si>
  <si>
    <r>
      <rPr>
        <sz val="10"/>
        <color rgb="FFC00000"/>
        <rFont val="Noto Sans CJK SC"/>
        <family val="2"/>
      </rPr>
      <t xml:space="preserve">男性入所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夕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欠食</t>
    </r>
    <r>
      <rPr>
        <sz val="10"/>
        <color rgb="FFC00000"/>
        <rFont val="游ゴシック"/>
        <family val="0"/>
        <charset val="1"/>
      </rPr>
      <t xml:space="preserve">_flag</t>
    </r>
  </si>
  <si>
    <r>
      <rPr>
        <sz val="10"/>
        <color rgb="FFC00000"/>
        <rFont val="Noto Sans CJK SC"/>
        <family val="2"/>
      </rPr>
      <t xml:space="preserve">男性入所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夕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欠食</t>
    </r>
    <r>
      <rPr>
        <sz val="10"/>
        <color rgb="FFC00000"/>
        <rFont val="游ゴシック"/>
        <family val="0"/>
        <charset val="1"/>
      </rPr>
      <t xml:space="preserve">_idx</t>
    </r>
  </si>
  <si>
    <r>
      <rPr>
        <sz val="10"/>
        <color rgb="FFC00000"/>
        <rFont val="Noto Sans CJK SC"/>
        <family val="2"/>
      </rPr>
      <t xml:space="preserve">女性入所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朝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欠食</t>
    </r>
    <r>
      <rPr>
        <sz val="10"/>
        <color rgb="FFC00000"/>
        <rFont val="游ゴシック"/>
        <family val="0"/>
        <charset val="1"/>
      </rPr>
      <t xml:space="preserve">_flag</t>
    </r>
  </si>
  <si>
    <r>
      <rPr>
        <sz val="10"/>
        <color rgb="FFC00000"/>
        <rFont val="Noto Sans CJK SC"/>
        <family val="2"/>
      </rPr>
      <t xml:space="preserve">女性入所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朝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欠食</t>
    </r>
    <r>
      <rPr>
        <sz val="10"/>
        <color rgb="FFC00000"/>
        <rFont val="游ゴシック"/>
        <family val="0"/>
        <charset val="1"/>
      </rPr>
      <t xml:space="preserve">_idx</t>
    </r>
  </si>
  <si>
    <r>
      <rPr>
        <sz val="10"/>
        <color rgb="FFC00000"/>
        <rFont val="Noto Sans CJK SC"/>
        <family val="2"/>
      </rPr>
      <t xml:space="preserve">女性入所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昼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欠食</t>
    </r>
    <r>
      <rPr>
        <sz val="10"/>
        <color rgb="FFC00000"/>
        <rFont val="游ゴシック"/>
        <family val="0"/>
        <charset val="1"/>
      </rPr>
      <t xml:space="preserve">_flag</t>
    </r>
  </si>
  <si>
    <r>
      <rPr>
        <sz val="10"/>
        <color rgb="FFC00000"/>
        <rFont val="Noto Sans CJK SC"/>
        <family val="2"/>
      </rPr>
      <t xml:space="preserve">女性入所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昼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欠食</t>
    </r>
    <r>
      <rPr>
        <sz val="10"/>
        <color rgb="FFC00000"/>
        <rFont val="游ゴシック"/>
        <family val="0"/>
        <charset val="1"/>
      </rPr>
      <t xml:space="preserve">_idx</t>
    </r>
  </si>
  <si>
    <r>
      <rPr>
        <sz val="10"/>
        <color rgb="FFC00000"/>
        <rFont val="Noto Sans CJK SC"/>
        <family val="2"/>
      </rPr>
      <t xml:space="preserve">女性入所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夕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欠食</t>
    </r>
    <r>
      <rPr>
        <sz val="10"/>
        <color rgb="FFC00000"/>
        <rFont val="游ゴシック"/>
        <family val="0"/>
        <charset val="1"/>
      </rPr>
      <t xml:space="preserve">_flag</t>
    </r>
  </si>
  <si>
    <r>
      <rPr>
        <sz val="10"/>
        <color rgb="FFC00000"/>
        <rFont val="Noto Sans CJK SC"/>
        <family val="2"/>
      </rPr>
      <t xml:space="preserve">女性入所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夕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欠食</t>
    </r>
    <r>
      <rPr>
        <sz val="10"/>
        <color rgb="FFC00000"/>
        <rFont val="游ゴシック"/>
        <family val="0"/>
        <charset val="1"/>
      </rPr>
      <t xml:space="preserve">_idx</t>
    </r>
  </si>
  <si>
    <r>
      <rPr>
        <sz val="10"/>
        <color rgb="FFC00000"/>
        <rFont val="Noto Sans CJK SC"/>
        <family val="2"/>
      </rPr>
      <t xml:space="preserve">男性</t>
    </r>
    <r>
      <rPr>
        <sz val="10"/>
        <color rgb="FFC00000"/>
        <rFont val="游ゴシック"/>
        <family val="0"/>
        <charset val="1"/>
      </rPr>
      <t xml:space="preserve">GH/</t>
    </r>
    <r>
      <rPr>
        <sz val="10"/>
        <color rgb="FFC00000"/>
        <rFont val="Noto Sans CJK SC"/>
        <family val="2"/>
      </rPr>
      <t xml:space="preserve">朝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臨時喫食</t>
    </r>
    <r>
      <rPr>
        <sz val="10"/>
        <color rgb="FFC00000"/>
        <rFont val="游ゴシック"/>
        <family val="0"/>
        <charset val="1"/>
      </rPr>
      <t xml:space="preserve">_flag</t>
    </r>
  </si>
  <si>
    <r>
      <rPr>
        <sz val="10"/>
        <color rgb="FFC00000"/>
        <rFont val="Noto Sans CJK SC"/>
        <family val="2"/>
      </rPr>
      <t xml:space="preserve">男性</t>
    </r>
    <r>
      <rPr>
        <sz val="10"/>
        <color rgb="FFC00000"/>
        <rFont val="游ゴシック"/>
        <family val="0"/>
        <charset val="1"/>
      </rPr>
      <t xml:space="preserve">GH/</t>
    </r>
    <r>
      <rPr>
        <sz val="10"/>
        <color rgb="FFC00000"/>
        <rFont val="Noto Sans CJK SC"/>
        <family val="2"/>
      </rPr>
      <t xml:space="preserve">朝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臨時喫食</t>
    </r>
    <r>
      <rPr>
        <sz val="10"/>
        <color rgb="FFC00000"/>
        <rFont val="游ゴシック"/>
        <family val="0"/>
        <charset val="1"/>
      </rPr>
      <t xml:space="preserve">_idx</t>
    </r>
  </si>
  <si>
    <r>
      <rPr>
        <sz val="10"/>
        <color rgb="FFC00000"/>
        <rFont val="Noto Sans CJK SC"/>
        <family val="2"/>
      </rPr>
      <t xml:space="preserve">男性</t>
    </r>
    <r>
      <rPr>
        <sz val="10"/>
        <color rgb="FFC00000"/>
        <rFont val="游ゴシック"/>
        <family val="0"/>
        <charset val="1"/>
      </rPr>
      <t xml:space="preserve">GH/</t>
    </r>
    <r>
      <rPr>
        <sz val="10"/>
        <color rgb="FFC00000"/>
        <rFont val="Noto Sans CJK SC"/>
        <family val="2"/>
      </rPr>
      <t xml:space="preserve">昼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臨時喫食</t>
    </r>
    <r>
      <rPr>
        <sz val="10"/>
        <color rgb="FFC00000"/>
        <rFont val="游ゴシック"/>
        <family val="0"/>
        <charset val="1"/>
      </rPr>
      <t xml:space="preserve">_flag</t>
    </r>
  </si>
  <si>
    <r>
      <rPr>
        <sz val="10"/>
        <color rgb="FFC00000"/>
        <rFont val="Noto Sans CJK SC"/>
        <family val="2"/>
      </rPr>
      <t xml:space="preserve">男性</t>
    </r>
    <r>
      <rPr>
        <sz val="10"/>
        <color rgb="FFC00000"/>
        <rFont val="游ゴシック"/>
        <family val="0"/>
        <charset val="1"/>
      </rPr>
      <t xml:space="preserve">GH/</t>
    </r>
    <r>
      <rPr>
        <sz val="10"/>
        <color rgb="FFC00000"/>
        <rFont val="Noto Sans CJK SC"/>
        <family val="2"/>
      </rPr>
      <t xml:space="preserve">昼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臨時喫食</t>
    </r>
    <r>
      <rPr>
        <sz val="10"/>
        <color rgb="FFC00000"/>
        <rFont val="游ゴシック"/>
        <family val="0"/>
        <charset val="1"/>
      </rPr>
      <t xml:space="preserve">_idx</t>
    </r>
  </si>
  <si>
    <r>
      <rPr>
        <sz val="10"/>
        <color rgb="FFC00000"/>
        <rFont val="Noto Sans CJK SC"/>
        <family val="2"/>
      </rPr>
      <t xml:space="preserve">男性</t>
    </r>
    <r>
      <rPr>
        <sz val="10"/>
        <color rgb="FFC00000"/>
        <rFont val="游ゴシック"/>
        <family val="0"/>
        <charset val="1"/>
      </rPr>
      <t xml:space="preserve">GH/</t>
    </r>
    <r>
      <rPr>
        <sz val="10"/>
        <color rgb="FFC00000"/>
        <rFont val="Noto Sans CJK SC"/>
        <family val="2"/>
      </rPr>
      <t xml:space="preserve">夕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臨時喫食</t>
    </r>
    <r>
      <rPr>
        <sz val="10"/>
        <color rgb="FFC00000"/>
        <rFont val="游ゴシック"/>
        <family val="0"/>
        <charset val="1"/>
      </rPr>
      <t xml:space="preserve">_flag</t>
    </r>
  </si>
  <si>
    <r>
      <rPr>
        <sz val="10"/>
        <color rgb="FFC00000"/>
        <rFont val="Noto Sans CJK SC"/>
        <family val="2"/>
      </rPr>
      <t xml:space="preserve">男性</t>
    </r>
    <r>
      <rPr>
        <sz val="10"/>
        <color rgb="FFC00000"/>
        <rFont val="游ゴシック"/>
        <family val="0"/>
        <charset val="1"/>
      </rPr>
      <t xml:space="preserve">GH/</t>
    </r>
    <r>
      <rPr>
        <sz val="10"/>
        <color rgb="FFC00000"/>
        <rFont val="Noto Sans CJK SC"/>
        <family val="2"/>
      </rPr>
      <t xml:space="preserve">夕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臨時喫食</t>
    </r>
    <r>
      <rPr>
        <sz val="10"/>
        <color rgb="FFC00000"/>
        <rFont val="游ゴシック"/>
        <family val="0"/>
        <charset val="1"/>
      </rPr>
      <t xml:space="preserve">_idx</t>
    </r>
  </si>
  <si>
    <r>
      <rPr>
        <sz val="10"/>
        <color rgb="FFC00000"/>
        <rFont val="Noto Sans CJK SC"/>
        <family val="2"/>
      </rPr>
      <t xml:space="preserve">女性</t>
    </r>
    <r>
      <rPr>
        <sz val="10"/>
        <color rgb="FFC00000"/>
        <rFont val="游ゴシック"/>
        <family val="0"/>
        <charset val="1"/>
      </rPr>
      <t xml:space="preserve">GH/</t>
    </r>
    <r>
      <rPr>
        <sz val="10"/>
        <color rgb="FFC00000"/>
        <rFont val="Noto Sans CJK SC"/>
        <family val="2"/>
      </rPr>
      <t xml:space="preserve">朝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臨時喫食</t>
    </r>
    <r>
      <rPr>
        <sz val="10"/>
        <color rgb="FFC00000"/>
        <rFont val="游ゴシック"/>
        <family val="0"/>
        <charset val="1"/>
      </rPr>
      <t xml:space="preserve">_flag</t>
    </r>
  </si>
  <si>
    <r>
      <rPr>
        <sz val="10"/>
        <color rgb="FFC00000"/>
        <rFont val="Noto Sans CJK SC"/>
        <family val="2"/>
      </rPr>
      <t xml:space="preserve">女性</t>
    </r>
    <r>
      <rPr>
        <sz val="10"/>
        <color rgb="FFC00000"/>
        <rFont val="游ゴシック"/>
        <family val="0"/>
        <charset val="1"/>
      </rPr>
      <t xml:space="preserve">GH/</t>
    </r>
    <r>
      <rPr>
        <sz val="10"/>
        <color rgb="FFC00000"/>
        <rFont val="Noto Sans CJK SC"/>
        <family val="2"/>
      </rPr>
      <t xml:space="preserve">朝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臨時喫食</t>
    </r>
    <r>
      <rPr>
        <sz val="10"/>
        <color rgb="FFC00000"/>
        <rFont val="游ゴシック"/>
        <family val="0"/>
        <charset val="1"/>
      </rPr>
      <t xml:space="preserve">_idx</t>
    </r>
  </si>
  <si>
    <r>
      <rPr>
        <sz val="10"/>
        <color rgb="FFC00000"/>
        <rFont val="Noto Sans CJK SC"/>
        <family val="2"/>
      </rPr>
      <t xml:space="preserve">女性</t>
    </r>
    <r>
      <rPr>
        <sz val="10"/>
        <color rgb="FFC00000"/>
        <rFont val="游ゴシック"/>
        <family val="0"/>
        <charset val="1"/>
      </rPr>
      <t xml:space="preserve">GH/</t>
    </r>
    <r>
      <rPr>
        <sz val="10"/>
        <color rgb="FFC00000"/>
        <rFont val="Noto Sans CJK SC"/>
        <family val="2"/>
      </rPr>
      <t xml:space="preserve">昼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臨時喫食</t>
    </r>
    <r>
      <rPr>
        <sz val="10"/>
        <color rgb="FFC00000"/>
        <rFont val="游ゴシック"/>
        <family val="0"/>
        <charset val="1"/>
      </rPr>
      <t xml:space="preserve">_flag</t>
    </r>
  </si>
  <si>
    <r>
      <rPr>
        <sz val="10"/>
        <color rgb="FFC00000"/>
        <rFont val="Noto Sans CJK SC"/>
        <family val="2"/>
      </rPr>
      <t xml:space="preserve">女性</t>
    </r>
    <r>
      <rPr>
        <sz val="10"/>
        <color rgb="FFC00000"/>
        <rFont val="游ゴシック"/>
        <family val="0"/>
        <charset val="1"/>
      </rPr>
      <t xml:space="preserve">GH/</t>
    </r>
    <r>
      <rPr>
        <sz val="10"/>
        <color rgb="FFC00000"/>
        <rFont val="Noto Sans CJK SC"/>
        <family val="2"/>
      </rPr>
      <t xml:space="preserve">昼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臨時喫食</t>
    </r>
    <r>
      <rPr>
        <sz val="10"/>
        <color rgb="FFC00000"/>
        <rFont val="游ゴシック"/>
        <family val="0"/>
        <charset val="1"/>
      </rPr>
      <t xml:space="preserve">_idx</t>
    </r>
  </si>
  <si>
    <r>
      <rPr>
        <sz val="10"/>
        <color rgb="FFC00000"/>
        <rFont val="Noto Sans CJK SC"/>
        <family val="2"/>
      </rPr>
      <t xml:space="preserve">女性</t>
    </r>
    <r>
      <rPr>
        <sz val="10"/>
        <color rgb="FFC00000"/>
        <rFont val="游ゴシック"/>
        <family val="0"/>
        <charset val="1"/>
      </rPr>
      <t xml:space="preserve">GH/</t>
    </r>
    <r>
      <rPr>
        <sz val="10"/>
        <color rgb="FFC00000"/>
        <rFont val="Noto Sans CJK SC"/>
        <family val="2"/>
      </rPr>
      <t xml:space="preserve">夕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臨時喫食</t>
    </r>
    <r>
      <rPr>
        <sz val="10"/>
        <color rgb="FFC00000"/>
        <rFont val="游ゴシック"/>
        <family val="0"/>
        <charset val="1"/>
      </rPr>
      <t xml:space="preserve">_flag</t>
    </r>
  </si>
  <si>
    <r>
      <rPr>
        <sz val="10"/>
        <color rgb="FFC00000"/>
        <rFont val="Noto Sans CJK SC"/>
        <family val="2"/>
      </rPr>
      <t xml:space="preserve">女性</t>
    </r>
    <r>
      <rPr>
        <sz val="10"/>
        <color rgb="FFC00000"/>
        <rFont val="游ゴシック"/>
        <family val="0"/>
        <charset val="1"/>
      </rPr>
      <t xml:space="preserve">GH/</t>
    </r>
    <r>
      <rPr>
        <sz val="10"/>
        <color rgb="FFC00000"/>
        <rFont val="Noto Sans CJK SC"/>
        <family val="2"/>
      </rPr>
      <t xml:space="preserve">夕</t>
    </r>
    <r>
      <rPr>
        <sz val="10"/>
        <color rgb="FFC00000"/>
        <rFont val="游ゴシック"/>
        <family val="0"/>
        <charset val="1"/>
      </rPr>
      <t xml:space="preserve">/</t>
    </r>
    <r>
      <rPr>
        <sz val="10"/>
        <color rgb="FFC00000"/>
        <rFont val="Noto Sans CJK SC"/>
        <family val="2"/>
      </rPr>
      <t xml:space="preserve">臨時喫食</t>
    </r>
    <r>
      <rPr>
        <sz val="10"/>
        <color rgb="FFC00000"/>
        <rFont val="游ゴシック"/>
        <family val="0"/>
        <charset val="1"/>
      </rPr>
      <t xml:space="preserve">_idx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</si>
</sst>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/mm/dd\（AAA\）"/>
    <numFmt numFmtId="166" formatCode="General"/>
    <numFmt numFmtId="167" formatCode="yyyy/mm"/>
    <numFmt numFmtId="168" formatCode="0\食"/>
    <numFmt numFmtId="169" formatCode="m/d"/>
    <numFmt numFmtId="170" formatCode="yyyy/mm/dd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Noto Sans CJK SC"/>
      <family val="2"/>
    </font>
    <font>
      <b val="true"/>
      <sz val="16"/>
      <color rgb="FF2F5496"/>
      <name val="游ゴシック"/>
      <family val="0"/>
      <charset val="1"/>
    </font>
    <font>
      <sz val="11"/>
      <name val="游ゴシック"/>
      <family val="0"/>
      <charset val="1"/>
    </font>
    <font>
      <b val="true"/>
      <sz val="11"/>
      <color rgb="FFFFFFFF"/>
      <name val="Noto Sans CJK SC"/>
      <family val="2"/>
    </font>
    <font>
      <sz val="11"/>
      <name val="Noto Sans CJK SC"/>
      <family val="2"/>
    </font>
    <font>
      <b val="true"/>
      <sz val="13"/>
      <name val="游ゴシック"/>
      <family val="0"/>
      <charset val="1"/>
    </font>
    <font>
      <sz val="10"/>
      <color rgb="FFC00000"/>
      <name val="Noto Sans CJK SC"/>
      <family val="2"/>
    </font>
    <font>
      <sz val="10"/>
      <color rgb="FFC00000"/>
      <name val="游ゴシック"/>
      <family val="0"/>
      <charset val="1"/>
    </font>
    <font>
      <b val="true"/>
      <sz val="12"/>
      <name val="Noto Sans CJK SC"/>
      <family val="2"/>
    </font>
    <font>
      <b val="true"/>
      <sz val="16"/>
      <name val="游ゴシック"/>
      <family val="0"/>
      <charset val="1"/>
    </font>
    <font>
      <sz val="11"/>
      <color rgb="FFC00000"/>
      <name val="游ゴシック"/>
      <family val="0"/>
      <charset val="1"/>
    </font>
    <font>
      <b val="true"/>
      <sz val="12"/>
      <name val="游ゴシック"/>
      <family val="0"/>
      <charset val="1"/>
    </font>
    <font>
      <sz val="11"/>
      <color rgb="FF1F6F3D"/>
      <name val="游ゴシック"/>
      <family val="0"/>
      <charset val="1"/>
    </font>
    <font>
      <sz val="13"/>
      <name val="游ゴシック"/>
      <family val="0"/>
      <charset val="1"/>
    </font>
    <font>
      <b val="true"/>
      <sz val="14"/>
      <color rgb="FFFFFFFF"/>
      <name val="Noto Sans CJK SC"/>
      <family val="2"/>
    </font>
    <font>
      <b val="true"/>
      <sz val="22"/>
      <color rgb="FFFFFFFF"/>
      <name val="游ゴシック"/>
      <family val="0"/>
      <charset val="1"/>
    </font>
    <font>
      <b val="true"/>
      <sz val="13"/>
      <name val="Noto Sans CJK SC"/>
      <family val="2"/>
    </font>
    <font>
      <b val="true"/>
      <sz val="26"/>
      <color rgb="FF2F5496"/>
      <name val="游ゴシック"/>
      <family val="0"/>
      <charset val="1"/>
    </font>
    <font>
      <i val="true"/>
      <sz val="11"/>
      <color rgb="FF808080"/>
      <name val="游ゴシック"/>
      <family val="0"/>
      <charset val="1"/>
    </font>
    <font>
      <i val="true"/>
      <sz val="11"/>
      <color rgb="FF808080"/>
      <name val="Noto Sans CJK SC"/>
      <family val="2"/>
    </font>
    <font>
      <i val="true"/>
      <sz val="10"/>
      <color rgb="FFA6A6A6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FFFDE7"/>
        <bgColor rgb="FFFFFFFF"/>
      </patternFill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6F3D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D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7.15" hidden="false" customHeight="false" outlineLevel="0" collapsed="false">
      <c r="A8" s="4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4" t="s">
        <v>7</v>
      </c>
    </row>
    <row r="11" customFormat="false" ht="17.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17.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4" t="s">
        <v>17</v>
      </c>
    </row>
    <row r="23" customFormat="false" ht="17.15" hidden="false" customHeight="false" outlineLevel="0" collapsed="false">
      <c r="A23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2"/>
    <col collapsed="false" customWidth="true" hidden="false" outlineLevel="0" max="4" min="4" style="0" width="20"/>
    <col collapsed="false" customWidth="true" hidden="false" outlineLevel="0" max="5" min="5" style="0" width="2"/>
    <col collapsed="false" customWidth="true" hidden="false" outlineLevel="0" max="6" min="6" style="0" width="20"/>
  </cols>
  <sheetData>
    <row r="1" customFormat="false" ht="19.7" hidden="false" customHeight="false" outlineLevel="0" collapsed="false">
      <c r="A1" s="5" t="s">
        <v>19</v>
      </c>
      <c r="B1" s="5"/>
      <c r="C1" s="5"/>
      <c r="D1" s="5"/>
      <c r="E1" s="5"/>
      <c r="F1" s="5"/>
    </row>
    <row r="3" customFormat="false" ht="20.1" hidden="false" customHeight="false" outlineLevel="0" collapsed="false">
      <c r="A3" s="4" t="s">
        <v>20</v>
      </c>
      <c r="C3" s="6" t="n">
        <v>46247</v>
      </c>
    </row>
    <row r="4" customFormat="false" ht="15" hidden="false" customHeight="false" outlineLevel="0" collapsed="false">
      <c r="A4" s="7" t="s">
        <v>21</v>
      </c>
      <c r="B4" s="7"/>
      <c r="C4" s="7"/>
      <c r="D4" s="7"/>
      <c r="E4" s="7"/>
      <c r="F4" s="7"/>
      <c r="G4" s="7"/>
      <c r="H4" s="7"/>
    </row>
    <row r="5" customFormat="false" ht="15" hidden="false" customHeight="false" outlineLevel="0" collapsed="false">
      <c r="A5" s="7" t="s">
        <v>22</v>
      </c>
      <c r="B5" s="7"/>
      <c r="C5" s="7"/>
      <c r="D5" s="7"/>
      <c r="E5" s="7"/>
      <c r="F5" s="7"/>
      <c r="G5" s="7"/>
      <c r="H5" s="7"/>
    </row>
    <row r="7" customFormat="false" ht="15" hidden="false" customHeight="false" outlineLevel="0" collapsed="false">
      <c r="B7" s="8" t="s">
        <v>23</v>
      </c>
      <c r="D7" s="8" t="s">
        <v>24</v>
      </c>
      <c r="F7" s="8" t="s">
        <v>25</v>
      </c>
    </row>
    <row r="8" customFormat="false" ht="19.7" hidden="false" customHeight="false" outlineLevel="0" collapsed="false">
      <c r="A8" s="9" t="s">
        <v>26</v>
      </c>
      <c r="B8" s="10" t="n">
        <f aca="false">COUNTIFS(利用者名簿!$B:$B,"男性入所",利用者名簿!$G:$G,"在籍")-COUNTIFS(食数記録!$A:$A,$C$3,食数記録!$B:$B,"朝",食数記録!$F:$F,"男性入所",食数記録!$D:$D,"欠食")</f>
        <v>1</v>
      </c>
      <c r="D8" s="10" t="n">
        <f aca="false">COUNTIFS(利用者名簿!$B:$B,"男性入所",利用者名簿!$G:$G,"在籍")-COUNTIFS(食数記録!$A:$A,$C$3,食数記録!$B:$B,"昼",食数記録!$F:$F,"男性入所",食数記録!$D:$D,"欠食")</f>
        <v>0</v>
      </c>
      <c r="F8" s="10" t="n">
        <f aca="false">COUNTIFS(利用者名簿!$B:$B,"男性入所",利用者名簿!$G:$G,"在籍")-COUNTIFS(食数記録!$A:$A,$C$3,食数記録!$B:$B,"夕",食数記録!$F:$F,"男性入所",食数記録!$D:$D,"欠食")</f>
        <v>1</v>
      </c>
    </row>
    <row r="9" customFormat="false" ht="15" hidden="false" customHeight="false" outlineLevel="0" collapsed="false">
      <c r="B9" s="11" t="str">
        <f aca="false">IFERROR(IF(INDEX(食数記録!$C:$C,MATCH(1,内部計算!$C:$C,0))="","",INDEX(食数記録!$C:$C,MATCH(1,内部計算!$C:$C,0))&amp;IF(IFERROR(VLOOKUP(INDEX(食数記録!$C:$C,MATCH(1,内部計算!$C:$C,0)),利用者名簿!$A:$I,9,0),"")&lt;&gt;"","("&amp;VLOOKUP(INDEX(食数記録!$C:$C,MATCH(1,内部計算!$C:$C,0)),利用者名簿!$A:$I,9,0)&amp;")","")),"")</f>
        <v/>
      </c>
      <c r="D9" s="11" t="str">
        <f aca="false">IFERROR(IF(INDEX(食数記録!$C:$C,MATCH(1,内部計算!$E:$E,0))="","",INDEX(食数記録!$C:$C,MATCH(1,内部計算!$E:$E,0))&amp;IF(IFERROR(VLOOKUP(INDEX(食数記録!$C:$C,MATCH(1,内部計算!$E:$E,0)),利用者名簿!$A:$I,9,0),"")&lt;&gt;"","("&amp;VLOOKUP(INDEX(食数記録!$C:$C,MATCH(1,内部計算!$E:$E,0)),利用者名簿!$A:$I,9,0)&amp;")","")),"")</f>
        <v>山田 太郎</v>
      </c>
      <c r="F9" s="11" t="str">
        <f aca="false">IFERROR(IF(INDEX(食数記録!$C:$C,MATCH(1,内部計算!$G:$G,0))="","",INDEX(食数記録!$C:$C,MATCH(1,内部計算!$G:$G,0))&amp;IF(IFERROR(VLOOKUP(INDEX(食数記録!$C:$C,MATCH(1,内部計算!$G:$G,0)),利用者名簿!$A:$I,9,0),"")&lt;&gt;"","("&amp;VLOOKUP(INDEX(食数記録!$C:$C,MATCH(1,内部計算!$G:$G,0)),利用者名簿!$A:$I,9,0)&amp;")","")),"")</f>
        <v/>
      </c>
    </row>
    <row r="10" customFormat="false" ht="15" hidden="false" customHeight="false" outlineLevel="0" collapsed="false">
      <c r="B10" s="11" t="str">
        <f aca="false">IFERROR(IF(INDEX(食数記録!$C:$C,MATCH(2,内部計算!$C:$C,0))="","",INDEX(食数記録!$C:$C,MATCH(2,内部計算!$C:$C,0))&amp;IF(IFERROR(VLOOKUP(INDEX(食数記録!$C:$C,MATCH(2,内部計算!$C:$C,0)),利用者名簿!$A:$I,9,0),"")&lt;&gt;"","("&amp;VLOOKUP(INDEX(食数記録!$C:$C,MATCH(2,内部計算!$C:$C,0)),利用者名簿!$A:$I,9,0)&amp;")","")),"")</f>
        <v/>
      </c>
      <c r="D10" s="11" t="str">
        <f aca="false">IFERROR(IF(INDEX(食数記録!$C:$C,MATCH(2,内部計算!$E:$E,0))="","",INDEX(食数記録!$C:$C,MATCH(2,内部計算!$E:$E,0))&amp;IF(IFERROR(VLOOKUP(INDEX(食数記録!$C:$C,MATCH(2,内部計算!$E:$E,0)),利用者名簿!$A:$I,9,0),"")&lt;&gt;"","("&amp;VLOOKUP(INDEX(食数記録!$C:$C,MATCH(2,内部計算!$E:$E,0)),利用者名簿!$A:$I,9,0)&amp;")","")),"")</f>
        <v/>
      </c>
      <c r="F10" s="11" t="str">
        <f aca="false">IFERROR(IF(INDEX(食数記録!$C:$C,MATCH(2,内部計算!$G:$G,0))="","",INDEX(食数記録!$C:$C,MATCH(2,内部計算!$G:$G,0))&amp;IF(IFERROR(VLOOKUP(INDEX(食数記録!$C:$C,MATCH(2,内部計算!$G:$G,0)),利用者名簿!$A:$I,9,0),"")&lt;&gt;"","("&amp;VLOOKUP(INDEX(食数記録!$C:$C,MATCH(2,内部計算!$G:$G,0)),利用者名簿!$A:$I,9,0)&amp;")","")),"")</f>
        <v/>
      </c>
    </row>
    <row r="11" customFormat="false" ht="15" hidden="false" customHeight="false" outlineLevel="0" collapsed="false">
      <c r="B11" s="11" t="str">
        <f aca="false">IFERROR(IF(INDEX(食数記録!$C:$C,MATCH(3,内部計算!$C:$C,0))="","",INDEX(食数記録!$C:$C,MATCH(3,内部計算!$C:$C,0))&amp;IF(IFERROR(VLOOKUP(INDEX(食数記録!$C:$C,MATCH(3,内部計算!$C:$C,0)),利用者名簿!$A:$I,9,0),"")&lt;&gt;"","("&amp;VLOOKUP(INDEX(食数記録!$C:$C,MATCH(3,内部計算!$C:$C,0)),利用者名簿!$A:$I,9,0)&amp;")","")),"")</f>
        <v/>
      </c>
      <c r="D11" s="11" t="str">
        <f aca="false">IFERROR(IF(INDEX(食数記録!$C:$C,MATCH(3,内部計算!$E:$E,0))="","",INDEX(食数記録!$C:$C,MATCH(3,内部計算!$E:$E,0))&amp;IF(IFERROR(VLOOKUP(INDEX(食数記録!$C:$C,MATCH(3,内部計算!$E:$E,0)),利用者名簿!$A:$I,9,0),"")&lt;&gt;"","("&amp;VLOOKUP(INDEX(食数記録!$C:$C,MATCH(3,内部計算!$E:$E,0)),利用者名簿!$A:$I,9,0)&amp;")","")),"")</f>
        <v/>
      </c>
      <c r="F11" s="11" t="str">
        <f aca="false">IFERROR(IF(INDEX(食数記録!$C:$C,MATCH(3,内部計算!$G:$G,0))="","",INDEX(食数記録!$C:$C,MATCH(3,内部計算!$G:$G,0))&amp;IF(IFERROR(VLOOKUP(INDEX(食数記録!$C:$C,MATCH(3,内部計算!$G:$G,0)),利用者名簿!$A:$I,9,0),"")&lt;&gt;"","("&amp;VLOOKUP(INDEX(食数記録!$C:$C,MATCH(3,内部計算!$G:$G,0)),利用者名簿!$A:$I,9,0)&amp;")","")),"")</f>
        <v/>
      </c>
    </row>
    <row r="12" customFormat="false" ht="15" hidden="false" customHeight="false" outlineLevel="0" collapsed="false">
      <c r="B12" s="11" t="str">
        <f aca="false">IFERROR(IF(INDEX(食数記録!$C:$C,MATCH(4,内部計算!$C:$C,0))="","",INDEX(食数記録!$C:$C,MATCH(4,内部計算!$C:$C,0))&amp;IF(IFERROR(VLOOKUP(INDEX(食数記録!$C:$C,MATCH(4,内部計算!$C:$C,0)),利用者名簿!$A:$I,9,0),"")&lt;&gt;"","("&amp;VLOOKUP(INDEX(食数記録!$C:$C,MATCH(4,内部計算!$C:$C,0)),利用者名簿!$A:$I,9,0)&amp;")","")),"")</f>
        <v/>
      </c>
      <c r="D12" s="11" t="str">
        <f aca="false">IFERROR(IF(INDEX(食数記録!$C:$C,MATCH(4,内部計算!$E:$E,0))="","",INDEX(食数記録!$C:$C,MATCH(4,内部計算!$E:$E,0))&amp;IF(IFERROR(VLOOKUP(INDEX(食数記録!$C:$C,MATCH(4,内部計算!$E:$E,0)),利用者名簿!$A:$I,9,0),"")&lt;&gt;"","("&amp;VLOOKUP(INDEX(食数記録!$C:$C,MATCH(4,内部計算!$E:$E,0)),利用者名簿!$A:$I,9,0)&amp;")","")),"")</f>
        <v/>
      </c>
      <c r="F12" s="11" t="str">
        <f aca="false">IFERROR(IF(INDEX(食数記録!$C:$C,MATCH(4,内部計算!$G:$G,0))="","",INDEX(食数記録!$C:$C,MATCH(4,内部計算!$G:$G,0))&amp;IF(IFERROR(VLOOKUP(INDEX(食数記録!$C:$C,MATCH(4,内部計算!$G:$G,0)),利用者名簿!$A:$I,9,0),"")&lt;&gt;"","("&amp;VLOOKUP(INDEX(食数記録!$C:$C,MATCH(4,内部計算!$G:$G,0)),利用者名簿!$A:$I,9,0)&amp;")","")),"")</f>
        <v/>
      </c>
    </row>
    <row r="13" customFormat="false" ht="15" hidden="false" customHeight="false" outlineLevel="0" collapsed="false">
      <c r="B13" s="11" t="str">
        <f aca="false">IFERROR(IF(INDEX(食数記録!$C:$C,MATCH(5,内部計算!$C:$C,0))="","",INDEX(食数記録!$C:$C,MATCH(5,内部計算!$C:$C,0))&amp;IF(IFERROR(VLOOKUP(INDEX(食数記録!$C:$C,MATCH(5,内部計算!$C:$C,0)),利用者名簿!$A:$I,9,0),"")&lt;&gt;"","("&amp;VLOOKUP(INDEX(食数記録!$C:$C,MATCH(5,内部計算!$C:$C,0)),利用者名簿!$A:$I,9,0)&amp;")","")),"")</f>
        <v/>
      </c>
      <c r="D13" s="11" t="str">
        <f aca="false">IFERROR(IF(INDEX(食数記録!$C:$C,MATCH(5,内部計算!$E:$E,0))="","",INDEX(食数記録!$C:$C,MATCH(5,内部計算!$E:$E,0))&amp;IF(IFERROR(VLOOKUP(INDEX(食数記録!$C:$C,MATCH(5,内部計算!$E:$E,0)),利用者名簿!$A:$I,9,0),"")&lt;&gt;"","("&amp;VLOOKUP(INDEX(食数記録!$C:$C,MATCH(5,内部計算!$E:$E,0)),利用者名簿!$A:$I,9,0)&amp;")","")),"")</f>
        <v/>
      </c>
      <c r="F13" s="11" t="str">
        <f aca="false">IFERROR(IF(INDEX(食数記録!$C:$C,MATCH(5,内部計算!$G:$G,0))="","",INDEX(食数記録!$C:$C,MATCH(5,内部計算!$G:$G,0))&amp;IF(IFERROR(VLOOKUP(INDEX(食数記録!$C:$C,MATCH(5,内部計算!$G:$G,0)),利用者名簿!$A:$I,9,0),"")&lt;&gt;"","("&amp;VLOOKUP(INDEX(食数記録!$C:$C,MATCH(5,内部計算!$G:$G,0)),利用者名簿!$A:$I,9,0)&amp;")","")),"")</f>
        <v/>
      </c>
    </row>
    <row r="14" customFormat="false" ht="15" hidden="false" customHeight="false" outlineLevel="0" collapsed="false">
      <c r="B14" s="11" t="str">
        <f aca="false">IFERROR(IF(INDEX(食数記録!$C:$C,MATCH(6,内部計算!$C:$C,0))="","",INDEX(食数記録!$C:$C,MATCH(6,内部計算!$C:$C,0))&amp;IF(IFERROR(VLOOKUP(INDEX(食数記録!$C:$C,MATCH(6,内部計算!$C:$C,0)),利用者名簿!$A:$I,9,0),"")&lt;&gt;"","("&amp;VLOOKUP(INDEX(食数記録!$C:$C,MATCH(6,内部計算!$C:$C,0)),利用者名簿!$A:$I,9,0)&amp;")","")),"")</f>
        <v/>
      </c>
      <c r="D14" s="11" t="str">
        <f aca="false">IFERROR(IF(INDEX(食数記録!$C:$C,MATCH(6,内部計算!$E:$E,0))="","",INDEX(食数記録!$C:$C,MATCH(6,内部計算!$E:$E,0))&amp;IF(IFERROR(VLOOKUP(INDEX(食数記録!$C:$C,MATCH(6,内部計算!$E:$E,0)),利用者名簿!$A:$I,9,0),"")&lt;&gt;"","("&amp;VLOOKUP(INDEX(食数記録!$C:$C,MATCH(6,内部計算!$E:$E,0)),利用者名簿!$A:$I,9,0)&amp;")","")),"")</f>
        <v/>
      </c>
      <c r="F14" s="11" t="str">
        <f aca="false">IFERROR(IF(INDEX(食数記録!$C:$C,MATCH(6,内部計算!$G:$G,0))="","",INDEX(食数記録!$C:$C,MATCH(6,内部計算!$G:$G,0))&amp;IF(IFERROR(VLOOKUP(INDEX(食数記録!$C:$C,MATCH(6,内部計算!$G:$G,0)),利用者名簿!$A:$I,9,0),"")&lt;&gt;"","("&amp;VLOOKUP(INDEX(食数記録!$C:$C,MATCH(6,内部計算!$G:$G,0)),利用者名簿!$A:$I,9,0)&amp;")","")),"")</f>
        <v/>
      </c>
    </row>
    <row r="15" customFormat="false" ht="15" hidden="false" customHeight="false" outlineLevel="0" collapsed="false">
      <c r="B15" s="11" t="str">
        <f aca="false">IFERROR(IF(INDEX(食数記録!$C:$C,MATCH(7,内部計算!$C:$C,0))="","",INDEX(食数記録!$C:$C,MATCH(7,内部計算!$C:$C,0))&amp;IF(IFERROR(VLOOKUP(INDEX(食数記録!$C:$C,MATCH(7,内部計算!$C:$C,0)),利用者名簿!$A:$I,9,0),"")&lt;&gt;"","("&amp;VLOOKUP(INDEX(食数記録!$C:$C,MATCH(7,内部計算!$C:$C,0)),利用者名簿!$A:$I,9,0)&amp;")","")),"")</f>
        <v/>
      </c>
      <c r="D15" s="11" t="str">
        <f aca="false">IFERROR(IF(INDEX(食数記録!$C:$C,MATCH(7,内部計算!$E:$E,0))="","",INDEX(食数記録!$C:$C,MATCH(7,内部計算!$E:$E,0))&amp;IF(IFERROR(VLOOKUP(INDEX(食数記録!$C:$C,MATCH(7,内部計算!$E:$E,0)),利用者名簿!$A:$I,9,0),"")&lt;&gt;"","("&amp;VLOOKUP(INDEX(食数記録!$C:$C,MATCH(7,内部計算!$E:$E,0)),利用者名簿!$A:$I,9,0)&amp;")","")),"")</f>
        <v/>
      </c>
      <c r="F15" s="11" t="str">
        <f aca="false">IFERROR(IF(INDEX(食数記録!$C:$C,MATCH(7,内部計算!$G:$G,0))="","",INDEX(食数記録!$C:$C,MATCH(7,内部計算!$G:$G,0))&amp;IF(IFERROR(VLOOKUP(INDEX(食数記録!$C:$C,MATCH(7,内部計算!$G:$G,0)),利用者名簿!$A:$I,9,0),"")&lt;&gt;"","("&amp;VLOOKUP(INDEX(食数記録!$C:$C,MATCH(7,内部計算!$G:$G,0)),利用者名簿!$A:$I,9,0)&amp;")","")),"")</f>
        <v/>
      </c>
    </row>
    <row r="16" customFormat="false" ht="15" hidden="false" customHeight="false" outlineLevel="0" collapsed="false">
      <c r="B16" s="11" t="str">
        <f aca="false">IFERROR(IF(INDEX(食数記録!$C:$C,MATCH(8,内部計算!$C:$C,0))="","",INDEX(食数記録!$C:$C,MATCH(8,内部計算!$C:$C,0))&amp;IF(IFERROR(VLOOKUP(INDEX(食数記録!$C:$C,MATCH(8,内部計算!$C:$C,0)),利用者名簿!$A:$I,9,0),"")&lt;&gt;"","("&amp;VLOOKUP(INDEX(食数記録!$C:$C,MATCH(8,内部計算!$C:$C,0)),利用者名簿!$A:$I,9,0)&amp;")","")),"")</f>
        <v/>
      </c>
      <c r="D16" s="11" t="str">
        <f aca="false">IFERROR(IF(INDEX(食数記録!$C:$C,MATCH(8,内部計算!$E:$E,0))="","",INDEX(食数記録!$C:$C,MATCH(8,内部計算!$E:$E,0))&amp;IF(IFERROR(VLOOKUP(INDEX(食数記録!$C:$C,MATCH(8,内部計算!$E:$E,0)),利用者名簿!$A:$I,9,0),"")&lt;&gt;"","("&amp;VLOOKUP(INDEX(食数記録!$C:$C,MATCH(8,内部計算!$E:$E,0)),利用者名簿!$A:$I,9,0)&amp;")","")),"")</f>
        <v/>
      </c>
      <c r="F16" s="11" t="str">
        <f aca="false">IFERROR(IF(INDEX(食数記録!$C:$C,MATCH(8,内部計算!$G:$G,0))="","",INDEX(食数記録!$C:$C,MATCH(8,内部計算!$G:$G,0))&amp;IF(IFERROR(VLOOKUP(INDEX(食数記録!$C:$C,MATCH(8,内部計算!$G:$G,0)),利用者名簿!$A:$I,9,0),"")&lt;&gt;"","("&amp;VLOOKUP(INDEX(食数記録!$C:$C,MATCH(8,内部計算!$G:$G,0)),利用者名簿!$A:$I,9,0)&amp;")","")),"")</f>
        <v/>
      </c>
    </row>
    <row r="17" customFormat="false" ht="19.7" hidden="false" customHeight="false" outlineLevel="0" collapsed="false">
      <c r="A17" s="9" t="s">
        <v>27</v>
      </c>
      <c r="B17" s="10" t="n">
        <f aca="false">COUNTIFS(利用者名簿!$B:$B,"女性入所",利用者名簿!$G:$G,"在籍")-COUNTIFS(食数記録!$A:$A,$C$3,食数記録!$B:$B,"朝",食数記録!$F:$F,"女性入所",食数記録!$D:$D,"欠食")</f>
        <v>0</v>
      </c>
      <c r="D17" s="10" t="n">
        <f aca="false">COUNTIFS(利用者名簿!$B:$B,"女性入所",利用者名簿!$G:$G,"在籍")-COUNTIFS(食数記録!$A:$A,$C$3,食数記録!$B:$B,"昼",食数記録!$F:$F,"女性入所",食数記録!$D:$D,"欠食")</f>
        <v>1</v>
      </c>
      <c r="F17" s="10" t="n">
        <f aca="false">COUNTIFS(利用者名簿!$B:$B,"女性入所",利用者名簿!$G:$G,"在籍")-COUNTIFS(食数記録!$A:$A,$C$3,食数記録!$B:$B,"夕",食数記録!$F:$F,"女性入所",食数記録!$D:$D,"欠食")</f>
        <v>1</v>
      </c>
    </row>
    <row r="18" customFormat="false" ht="17.15" hidden="false" customHeight="false" outlineLevel="0" collapsed="false">
      <c r="B18" s="11" t="str">
        <f aca="false">IFERROR(IF(INDEX(食数記録!$C:$C,MATCH(1,内部計算!$I:$I,0))="","",INDEX(食数記録!$C:$C,MATCH(1,内部計算!$I:$I,0))&amp;IF(IFERROR(VLOOKUP(INDEX(食数記録!$C:$C,MATCH(1,内部計算!$I:$I,0)),利用者名簿!$A:$I,9,0),"")&lt;&gt;"","("&amp;VLOOKUP(INDEX(食数記録!$C:$C,MATCH(1,内部計算!$I:$I,0)),利用者名簿!$A:$I,9,0)&amp;")","")),"")</f>
        <v>鈴木 花子(キ)</v>
      </c>
      <c r="D18" s="11" t="str">
        <f aca="false">IFERROR(IF(INDEX(食数記録!$C:$C,MATCH(1,内部計算!$K:$K,0))="","",INDEX(食数記録!$C:$C,MATCH(1,内部計算!$K:$K,0))&amp;IF(IFERROR(VLOOKUP(INDEX(食数記録!$C:$C,MATCH(1,内部計算!$K:$K,0)),利用者名簿!$A:$I,9,0),"")&lt;&gt;"","("&amp;VLOOKUP(INDEX(食数記録!$C:$C,MATCH(1,内部計算!$K:$K,0)),利用者名簿!$A:$I,9,0)&amp;")","")),"")</f>
        <v/>
      </c>
      <c r="F18" s="11" t="str">
        <f aca="false">IFERROR(IF(INDEX(食数記録!$C:$C,MATCH(1,内部計算!$M:$M,0))="","",INDEX(食数記録!$C:$C,MATCH(1,内部計算!$M:$M,0))&amp;IF(IFERROR(VLOOKUP(INDEX(食数記録!$C:$C,MATCH(1,内部計算!$M:$M,0)),利用者名簿!$A:$I,9,0),"")&lt;&gt;"","("&amp;VLOOKUP(INDEX(食数記録!$C:$C,MATCH(1,内部計算!$M:$M,0)),利用者名簿!$A:$I,9,0)&amp;")","")),"")</f>
        <v/>
      </c>
    </row>
    <row r="19" customFormat="false" ht="15" hidden="false" customHeight="false" outlineLevel="0" collapsed="false">
      <c r="B19" s="11" t="str">
        <f aca="false">IFERROR(IF(INDEX(食数記録!$C:$C,MATCH(2,内部計算!$I:$I,0))="","",INDEX(食数記録!$C:$C,MATCH(2,内部計算!$I:$I,0))&amp;IF(IFERROR(VLOOKUP(INDEX(食数記録!$C:$C,MATCH(2,内部計算!$I:$I,0)),利用者名簿!$A:$I,9,0),"")&lt;&gt;"","("&amp;VLOOKUP(INDEX(食数記録!$C:$C,MATCH(2,内部計算!$I:$I,0)),利用者名簿!$A:$I,9,0)&amp;")","")),"")</f>
        <v/>
      </c>
      <c r="D19" s="11" t="str">
        <f aca="false">IFERROR(IF(INDEX(食数記録!$C:$C,MATCH(2,内部計算!$K:$K,0))="","",INDEX(食数記録!$C:$C,MATCH(2,内部計算!$K:$K,0))&amp;IF(IFERROR(VLOOKUP(INDEX(食数記録!$C:$C,MATCH(2,内部計算!$K:$K,0)),利用者名簿!$A:$I,9,0),"")&lt;&gt;"","("&amp;VLOOKUP(INDEX(食数記録!$C:$C,MATCH(2,内部計算!$K:$K,0)),利用者名簿!$A:$I,9,0)&amp;")","")),"")</f>
        <v/>
      </c>
      <c r="F19" s="11" t="str">
        <f aca="false">IFERROR(IF(INDEX(食数記録!$C:$C,MATCH(2,内部計算!$M:$M,0))="","",INDEX(食数記録!$C:$C,MATCH(2,内部計算!$M:$M,0))&amp;IF(IFERROR(VLOOKUP(INDEX(食数記録!$C:$C,MATCH(2,内部計算!$M:$M,0)),利用者名簿!$A:$I,9,0),"")&lt;&gt;"","("&amp;VLOOKUP(INDEX(食数記録!$C:$C,MATCH(2,内部計算!$M:$M,0)),利用者名簿!$A:$I,9,0)&amp;")","")),"")</f>
        <v/>
      </c>
    </row>
    <row r="20" customFormat="false" ht="15" hidden="false" customHeight="false" outlineLevel="0" collapsed="false">
      <c r="B20" s="11" t="str">
        <f aca="false">IFERROR(IF(INDEX(食数記録!$C:$C,MATCH(3,内部計算!$I:$I,0))="","",INDEX(食数記録!$C:$C,MATCH(3,内部計算!$I:$I,0))&amp;IF(IFERROR(VLOOKUP(INDEX(食数記録!$C:$C,MATCH(3,内部計算!$I:$I,0)),利用者名簿!$A:$I,9,0),"")&lt;&gt;"","("&amp;VLOOKUP(INDEX(食数記録!$C:$C,MATCH(3,内部計算!$I:$I,0)),利用者名簿!$A:$I,9,0)&amp;")","")),"")</f>
        <v/>
      </c>
      <c r="D20" s="11" t="str">
        <f aca="false">IFERROR(IF(INDEX(食数記録!$C:$C,MATCH(3,内部計算!$K:$K,0))="","",INDEX(食数記録!$C:$C,MATCH(3,内部計算!$K:$K,0))&amp;IF(IFERROR(VLOOKUP(INDEX(食数記録!$C:$C,MATCH(3,内部計算!$K:$K,0)),利用者名簿!$A:$I,9,0),"")&lt;&gt;"","("&amp;VLOOKUP(INDEX(食数記録!$C:$C,MATCH(3,内部計算!$K:$K,0)),利用者名簿!$A:$I,9,0)&amp;")","")),"")</f>
        <v/>
      </c>
      <c r="F20" s="11" t="str">
        <f aca="false">IFERROR(IF(INDEX(食数記録!$C:$C,MATCH(3,内部計算!$M:$M,0))="","",INDEX(食数記録!$C:$C,MATCH(3,内部計算!$M:$M,0))&amp;IF(IFERROR(VLOOKUP(INDEX(食数記録!$C:$C,MATCH(3,内部計算!$M:$M,0)),利用者名簿!$A:$I,9,0),"")&lt;&gt;"","("&amp;VLOOKUP(INDEX(食数記録!$C:$C,MATCH(3,内部計算!$M:$M,0)),利用者名簿!$A:$I,9,0)&amp;")","")),"")</f>
        <v/>
      </c>
    </row>
    <row r="21" customFormat="false" ht="15" hidden="false" customHeight="false" outlineLevel="0" collapsed="false">
      <c r="B21" s="11" t="str">
        <f aca="false">IFERROR(IF(INDEX(食数記録!$C:$C,MATCH(4,内部計算!$I:$I,0))="","",INDEX(食数記録!$C:$C,MATCH(4,内部計算!$I:$I,0))&amp;IF(IFERROR(VLOOKUP(INDEX(食数記録!$C:$C,MATCH(4,内部計算!$I:$I,0)),利用者名簿!$A:$I,9,0),"")&lt;&gt;"","("&amp;VLOOKUP(INDEX(食数記録!$C:$C,MATCH(4,内部計算!$I:$I,0)),利用者名簿!$A:$I,9,0)&amp;")","")),"")</f>
        <v/>
      </c>
      <c r="D21" s="11" t="str">
        <f aca="false">IFERROR(IF(INDEX(食数記録!$C:$C,MATCH(4,内部計算!$K:$K,0))="","",INDEX(食数記録!$C:$C,MATCH(4,内部計算!$K:$K,0))&amp;IF(IFERROR(VLOOKUP(INDEX(食数記録!$C:$C,MATCH(4,内部計算!$K:$K,0)),利用者名簿!$A:$I,9,0),"")&lt;&gt;"","("&amp;VLOOKUP(INDEX(食数記録!$C:$C,MATCH(4,内部計算!$K:$K,0)),利用者名簿!$A:$I,9,0)&amp;")","")),"")</f>
        <v/>
      </c>
      <c r="F21" s="11" t="str">
        <f aca="false">IFERROR(IF(INDEX(食数記録!$C:$C,MATCH(4,内部計算!$M:$M,0))="","",INDEX(食数記録!$C:$C,MATCH(4,内部計算!$M:$M,0))&amp;IF(IFERROR(VLOOKUP(INDEX(食数記録!$C:$C,MATCH(4,内部計算!$M:$M,0)),利用者名簿!$A:$I,9,0),"")&lt;&gt;"","("&amp;VLOOKUP(INDEX(食数記録!$C:$C,MATCH(4,内部計算!$M:$M,0)),利用者名簿!$A:$I,9,0)&amp;")","")),"")</f>
        <v/>
      </c>
    </row>
    <row r="22" customFormat="false" ht="15" hidden="false" customHeight="false" outlineLevel="0" collapsed="false">
      <c r="B22" s="11" t="str">
        <f aca="false">IFERROR(IF(INDEX(食数記録!$C:$C,MATCH(5,内部計算!$I:$I,0))="","",INDEX(食数記録!$C:$C,MATCH(5,内部計算!$I:$I,0))&amp;IF(IFERROR(VLOOKUP(INDEX(食数記録!$C:$C,MATCH(5,内部計算!$I:$I,0)),利用者名簿!$A:$I,9,0),"")&lt;&gt;"","("&amp;VLOOKUP(INDEX(食数記録!$C:$C,MATCH(5,内部計算!$I:$I,0)),利用者名簿!$A:$I,9,0)&amp;")","")),"")</f>
        <v/>
      </c>
      <c r="D22" s="11" t="str">
        <f aca="false">IFERROR(IF(INDEX(食数記録!$C:$C,MATCH(5,内部計算!$K:$K,0))="","",INDEX(食数記録!$C:$C,MATCH(5,内部計算!$K:$K,0))&amp;IF(IFERROR(VLOOKUP(INDEX(食数記録!$C:$C,MATCH(5,内部計算!$K:$K,0)),利用者名簿!$A:$I,9,0),"")&lt;&gt;"","("&amp;VLOOKUP(INDEX(食数記録!$C:$C,MATCH(5,内部計算!$K:$K,0)),利用者名簿!$A:$I,9,0)&amp;")","")),"")</f>
        <v/>
      </c>
      <c r="F22" s="11" t="str">
        <f aca="false">IFERROR(IF(INDEX(食数記録!$C:$C,MATCH(5,内部計算!$M:$M,0))="","",INDEX(食数記録!$C:$C,MATCH(5,内部計算!$M:$M,0))&amp;IF(IFERROR(VLOOKUP(INDEX(食数記録!$C:$C,MATCH(5,内部計算!$M:$M,0)),利用者名簿!$A:$I,9,0),"")&lt;&gt;"","("&amp;VLOOKUP(INDEX(食数記録!$C:$C,MATCH(5,内部計算!$M:$M,0)),利用者名簿!$A:$I,9,0)&amp;")","")),"")</f>
        <v/>
      </c>
    </row>
    <row r="23" customFormat="false" ht="15" hidden="false" customHeight="false" outlineLevel="0" collapsed="false">
      <c r="B23" s="11" t="str">
        <f aca="false">IFERROR(IF(INDEX(食数記録!$C:$C,MATCH(6,内部計算!$I:$I,0))="","",INDEX(食数記録!$C:$C,MATCH(6,内部計算!$I:$I,0))&amp;IF(IFERROR(VLOOKUP(INDEX(食数記録!$C:$C,MATCH(6,内部計算!$I:$I,0)),利用者名簿!$A:$I,9,0),"")&lt;&gt;"","("&amp;VLOOKUP(INDEX(食数記録!$C:$C,MATCH(6,内部計算!$I:$I,0)),利用者名簿!$A:$I,9,0)&amp;")","")),"")</f>
        <v/>
      </c>
      <c r="D23" s="11" t="str">
        <f aca="false">IFERROR(IF(INDEX(食数記録!$C:$C,MATCH(6,内部計算!$K:$K,0))="","",INDEX(食数記録!$C:$C,MATCH(6,内部計算!$K:$K,0))&amp;IF(IFERROR(VLOOKUP(INDEX(食数記録!$C:$C,MATCH(6,内部計算!$K:$K,0)),利用者名簿!$A:$I,9,0),"")&lt;&gt;"","("&amp;VLOOKUP(INDEX(食数記録!$C:$C,MATCH(6,内部計算!$K:$K,0)),利用者名簿!$A:$I,9,0)&amp;")","")),"")</f>
        <v/>
      </c>
      <c r="F23" s="11" t="str">
        <f aca="false">IFERROR(IF(INDEX(食数記録!$C:$C,MATCH(6,内部計算!$M:$M,0))="","",INDEX(食数記録!$C:$C,MATCH(6,内部計算!$M:$M,0))&amp;IF(IFERROR(VLOOKUP(INDEX(食数記録!$C:$C,MATCH(6,内部計算!$M:$M,0)),利用者名簿!$A:$I,9,0),"")&lt;&gt;"","("&amp;VLOOKUP(INDEX(食数記録!$C:$C,MATCH(6,内部計算!$M:$M,0)),利用者名簿!$A:$I,9,0)&amp;")","")),"")</f>
        <v/>
      </c>
    </row>
    <row r="24" customFormat="false" ht="15" hidden="false" customHeight="false" outlineLevel="0" collapsed="false">
      <c r="B24" s="11" t="str">
        <f aca="false">IFERROR(IF(INDEX(食数記録!$C:$C,MATCH(7,内部計算!$I:$I,0))="","",INDEX(食数記録!$C:$C,MATCH(7,内部計算!$I:$I,0))&amp;IF(IFERROR(VLOOKUP(INDEX(食数記録!$C:$C,MATCH(7,内部計算!$I:$I,0)),利用者名簿!$A:$I,9,0),"")&lt;&gt;"","("&amp;VLOOKUP(INDEX(食数記録!$C:$C,MATCH(7,内部計算!$I:$I,0)),利用者名簿!$A:$I,9,0)&amp;")","")),"")</f>
        <v/>
      </c>
      <c r="D24" s="11" t="str">
        <f aca="false">IFERROR(IF(INDEX(食数記録!$C:$C,MATCH(7,内部計算!$K:$K,0))="","",INDEX(食数記録!$C:$C,MATCH(7,内部計算!$K:$K,0))&amp;IF(IFERROR(VLOOKUP(INDEX(食数記録!$C:$C,MATCH(7,内部計算!$K:$K,0)),利用者名簿!$A:$I,9,0),"")&lt;&gt;"","("&amp;VLOOKUP(INDEX(食数記録!$C:$C,MATCH(7,内部計算!$K:$K,0)),利用者名簿!$A:$I,9,0)&amp;")","")),"")</f>
        <v/>
      </c>
      <c r="F24" s="11" t="str">
        <f aca="false">IFERROR(IF(INDEX(食数記録!$C:$C,MATCH(7,内部計算!$M:$M,0))="","",INDEX(食数記録!$C:$C,MATCH(7,内部計算!$M:$M,0))&amp;IF(IFERROR(VLOOKUP(INDEX(食数記録!$C:$C,MATCH(7,内部計算!$M:$M,0)),利用者名簿!$A:$I,9,0),"")&lt;&gt;"","("&amp;VLOOKUP(INDEX(食数記録!$C:$C,MATCH(7,内部計算!$M:$M,0)),利用者名簿!$A:$I,9,0)&amp;")","")),"")</f>
        <v/>
      </c>
    </row>
    <row r="25" customFormat="false" ht="15" hidden="false" customHeight="false" outlineLevel="0" collapsed="false">
      <c r="B25" s="11" t="str">
        <f aca="false">IFERROR(IF(INDEX(食数記録!$C:$C,MATCH(8,内部計算!$I:$I,0))="","",INDEX(食数記録!$C:$C,MATCH(8,内部計算!$I:$I,0))&amp;IF(IFERROR(VLOOKUP(INDEX(食数記録!$C:$C,MATCH(8,内部計算!$I:$I,0)),利用者名簿!$A:$I,9,0),"")&lt;&gt;"","("&amp;VLOOKUP(INDEX(食数記録!$C:$C,MATCH(8,内部計算!$I:$I,0)),利用者名簿!$A:$I,9,0)&amp;")","")),"")</f>
        <v/>
      </c>
      <c r="D25" s="11" t="str">
        <f aca="false">IFERROR(IF(INDEX(食数記録!$C:$C,MATCH(8,内部計算!$K:$K,0))="","",INDEX(食数記録!$C:$C,MATCH(8,内部計算!$K:$K,0))&amp;IF(IFERROR(VLOOKUP(INDEX(食数記録!$C:$C,MATCH(8,内部計算!$K:$K,0)),利用者名簿!$A:$I,9,0),"")&lt;&gt;"","("&amp;VLOOKUP(INDEX(食数記録!$C:$C,MATCH(8,内部計算!$K:$K,0)),利用者名簿!$A:$I,9,0)&amp;")","")),"")</f>
        <v/>
      </c>
      <c r="F25" s="11" t="str">
        <f aca="false">IFERROR(IF(INDEX(食数記録!$C:$C,MATCH(8,内部計算!$M:$M,0))="","",INDEX(食数記録!$C:$C,MATCH(8,内部計算!$M:$M,0))&amp;IF(IFERROR(VLOOKUP(INDEX(食数記録!$C:$C,MATCH(8,内部計算!$M:$M,0)),利用者名簿!$A:$I,9,0),"")&lt;&gt;"","("&amp;VLOOKUP(INDEX(食数記録!$C:$C,MATCH(8,内部計算!$M:$M,0)),利用者名簿!$A:$I,9,0)&amp;")","")),"")</f>
        <v/>
      </c>
    </row>
    <row r="26" customFormat="false" ht="19.7" hidden="false" customHeight="false" outlineLevel="0" collapsed="false">
      <c r="A26" s="9" t="s">
        <v>28</v>
      </c>
      <c r="B26" s="10" t="n">
        <f aca="false">COUNTIFS(食数記録!$A:$A,$C$3,食数記録!$B:$B,"朝",食数記録!$F:$F,"男性GH",食数記録!$D:$D,"臨時喫食")</f>
        <v>0</v>
      </c>
      <c r="D26" s="10" t="n">
        <f aca="false">COUNTIFS(食数記録!$A:$A,$C$3,食数記録!$B:$B,"昼",食数記録!$F:$F,"男性GH",食数記録!$D:$D,"臨時喫食")</f>
        <v>0</v>
      </c>
      <c r="F26" s="10" t="n">
        <f aca="false">COUNTIFS(食数記録!$A:$A,$C$3,食数記録!$B:$B,"夕",食数記録!$F:$F,"男性GH",食数記録!$D:$D,"臨時喫食")</f>
        <v>0</v>
      </c>
    </row>
    <row r="27" customFormat="false" ht="15" hidden="false" customHeight="false" outlineLevel="0" collapsed="false">
      <c r="B27" s="12" t="str">
        <f aca="false">IFERROR(IF(INDEX(食数記録!$C:$C,MATCH(1,内部計算!$O:$O,0))="","",INDEX(食数記録!$C:$C,MATCH(1,内部計算!$O:$O,0))&amp;IF(IFERROR(VLOOKUP(INDEX(食数記録!$C:$C,MATCH(1,内部計算!$O:$O,0)),利用者名簿!$A:$I,9,0),"")&lt;&gt;"","("&amp;VLOOKUP(INDEX(食数記録!$C:$C,MATCH(1,内部計算!$O:$O,0)),利用者名簿!$A:$I,9,0)&amp;")","")),"")</f>
        <v/>
      </c>
      <c r="D27" s="12" t="str">
        <f aca="false">IFERROR(IF(INDEX(食数記録!$C:$C,MATCH(1,内部計算!$Q:$Q,0))="","",INDEX(食数記録!$C:$C,MATCH(1,内部計算!$Q:$Q,0))&amp;IF(IFERROR(VLOOKUP(INDEX(食数記録!$C:$C,MATCH(1,内部計算!$Q:$Q,0)),利用者名簿!$A:$I,9,0),"")&lt;&gt;"","("&amp;VLOOKUP(INDEX(食数記録!$C:$C,MATCH(1,内部計算!$Q:$Q,0)),利用者名簿!$A:$I,9,0)&amp;")","")),"")</f>
        <v/>
      </c>
      <c r="F27" s="12" t="str">
        <f aca="false">IFERROR(IF(INDEX(食数記録!$C:$C,MATCH(1,内部計算!$S:$S,0))="","",INDEX(食数記録!$C:$C,MATCH(1,内部計算!$S:$S,0))&amp;IF(IFERROR(VLOOKUP(INDEX(食数記録!$C:$C,MATCH(1,内部計算!$S:$S,0)),利用者名簿!$A:$I,9,0),"")&lt;&gt;"","("&amp;VLOOKUP(INDEX(食数記録!$C:$C,MATCH(1,内部計算!$S:$S,0)),利用者名簿!$A:$I,9,0)&amp;")","")),"")</f>
        <v/>
      </c>
    </row>
    <row r="28" customFormat="false" ht="15" hidden="false" customHeight="false" outlineLevel="0" collapsed="false">
      <c r="B28" s="12" t="str">
        <f aca="false">IFERROR(IF(INDEX(食数記録!$C:$C,MATCH(2,内部計算!$O:$O,0))="","",INDEX(食数記録!$C:$C,MATCH(2,内部計算!$O:$O,0))&amp;IF(IFERROR(VLOOKUP(INDEX(食数記録!$C:$C,MATCH(2,内部計算!$O:$O,0)),利用者名簿!$A:$I,9,0),"")&lt;&gt;"","("&amp;VLOOKUP(INDEX(食数記録!$C:$C,MATCH(2,内部計算!$O:$O,0)),利用者名簿!$A:$I,9,0)&amp;")","")),"")</f>
        <v/>
      </c>
      <c r="D28" s="12" t="str">
        <f aca="false">IFERROR(IF(INDEX(食数記録!$C:$C,MATCH(2,内部計算!$Q:$Q,0))="","",INDEX(食数記録!$C:$C,MATCH(2,内部計算!$Q:$Q,0))&amp;IF(IFERROR(VLOOKUP(INDEX(食数記録!$C:$C,MATCH(2,内部計算!$Q:$Q,0)),利用者名簿!$A:$I,9,0),"")&lt;&gt;"","("&amp;VLOOKUP(INDEX(食数記録!$C:$C,MATCH(2,内部計算!$Q:$Q,0)),利用者名簿!$A:$I,9,0)&amp;")","")),"")</f>
        <v/>
      </c>
      <c r="F28" s="12" t="str">
        <f aca="false">IFERROR(IF(INDEX(食数記録!$C:$C,MATCH(2,内部計算!$S:$S,0))="","",INDEX(食数記録!$C:$C,MATCH(2,内部計算!$S:$S,0))&amp;IF(IFERROR(VLOOKUP(INDEX(食数記録!$C:$C,MATCH(2,内部計算!$S:$S,0)),利用者名簿!$A:$I,9,0),"")&lt;&gt;"","("&amp;VLOOKUP(INDEX(食数記録!$C:$C,MATCH(2,内部計算!$S:$S,0)),利用者名簿!$A:$I,9,0)&amp;")","")),"")</f>
        <v/>
      </c>
    </row>
    <row r="29" customFormat="false" ht="15" hidden="false" customHeight="false" outlineLevel="0" collapsed="false">
      <c r="B29" s="12" t="str">
        <f aca="false">IFERROR(IF(INDEX(食数記録!$C:$C,MATCH(3,内部計算!$O:$O,0))="","",INDEX(食数記録!$C:$C,MATCH(3,内部計算!$O:$O,0))&amp;IF(IFERROR(VLOOKUP(INDEX(食数記録!$C:$C,MATCH(3,内部計算!$O:$O,0)),利用者名簿!$A:$I,9,0),"")&lt;&gt;"","("&amp;VLOOKUP(INDEX(食数記録!$C:$C,MATCH(3,内部計算!$O:$O,0)),利用者名簿!$A:$I,9,0)&amp;")","")),"")</f>
        <v/>
      </c>
      <c r="D29" s="12" t="str">
        <f aca="false">IFERROR(IF(INDEX(食数記録!$C:$C,MATCH(3,内部計算!$Q:$Q,0))="","",INDEX(食数記録!$C:$C,MATCH(3,内部計算!$Q:$Q,0))&amp;IF(IFERROR(VLOOKUP(INDEX(食数記録!$C:$C,MATCH(3,内部計算!$Q:$Q,0)),利用者名簿!$A:$I,9,0),"")&lt;&gt;"","("&amp;VLOOKUP(INDEX(食数記録!$C:$C,MATCH(3,内部計算!$Q:$Q,0)),利用者名簿!$A:$I,9,0)&amp;")","")),"")</f>
        <v/>
      </c>
      <c r="F29" s="12" t="str">
        <f aca="false">IFERROR(IF(INDEX(食数記録!$C:$C,MATCH(3,内部計算!$S:$S,0))="","",INDEX(食数記録!$C:$C,MATCH(3,内部計算!$S:$S,0))&amp;IF(IFERROR(VLOOKUP(INDEX(食数記録!$C:$C,MATCH(3,内部計算!$S:$S,0)),利用者名簿!$A:$I,9,0),"")&lt;&gt;"","("&amp;VLOOKUP(INDEX(食数記録!$C:$C,MATCH(3,内部計算!$S:$S,0)),利用者名簿!$A:$I,9,0)&amp;")","")),"")</f>
        <v/>
      </c>
    </row>
    <row r="30" customFormat="false" ht="15" hidden="false" customHeight="false" outlineLevel="0" collapsed="false">
      <c r="B30" s="12" t="str">
        <f aca="false">IFERROR(IF(INDEX(食数記録!$C:$C,MATCH(4,内部計算!$O:$O,0))="","",INDEX(食数記録!$C:$C,MATCH(4,内部計算!$O:$O,0))&amp;IF(IFERROR(VLOOKUP(INDEX(食数記録!$C:$C,MATCH(4,内部計算!$O:$O,0)),利用者名簿!$A:$I,9,0),"")&lt;&gt;"","("&amp;VLOOKUP(INDEX(食数記録!$C:$C,MATCH(4,内部計算!$O:$O,0)),利用者名簿!$A:$I,9,0)&amp;")","")),"")</f>
        <v/>
      </c>
      <c r="D30" s="12" t="str">
        <f aca="false">IFERROR(IF(INDEX(食数記録!$C:$C,MATCH(4,内部計算!$Q:$Q,0))="","",INDEX(食数記録!$C:$C,MATCH(4,内部計算!$Q:$Q,0))&amp;IF(IFERROR(VLOOKUP(INDEX(食数記録!$C:$C,MATCH(4,内部計算!$Q:$Q,0)),利用者名簿!$A:$I,9,0),"")&lt;&gt;"","("&amp;VLOOKUP(INDEX(食数記録!$C:$C,MATCH(4,内部計算!$Q:$Q,0)),利用者名簿!$A:$I,9,0)&amp;")","")),"")</f>
        <v/>
      </c>
      <c r="F30" s="12" t="str">
        <f aca="false">IFERROR(IF(INDEX(食数記録!$C:$C,MATCH(4,内部計算!$S:$S,0))="","",INDEX(食数記録!$C:$C,MATCH(4,内部計算!$S:$S,0))&amp;IF(IFERROR(VLOOKUP(INDEX(食数記録!$C:$C,MATCH(4,内部計算!$S:$S,0)),利用者名簿!$A:$I,9,0),"")&lt;&gt;"","("&amp;VLOOKUP(INDEX(食数記録!$C:$C,MATCH(4,内部計算!$S:$S,0)),利用者名簿!$A:$I,9,0)&amp;")","")),"")</f>
        <v/>
      </c>
    </row>
    <row r="31" customFormat="false" ht="15" hidden="false" customHeight="false" outlineLevel="0" collapsed="false">
      <c r="B31" s="12" t="str">
        <f aca="false">IFERROR(IF(INDEX(食数記録!$C:$C,MATCH(5,内部計算!$O:$O,0))="","",INDEX(食数記録!$C:$C,MATCH(5,内部計算!$O:$O,0))&amp;IF(IFERROR(VLOOKUP(INDEX(食数記録!$C:$C,MATCH(5,内部計算!$O:$O,0)),利用者名簿!$A:$I,9,0),"")&lt;&gt;"","("&amp;VLOOKUP(INDEX(食数記録!$C:$C,MATCH(5,内部計算!$O:$O,0)),利用者名簿!$A:$I,9,0)&amp;")","")),"")</f>
        <v/>
      </c>
      <c r="D31" s="12" t="str">
        <f aca="false">IFERROR(IF(INDEX(食数記録!$C:$C,MATCH(5,内部計算!$Q:$Q,0))="","",INDEX(食数記録!$C:$C,MATCH(5,内部計算!$Q:$Q,0))&amp;IF(IFERROR(VLOOKUP(INDEX(食数記録!$C:$C,MATCH(5,内部計算!$Q:$Q,0)),利用者名簿!$A:$I,9,0),"")&lt;&gt;"","("&amp;VLOOKUP(INDEX(食数記録!$C:$C,MATCH(5,内部計算!$Q:$Q,0)),利用者名簿!$A:$I,9,0)&amp;")","")),"")</f>
        <v/>
      </c>
      <c r="F31" s="12" t="str">
        <f aca="false">IFERROR(IF(INDEX(食数記録!$C:$C,MATCH(5,内部計算!$S:$S,0))="","",INDEX(食数記録!$C:$C,MATCH(5,内部計算!$S:$S,0))&amp;IF(IFERROR(VLOOKUP(INDEX(食数記録!$C:$C,MATCH(5,内部計算!$S:$S,0)),利用者名簿!$A:$I,9,0),"")&lt;&gt;"","("&amp;VLOOKUP(INDEX(食数記録!$C:$C,MATCH(5,内部計算!$S:$S,0)),利用者名簿!$A:$I,9,0)&amp;")","")),"")</f>
        <v/>
      </c>
    </row>
    <row r="32" customFormat="false" ht="15" hidden="false" customHeight="false" outlineLevel="0" collapsed="false">
      <c r="B32" s="12" t="str">
        <f aca="false">IFERROR(IF(INDEX(食数記録!$C:$C,MATCH(6,内部計算!$O:$O,0))="","",INDEX(食数記録!$C:$C,MATCH(6,内部計算!$O:$O,0))&amp;IF(IFERROR(VLOOKUP(INDEX(食数記録!$C:$C,MATCH(6,内部計算!$O:$O,0)),利用者名簿!$A:$I,9,0),"")&lt;&gt;"","("&amp;VLOOKUP(INDEX(食数記録!$C:$C,MATCH(6,内部計算!$O:$O,0)),利用者名簿!$A:$I,9,0)&amp;")","")),"")</f>
        <v/>
      </c>
      <c r="D32" s="12" t="str">
        <f aca="false">IFERROR(IF(INDEX(食数記録!$C:$C,MATCH(6,内部計算!$Q:$Q,0))="","",INDEX(食数記録!$C:$C,MATCH(6,内部計算!$Q:$Q,0))&amp;IF(IFERROR(VLOOKUP(INDEX(食数記録!$C:$C,MATCH(6,内部計算!$Q:$Q,0)),利用者名簿!$A:$I,9,0),"")&lt;&gt;"","("&amp;VLOOKUP(INDEX(食数記録!$C:$C,MATCH(6,内部計算!$Q:$Q,0)),利用者名簿!$A:$I,9,0)&amp;")","")),"")</f>
        <v/>
      </c>
      <c r="F32" s="12" t="str">
        <f aca="false">IFERROR(IF(INDEX(食数記録!$C:$C,MATCH(6,内部計算!$S:$S,0))="","",INDEX(食数記録!$C:$C,MATCH(6,内部計算!$S:$S,0))&amp;IF(IFERROR(VLOOKUP(INDEX(食数記録!$C:$C,MATCH(6,内部計算!$S:$S,0)),利用者名簿!$A:$I,9,0),"")&lt;&gt;"","("&amp;VLOOKUP(INDEX(食数記録!$C:$C,MATCH(6,内部計算!$S:$S,0)),利用者名簿!$A:$I,9,0)&amp;")","")),"")</f>
        <v/>
      </c>
    </row>
    <row r="33" customFormat="false" ht="15" hidden="false" customHeight="false" outlineLevel="0" collapsed="false">
      <c r="B33" s="12" t="str">
        <f aca="false">IFERROR(IF(INDEX(食数記録!$C:$C,MATCH(7,内部計算!$O:$O,0))="","",INDEX(食数記録!$C:$C,MATCH(7,内部計算!$O:$O,0))&amp;IF(IFERROR(VLOOKUP(INDEX(食数記録!$C:$C,MATCH(7,内部計算!$O:$O,0)),利用者名簿!$A:$I,9,0),"")&lt;&gt;"","("&amp;VLOOKUP(INDEX(食数記録!$C:$C,MATCH(7,内部計算!$O:$O,0)),利用者名簿!$A:$I,9,0)&amp;")","")),"")</f>
        <v/>
      </c>
      <c r="D33" s="12" t="str">
        <f aca="false">IFERROR(IF(INDEX(食数記録!$C:$C,MATCH(7,内部計算!$Q:$Q,0))="","",INDEX(食数記録!$C:$C,MATCH(7,内部計算!$Q:$Q,0))&amp;IF(IFERROR(VLOOKUP(INDEX(食数記録!$C:$C,MATCH(7,内部計算!$Q:$Q,0)),利用者名簿!$A:$I,9,0),"")&lt;&gt;"","("&amp;VLOOKUP(INDEX(食数記録!$C:$C,MATCH(7,内部計算!$Q:$Q,0)),利用者名簿!$A:$I,9,0)&amp;")","")),"")</f>
        <v/>
      </c>
      <c r="F33" s="12" t="str">
        <f aca="false">IFERROR(IF(INDEX(食数記録!$C:$C,MATCH(7,内部計算!$S:$S,0))="","",INDEX(食数記録!$C:$C,MATCH(7,内部計算!$S:$S,0))&amp;IF(IFERROR(VLOOKUP(INDEX(食数記録!$C:$C,MATCH(7,内部計算!$S:$S,0)),利用者名簿!$A:$I,9,0),"")&lt;&gt;"","("&amp;VLOOKUP(INDEX(食数記録!$C:$C,MATCH(7,内部計算!$S:$S,0)),利用者名簿!$A:$I,9,0)&amp;")","")),"")</f>
        <v/>
      </c>
    </row>
    <row r="34" customFormat="false" ht="15" hidden="false" customHeight="false" outlineLevel="0" collapsed="false">
      <c r="B34" s="12" t="str">
        <f aca="false">IFERROR(IF(INDEX(食数記録!$C:$C,MATCH(8,内部計算!$O:$O,0))="","",INDEX(食数記録!$C:$C,MATCH(8,内部計算!$O:$O,0))&amp;IF(IFERROR(VLOOKUP(INDEX(食数記録!$C:$C,MATCH(8,内部計算!$O:$O,0)),利用者名簿!$A:$I,9,0),"")&lt;&gt;"","("&amp;VLOOKUP(INDEX(食数記録!$C:$C,MATCH(8,内部計算!$O:$O,0)),利用者名簿!$A:$I,9,0)&amp;")","")),"")</f>
        <v/>
      </c>
      <c r="D34" s="12" t="str">
        <f aca="false">IFERROR(IF(INDEX(食数記録!$C:$C,MATCH(8,内部計算!$Q:$Q,0))="","",INDEX(食数記録!$C:$C,MATCH(8,内部計算!$Q:$Q,0))&amp;IF(IFERROR(VLOOKUP(INDEX(食数記録!$C:$C,MATCH(8,内部計算!$Q:$Q,0)),利用者名簿!$A:$I,9,0),"")&lt;&gt;"","("&amp;VLOOKUP(INDEX(食数記録!$C:$C,MATCH(8,内部計算!$Q:$Q,0)),利用者名簿!$A:$I,9,0)&amp;")","")),"")</f>
        <v/>
      </c>
      <c r="F34" s="12" t="str">
        <f aca="false">IFERROR(IF(INDEX(食数記録!$C:$C,MATCH(8,内部計算!$S:$S,0))="","",INDEX(食数記録!$C:$C,MATCH(8,内部計算!$S:$S,0))&amp;IF(IFERROR(VLOOKUP(INDEX(食数記録!$C:$C,MATCH(8,内部計算!$S:$S,0)),利用者名簿!$A:$I,9,0),"")&lt;&gt;"","("&amp;VLOOKUP(INDEX(食数記録!$C:$C,MATCH(8,内部計算!$S:$S,0)),利用者名簿!$A:$I,9,0)&amp;")","")),"")</f>
        <v/>
      </c>
    </row>
    <row r="35" customFormat="false" ht="19.7" hidden="false" customHeight="false" outlineLevel="0" collapsed="false">
      <c r="A35" s="9" t="s">
        <v>29</v>
      </c>
      <c r="B35" s="10" t="n">
        <f aca="false">COUNTIFS(食数記録!$A:$A,$C$3,食数記録!$B:$B,"朝",食数記録!$F:$F,"女性GH",食数記録!$D:$D,"臨時喫食")</f>
        <v>0</v>
      </c>
      <c r="D35" s="10" t="n">
        <f aca="false">COUNTIFS(食数記録!$A:$A,$C$3,食数記録!$B:$B,"昼",食数記録!$F:$F,"女性GH",食数記録!$D:$D,"臨時喫食")</f>
        <v>0</v>
      </c>
      <c r="F35" s="10" t="n">
        <f aca="false">COUNTIFS(食数記録!$A:$A,$C$3,食数記録!$B:$B,"夕",食数記録!$F:$F,"女性GH",食数記録!$D:$D,"臨時喫食")</f>
        <v>0</v>
      </c>
    </row>
    <row r="36" customFormat="false" ht="15" hidden="false" customHeight="false" outlineLevel="0" collapsed="false">
      <c r="B36" s="12" t="str">
        <f aca="false">IFERROR(IF(INDEX(食数記録!$C:$C,MATCH(1,内部計算!$U:$U,0))="","",INDEX(食数記録!$C:$C,MATCH(1,内部計算!$U:$U,0))&amp;IF(IFERROR(VLOOKUP(INDEX(食数記録!$C:$C,MATCH(1,内部計算!$U:$U,0)),利用者名簿!$A:$I,9,0),"")&lt;&gt;"","("&amp;VLOOKUP(INDEX(食数記録!$C:$C,MATCH(1,内部計算!$U:$U,0)),利用者名簿!$A:$I,9,0)&amp;")","")),"")</f>
        <v/>
      </c>
      <c r="D36" s="12" t="str">
        <f aca="false">IFERROR(IF(INDEX(食数記録!$C:$C,MATCH(1,内部計算!$W:$W,0))="","",INDEX(食数記録!$C:$C,MATCH(1,内部計算!$W:$W,0))&amp;IF(IFERROR(VLOOKUP(INDEX(食数記録!$C:$C,MATCH(1,内部計算!$W:$W,0)),利用者名簿!$A:$I,9,0),"")&lt;&gt;"","("&amp;VLOOKUP(INDEX(食数記録!$C:$C,MATCH(1,内部計算!$W:$W,0)),利用者名簿!$A:$I,9,0)&amp;")","")),"")</f>
        <v/>
      </c>
      <c r="F36" s="12" t="str">
        <f aca="false">IFERROR(IF(INDEX(食数記録!$C:$C,MATCH(1,内部計算!$Y:$Y,0))="","",INDEX(食数記録!$C:$C,MATCH(1,内部計算!$Y:$Y,0))&amp;IF(IFERROR(VLOOKUP(INDEX(食数記録!$C:$C,MATCH(1,内部計算!$Y:$Y,0)),利用者名簿!$A:$I,9,0),"")&lt;&gt;"","("&amp;VLOOKUP(INDEX(食数記録!$C:$C,MATCH(1,内部計算!$Y:$Y,0)),利用者名簿!$A:$I,9,0)&amp;")","")),"")</f>
        <v/>
      </c>
    </row>
    <row r="37" customFormat="false" ht="15" hidden="false" customHeight="false" outlineLevel="0" collapsed="false">
      <c r="B37" s="12" t="str">
        <f aca="false">IFERROR(IF(INDEX(食数記録!$C:$C,MATCH(2,内部計算!$U:$U,0))="","",INDEX(食数記録!$C:$C,MATCH(2,内部計算!$U:$U,0))&amp;IF(IFERROR(VLOOKUP(INDEX(食数記録!$C:$C,MATCH(2,内部計算!$U:$U,0)),利用者名簿!$A:$I,9,0),"")&lt;&gt;"","("&amp;VLOOKUP(INDEX(食数記録!$C:$C,MATCH(2,内部計算!$U:$U,0)),利用者名簿!$A:$I,9,0)&amp;")","")),"")</f>
        <v/>
      </c>
      <c r="D37" s="12" t="str">
        <f aca="false">IFERROR(IF(INDEX(食数記録!$C:$C,MATCH(2,内部計算!$W:$W,0))="","",INDEX(食数記録!$C:$C,MATCH(2,内部計算!$W:$W,0))&amp;IF(IFERROR(VLOOKUP(INDEX(食数記録!$C:$C,MATCH(2,内部計算!$W:$W,0)),利用者名簿!$A:$I,9,0),"")&lt;&gt;"","("&amp;VLOOKUP(INDEX(食数記録!$C:$C,MATCH(2,内部計算!$W:$W,0)),利用者名簿!$A:$I,9,0)&amp;")","")),"")</f>
        <v/>
      </c>
      <c r="F37" s="12" t="str">
        <f aca="false">IFERROR(IF(INDEX(食数記録!$C:$C,MATCH(2,内部計算!$Y:$Y,0))="","",INDEX(食数記録!$C:$C,MATCH(2,内部計算!$Y:$Y,0))&amp;IF(IFERROR(VLOOKUP(INDEX(食数記録!$C:$C,MATCH(2,内部計算!$Y:$Y,0)),利用者名簿!$A:$I,9,0),"")&lt;&gt;"","("&amp;VLOOKUP(INDEX(食数記録!$C:$C,MATCH(2,内部計算!$Y:$Y,0)),利用者名簿!$A:$I,9,0)&amp;")","")),"")</f>
        <v/>
      </c>
    </row>
    <row r="38" customFormat="false" ht="15" hidden="false" customHeight="false" outlineLevel="0" collapsed="false">
      <c r="B38" s="12" t="str">
        <f aca="false">IFERROR(IF(INDEX(食数記録!$C:$C,MATCH(3,内部計算!$U:$U,0))="","",INDEX(食数記録!$C:$C,MATCH(3,内部計算!$U:$U,0))&amp;IF(IFERROR(VLOOKUP(INDEX(食数記録!$C:$C,MATCH(3,内部計算!$U:$U,0)),利用者名簿!$A:$I,9,0),"")&lt;&gt;"","("&amp;VLOOKUP(INDEX(食数記録!$C:$C,MATCH(3,内部計算!$U:$U,0)),利用者名簿!$A:$I,9,0)&amp;")","")),"")</f>
        <v/>
      </c>
      <c r="D38" s="12" t="str">
        <f aca="false">IFERROR(IF(INDEX(食数記録!$C:$C,MATCH(3,内部計算!$W:$W,0))="","",INDEX(食数記録!$C:$C,MATCH(3,内部計算!$W:$W,0))&amp;IF(IFERROR(VLOOKUP(INDEX(食数記録!$C:$C,MATCH(3,内部計算!$W:$W,0)),利用者名簿!$A:$I,9,0),"")&lt;&gt;"","("&amp;VLOOKUP(INDEX(食数記録!$C:$C,MATCH(3,内部計算!$W:$W,0)),利用者名簿!$A:$I,9,0)&amp;")","")),"")</f>
        <v/>
      </c>
      <c r="F38" s="12" t="str">
        <f aca="false">IFERROR(IF(INDEX(食数記録!$C:$C,MATCH(3,内部計算!$Y:$Y,0))="","",INDEX(食数記録!$C:$C,MATCH(3,内部計算!$Y:$Y,0))&amp;IF(IFERROR(VLOOKUP(INDEX(食数記録!$C:$C,MATCH(3,内部計算!$Y:$Y,0)),利用者名簿!$A:$I,9,0),"")&lt;&gt;"","("&amp;VLOOKUP(INDEX(食数記録!$C:$C,MATCH(3,内部計算!$Y:$Y,0)),利用者名簿!$A:$I,9,0)&amp;")","")),"")</f>
        <v/>
      </c>
    </row>
    <row r="39" customFormat="false" ht="15" hidden="false" customHeight="false" outlineLevel="0" collapsed="false">
      <c r="B39" s="12" t="str">
        <f aca="false">IFERROR(IF(INDEX(食数記録!$C:$C,MATCH(4,内部計算!$U:$U,0))="","",INDEX(食数記録!$C:$C,MATCH(4,内部計算!$U:$U,0))&amp;IF(IFERROR(VLOOKUP(INDEX(食数記録!$C:$C,MATCH(4,内部計算!$U:$U,0)),利用者名簿!$A:$I,9,0),"")&lt;&gt;"","("&amp;VLOOKUP(INDEX(食数記録!$C:$C,MATCH(4,内部計算!$U:$U,0)),利用者名簿!$A:$I,9,0)&amp;")","")),"")</f>
        <v/>
      </c>
      <c r="D39" s="12" t="str">
        <f aca="false">IFERROR(IF(INDEX(食数記録!$C:$C,MATCH(4,内部計算!$W:$W,0))="","",INDEX(食数記録!$C:$C,MATCH(4,内部計算!$W:$W,0))&amp;IF(IFERROR(VLOOKUP(INDEX(食数記録!$C:$C,MATCH(4,内部計算!$W:$W,0)),利用者名簿!$A:$I,9,0),"")&lt;&gt;"","("&amp;VLOOKUP(INDEX(食数記録!$C:$C,MATCH(4,内部計算!$W:$W,0)),利用者名簿!$A:$I,9,0)&amp;")","")),"")</f>
        <v/>
      </c>
      <c r="F39" s="12" t="str">
        <f aca="false">IFERROR(IF(INDEX(食数記録!$C:$C,MATCH(4,内部計算!$Y:$Y,0))="","",INDEX(食数記録!$C:$C,MATCH(4,内部計算!$Y:$Y,0))&amp;IF(IFERROR(VLOOKUP(INDEX(食数記録!$C:$C,MATCH(4,内部計算!$Y:$Y,0)),利用者名簿!$A:$I,9,0),"")&lt;&gt;"","("&amp;VLOOKUP(INDEX(食数記録!$C:$C,MATCH(4,内部計算!$Y:$Y,0)),利用者名簿!$A:$I,9,0)&amp;")","")),"")</f>
        <v/>
      </c>
    </row>
    <row r="40" customFormat="false" ht="15" hidden="false" customHeight="false" outlineLevel="0" collapsed="false">
      <c r="B40" s="12" t="str">
        <f aca="false">IFERROR(IF(INDEX(食数記録!$C:$C,MATCH(5,内部計算!$U:$U,0))="","",INDEX(食数記録!$C:$C,MATCH(5,内部計算!$U:$U,0))&amp;IF(IFERROR(VLOOKUP(INDEX(食数記録!$C:$C,MATCH(5,内部計算!$U:$U,0)),利用者名簿!$A:$I,9,0),"")&lt;&gt;"","("&amp;VLOOKUP(INDEX(食数記録!$C:$C,MATCH(5,内部計算!$U:$U,0)),利用者名簿!$A:$I,9,0)&amp;")","")),"")</f>
        <v/>
      </c>
      <c r="D40" s="12" t="str">
        <f aca="false">IFERROR(IF(INDEX(食数記録!$C:$C,MATCH(5,内部計算!$W:$W,0))="","",INDEX(食数記録!$C:$C,MATCH(5,内部計算!$W:$W,0))&amp;IF(IFERROR(VLOOKUP(INDEX(食数記録!$C:$C,MATCH(5,内部計算!$W:$W,0)),利用者名簿!$A:$I,9,0),"")&lt;&gt;"","("&amp;VLOOKUP(INDEX(食数記録!$C:$C,MATCH(5,内部計算!$W:$W,0)),利用者名簿!$A:$I,9,0)&amp;")","")),"")</f>
        <v/>
      </c>
      <c r="F40" s="12" t="str">
        <f aca="false">IFERROR(IF(INDEX(食数記録!$C:$C,MATCH(5,内部計算!$Y:$Y,0))="","",INDEX(食数記録!$C:$C,MATCH(5,内部計算!$Y:$Y,0))&amp;IF(IFERROR(VLOOKUP(INDEX(食数記録!$C:$C,MATCH(5,内部計算!$Y:$Y,0)),利用者名簿!$A:$I,9,0),"")&lt;&gt;"","("&amp;VLOOKUP(INDEX(食数記録!$C:$C,MATCH(5,内部計算!$Y:$Y,0)),利用者名簿!$A:$I,9,0)&amp;")","")),"")</f>
        <v/>
      </c>
    </row>
    <row r="41" customFormat="false" ht="15" hidden="false" customHeight="false" outlineLevel="0" collapsed="false">
      <c r="B41" s="12" t="str">
        <f aca="false">IFERROR(IF(INDEX(食数記録!$C:$C,MATCH(6,内部計算!$U:$U,0))="","",INDEX(食数記録!$C:$C,MATCH(6,内部計算!$U:$U,0))&amp;IF(IFERROR(VLOOKUP(INDEX(食数記録!$C:$C,MATCH(6,内部計算!$U:$U,0)),利用者名簿!$A:$I,9,0),"")&lt;&gt;"","("&amp;VLOOKUP(INDEX(食数記録!$C:$C,MATCH(6,内部計算!$U:$U,0)),利用者名簿!$A:$I,9,0)&amp;")","")),"")</f>
        <v/>
      </c>
      <c r="D41" s="12" t="str">
        <f aca="false">IFERROR(IF(INDEX(食数記録!$C:$C,MATCH(6,内部計算!$W:$W,0))="","",INDEX(食数記録!$C:$C,MATCH(6,内部計算!$W:$W,0))&amp;IF(IFERROR(VLOOKUP(INDEX(食数記録!$C:$C,MATCH(6,内部計算!$W:$W,0)),利用者名簿!$A:$I,9,0),"")&lt;&gt;"","("&amp;VLOOKUP(INDEX(食数記録!$C:$C,MATCH(6,内部計算!$W:$W,0)),利用者名簿!$A:$I,9,0)&amp;")","")),"")</f>
        <v/>
      </c>
      <c r="F41" s="12" t="str">
        <f aca="false">IFERROR(IF(INDEX(食数記録!$C:$C,MATCH(6,内部計算!$Y:$Y,0))="","",INDEX(食数記録!$C:$C,MATCH(6,内部計算!$Y:$Y,0))&amp;IF(IFERROR(VLOOKUP(INDEX(食数記録!$C:$C,MATCH(6,内部計算!$Y:$Y,0)),利用者名簿!$A:$I,9,0),"")&lt;&gt;"","("&amp;VLOOKUP(INDEX(食数記録!$C:$C,MATCH(6,内部計算!$Y:$Y,0)),利用者名簿!$A:$I,9,0)&amp;")","")),"")</f>
        <v/>
      </c>
    </row>
    <row r="42" customFormat="false" ht="15" hidden="false" customHeight="false" outlineLevel="0" collapsed="false">
      <c r="B42" s="12" t="str">
        <f aca="false">IFERROR(IF(INDEX(食数記録!$C:$C,MATCH(7,内部計算!$U:$U,0))="","",INDEX(食数記録!$C:$C,MATCH(7,内部計算!$U:$U,0))&amp;IF(IFERROR(VLOOKUP(INDEX(食数記録!$C:$C,MATCH(7,内部計算!$U:$U,0)),利用者名簿!$A:$I,9,0),"")&lt;&gt;"","("&amp;VLOOKUP(INDEX(食数記録!$C:$C,MATCH(7,内部計算!$U:$U,0)),利用者名簿!$A:$I,9,0)&amp;")","")),"")</f>
        <v/>
      </c>
      <c r="D42" s="12" t="str">
        <f aca="false">IFERROR(IF(INDEX(食数記録!$C:$C,MATCH(7,内部計算!$W:$W,0))="","",INDEX(食数記録!$C:$C,MATCH(7,内部計算!$W:$W,0))&amp;IF(IFERROR(VLOOKUP(INDEX(食数記録!$C:$C,MATCH(7,内部計算!$W:$W,0)),利用者名簿!$A:$I,9,0),"")&lt;&gt;"","("&amp;VLOOKUP(INDEX(食数記録!$C:$C,MATCH(7,内部計算!$W:$W,0)),利用者名簿!$A:$I,9,0)&amp;")","")),"")</f>
        <v/>
      </c>
      <c r="F42" s="12" t="str">
        <f aca="false">IFERROR(IF(INDEX(食数記録!$C:$C,MATCH(7,内部計算!$Y:$Y,0))="","",INDEX(食数記録!$C:$C,MATCH(7,内部計算!$Y:$Y,0))&amp;IF(IFERROR(VLOOKUP(INDEX(食数記録!$C:$C,MATCH(7,内部計算!$Y:$Y,0)),利用者名簿!$A:$I,9,0),"")&lt;&gt;"","("&amp;VLOOKUP(INDEX(食数記録!$C:$C,MATCH(7,内部計算!$Y:$Y,0)),利用者名簿!$A:$I,9,0)&amp;")","")),"")</f>
        <v/>
      </c>
    </row>
    <row r="43" customFormat="false" ht="15" hidden="false" customHeight="false" outlineLevel="0" collapsed="false">
      <c r="B43" s="12" t="str">
        <f aca="false">IFERROR(IF(INDEX(食数記録!$C:$C,MATCH(8,内部計算!$U:$U,0))="","",INDEX(食数記録!$C:$C,MATCH(8,内部計算!$U:$U,0))&amp;IF(IFERROR(VLOOKUP(INDEX(食数記録!$C:$C,MATCH(8,内部計算!$U:$U,0)),利用者名簿!$A:$I,9,0),"")&lt;&gt;"","("&amp;VLOOKUP(INDEX(食数記録!$C:$C,MATCH(8,内部計算!$U:$U,0)),利用者名簿!$A:$I,9,0)&amp;")","")),"")</f>
        <v/>
      </c>
      <c r="D43" s="12" t="str">
        <f aca="false">IFERROR(IF(INDEX(食数記録!$C:$C,MATCH(8,内部計算!$W:$W,0))="","",INDEX(食数記録!$C:$C,MATCH(8,内部計算!$W:$W,0))&amp;IF(IFERROR(VLOOKUP(INDEX(食数記録!$C:$C,MATCH(8,内部計算!$W:$W,0)),利用者名簿!$A:$I,9,0),"")&lt;&gt;"","("&amp;VLOOKUP(INDEX(食数記録!$C:$C,MATCH(8,内部計算!$W:$W,0)),利用者名簿!$A:$I,9,0)&amp;")","")),"")</f>
        <v/>
      </c>
      <c r="F43" s="12" t="str">
        <f aca="false">IFERROR(IF(INDEX(食数記録!$C:$C,MATCH(8,内部計算!$Y:$Y,0))="","",INDEX(食数記録!$C:$C,MATCH(8,内部計算!$Y:$Y,0))&amp;IF(IFERROR(VLOOKUP(INDEX(食数記録!$C:$C,MATCH(8,内部計算!$Y:$Y,0)),利用者名簿!$A:$I,9,0),"")&lt;&gt;"","("&amp;VLOOKUP(INDEX(食数記録!$C:$C,MATCH(8,内部計算!$Y:$Y,0)),利用者名簿!$A:$I,9,0)&amp;")","")),"")</f>
        <v/>
      </c>
    </row>
    <row r="45" customFormat="false" ht="16.15" hidden="false" customHeight="false" outlineLevel="0" collapsed="false">
      <c r="A45" s="9" t="s">
        <v>30</v>
      </c>
      <c r="B45" s="13" t="n">
        <f aca="false">SUMIFS(職員食来客記録!$C:$C,職員食来客記録!$A:$A,$C$3,職員食来客記録!$B:$B,"朝")</f>
        <v>0</v>
      </c>
      <c r="D45" s="13" t="n">
        <f aca="false">SUMIFS(職員食来客記録!$C:$C,職員食来客記録!$A:$A,$C$3,職員食来客記録!$B:$B,"昼")</f>
        <v>0</v>
      </c>
      <c r="F45" s="13" t="n">
        <f aca="false">SUMIFS(職員食来客記録!$C:$C,職員食来客記録!$A:$A,$C$3,職員食来客記録!$B:$B,"夕")</f>
        <v>0</v>
      </c>
    </row>
    <row r="46" customFormat="false" ht="16.15" hidden="false" customHeight="false" outlineLevel="0" collapsed="false">
      <c r="A46" s="9" t="s">
        <v>31</v>
      </c>
      <c r="B46" s="13" t="n">
        <f aca="false">SUMIFS(職員食来客記録!$D:$D,職員食来客記録!$A:$A,$C$3,職員食来客記録!$B:$B,"朝")</f>
        <v>0</v>
      </c>
      <c r="D46" s="13" t="n">
        <f aca="false">SUMIFS(職員食来客記録!$D:$D,職員食来客記録!$A:$A,$C$3,職員食来客記録!$B:$B,"昼")</f>
        <v>2</v>
      </c>
      <c r="F46" s="13" t="n">
        <f aca="false">SUMIFS(職員食来客記録!$D:$D,職員食来客記録!$A:$A,$C$3,職員食来客記録!$B:$B,"夕")</f>
        <v>0</v>
      </c>
    </row>
    <row r="48" customFormat="false" ht="26.8" hidden="false" customHeight="false" outlineLevel="0" collapsed="false">
      <c r="A48" s="14" t="s">
        <v>32</v>
      </c>
      <c r="B48" s="15" t="n">
        <f aca="false">B8+B17+B26+B35+B46+B47</f>
        <v>1</v>
      </c>
      <c r="D48" s="15" t="n">
        <f aca="false">D8+D17+D26+D35+D46+D47</f>
        <v>3</v>
      </c>
      <c r="F48" s="15" t="n">
        <f aca="false">F8+F17+F26+F35+F46+F47</f>
        <v>2</v>
      </c>
    </row>
  </sheetData>
  <mergeCells count="3">
    <mergeCell ref="A1:F1"/>
    <mergeCell ref="A4:H4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"/>
    <col collapsed="false" customWidth="true" hidden="false" outlineLevel="0" max="4" min="4" style="0" width="14"/>
    <col collapsed="false" customWidth="true" hidden="false" outlineLevel="0" max="5" min="5" style="0" width="2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5" t="s">
        <v>33</v>
      </c>
      <c r="B1" s="5"/>
      <c r="C1" s="5"/>
      <c r="D1" s="5"/>
      <c r="E1" s="5"/>
      <c r="F1" s="5"/>
    </row>
    <row r="3" customFormat="false" ht="17.15" hidden="false" customHeight="false" outlineLevel="0" collapsed="false">
      <c r="A3" s="4" t="s">
        <v>34</v>
      </c>
      <c r="C3" s="16" t="n">
        <v>46235</v>
      </c>
    </row>
    <row r="4" customFormat="false" ht="15" hidden="false" customHeight="false" outlineLevel="0" collapsed="false">
      <c r="A4" s="17" t="s">
        <v>35</v>
      </c>
      <c r="B4" s="17"/>
      <c r="C4" s="17"/>
      <c r="D4" s="17"/>
      <c r="E4" s="17"/>
      <c r="F4" s="17"/>
      <c r="G4" s="17"/>
      <c r="H4" s="17"/>
    </row>
    <row r="5" customFormat="false" ht="15" hidden="false" customHeight="false" outlineLevel="0" collapsed="false">
      <c r="A5" s="7" t="s">
        <v>36</v>
      </c>
      <c r="B5" s="7"/>
      <c r="C5" s="7"/>
      <c r="D5" s="7"/>
      <c r="E5" s="7"/>
      <c r="F5" s="7"/>
      <c r="G5" s="7"/>
      <c r="H5" s="7"/>
    </row>
    <row r="7" customFormat="false" ht="16.15" hidden="false" customHeight="false" outlineLevel="0" collapsed="false">
      <c r="A7" s="18" t="s">
        <v>37</v>
      </c>
    </row>
    <row r="8" customFormat="false" ht="15" hidden="false" customHeight="false" outlineLevel="0" collapsed="false">
      <c r="B8" s="8" t="s">
        <v>23</v>
      </c>
      <c r="D8" s="8" t="s">
        <v>24</v>
      </c>
      <c r="F8" s="8" t="s">
        <v>25</v>
      </c>
    </row>
    <row r="9" customFormat="false" ht="39.55" hidden="false" customHeight="false" outlineLevel="0" collapsed="false">
      <c r="B9" s="19" t="n">
        <f aca="false">SUM(C13:C43)</f>
        <v>61</v>
      </c>
      <c r="D9" s="19" t="n">
        <f aca="false">SUM(D13:D43)</f>
        <v>84</v>
      </c>
      <c r="F9" s="19" t="n">
        <f aca="false">SUM(E13:E43)</f>
        <v>62</v>
      </c>
    </row>
    <row r="12" customFormat="false" ht="15" hidden="false" customHeight="false" outlineLevel="0" collapsed="false">
      <c r="A12" s="8" t="s">
        <v>38</v>
      </c>
      <c r="B12" s="8" t="s">
        <v>39</v>
      </c>
      <c r="C12" s="8" t="s">
        <v>40</v>
      </c>
      <c r="D12" s="8" t="s">
        <v>41</v>
      </c>
      <c r="E12" s="8" t="s">
        <v>42</v>
      </c>
    </row>
    <row r="13" customFormat="false" ht="15" hidden="false" customHeight="false" outlineLevel="0" collapsed="false">
      <c r="A13" s="20" t="n">
        <f aca="false">IF(MONTH($C$3+0)=MONTH($C$3),$C$3+0,"")</f>
        <v>46235</v>
      </c>
      <c r="B13" s="21" t="str">
        <f aca="false">IF(A13="","",TEXT(A13,"aaa"))</f>
        <v>Sat</v>
      </c>
      <c r="C13" s="22" t="n">
        <f aca="false">IF($A13="","",(COUNTIFS(利用者名簿!$B:$B,"男性入所",利用者名簿!$G:$G,"在籍")-COUNTIFS(食数記録!$A:$A,$A13,食数記録!$B:$B,"朝",食数記録!$F:$F,"男性入所",食数記録!$D:$D,"欠食"))+(COUNTIFS(利用者名簿!$B:$B,"女性入所",利用者名簿!$G:$G,"在籍")-COUNTIFS(食数記録!$A:$A,$A13,食数記録!$B:$B,"朝",食数記録!$F:$F,"女性入所",食数記録!$D:$D,"欠食"))+COUNTIFS(食数記録!$A:$A,$A13,食数記録!$B:$B,"朝",食数記録!$F:$F,"男性GH",食数記録!$D:$D,"臨時喫食")+COUNTIFS(食数記録!$A:$A,$A13,食数記録!$B:$B,"朝",食数記録!$F:$F,"女性GH",食数記録!$D:$D,"臨時喫食")+SUMIFS(職員食来客記録!$C:$C,職員食来客記録!$A:$A,$A13,職員食来客記録!$B:$B,"朝")+SUMIFS(職員食来客記録!$D:$D,職員食来客記録!$A:$A,$A13,職員食来客記録!$B:$B,"朝"))</f>
        <v>2</v>
      </c>
      <c r="D13" s="22" t="n">
        <f aca="false">IF($A13="","",(COUNTIFS(利用者名簿!$B:$B,"男性入所",利用者名簿!$G:$G,"在籍")-COUNTIFS(食数記録!$A:$A,$A13,食数記録!$B:$B,"昼",食数記録!$F:$F,"男性入所",食数記録!$D:$D,"欠食"))+(COUNTIFS(利用者名簿!$B:$B,"女性入所",利用者名簿!$G:$G,"在籍")-COUNTIFS(食数記録!$A:$A,$A13,食数記録!$B:$B,"昼",食数記録!$F:$F,"女性入所",食数記録!$D:$D,"欠食"))+(IF(WEEKDAY($A13,2)&lt;=5,COUNTIFS(利用者名簿!$B:$B,"男性GH",利用者名簿!$G:$G,"在籍")-COUNTIFS(食数記録!$A:$A,$A13,食数記録!$B:$B,"昼",食数記録!$F:$F,"男性GH",食数記録!$D:$D,"欠食"),COUNTIFS(食数記録!$A:$A,$A13,食数記録!$B:$B,"昼",食数記録!$F:$F,"男性GH",食数記録!$D:$D,"臨時喫食")))+(IF(WEEKDAY($A13,2)&lt;=5,COUNTIFS(利用者名簿!$B:$B,"女性GH",利用者名簿!$G:$G,"在籍")-COUNTIFS(食数記録!$A:$A,$A13,食数記録!$B:$B,"昼",食数記録!$F:$F,"女性GH",食数記録!$D:$D,"欠食"),COUNTIFS(食数記録!$A:$A,$A13,食数記録!$B:$B,"昼",食数記録!$F:$F,"女性GH",食数記録!$D:$D,"臨時喫食")))+SUMIFS(職員食来客記録!$C:$C,職員食来客記録!$A:$A,$A13,職員食来客記録!$B:$B,"昼")+SUMIFS(職員食来客記録!$D:$D,職員食来客記録!$A:$A,$A13,職員食来客記録!$B:$B,"昼"))</f>
        <v>2</v>
      </c>
      <c r="E13" s="22" t="n">
        <f aca="false">IF($A13="","",(COUNTIFS(利用者名簿!$B:$B,"男性入所",利用者名簿!$G:$G,"在籍")-COUNTIFS(食数記録!$A:$A,$A13,食数記録!$B:$B,"夕",食数記録!$F:$F,"男性入所",食数記録!$D:$D,"欠食"))+(COUNTIFS(利用者名簿!$B:$B,"女性入所",利用者名簿!$G:$G,"在籍")-COUNTIFS(食数記録!$A:$A,$A13,食数記録!$B:$B,"夕",食数記録!$F:$F,"女性入所",食数記録!$D:$D,"欠食"))+COUNTIFS(食数記録!$A:$A,$A13,食数記録!$B:$B,"夕",食数記録!$F:$F,"男性GH",食数記録!$D:$D,"臨時喫食")+COUNTIFS(食数記録!$A:$A,$A13,食数記録!$B:$B,"夕",食数記録!$F:$F,"女性GH",食数記録!$D:$D,"臨時喫食")+SUMIFS(職員食来客記録!$C:$C,職員食来客記録!$A:$A,$A13,職員食来客記録!$B:$B,"夕")+SUMIFS(職員食来客記録!$D:$D,職員食来客記録!$A:$A,$A13,職員食来客記録!$B:$B,"夕"))</f>
        <v>2</v>
      </c>
    </row>
    <row r="14" customFormat="false" ht="15" hidden="false" customHeight="false" outlineLevel="0" collapsed="false">
      <c r="A14" s="20" t="n">
        <f aca="false">IF(MONTH($C$3+1)=MONTH($C$3),$C$3+1,"")</f>
        <v>46236</v>
      </c>
      <c r="B14" s="21" t="str">
        <f aca="false">IF(A14="","",TEXT(A14,"aaa"))</f>
        <v>Sun</v>
      </c>
      <c r="C14" s="22" t="n">
        <f aca="false">IF($A14="","",(COUNTIFS(利用者名簿!$B:$B,"男性入所",利用者名簿!$G:$G,"在籍")-COUNTIFS(食数記録!$A:$A,$A14,食数記録!$B:$B,"朝",食数記録!$F:$F,"男性入所",食数記録!$D:$D,"欠食"))+(COUNTIFS(利用者名簿!$B:$B,"女性入所",利用者名簿!$G:$G,"在籍")-COUNTIFS(食数記録!$A:$A,$A14,食数記録!$B:$B,"朝",食数記録!$F:$F,"女性入所",食数記録!$D:$D,"欠食"))+COUNTIFS(食数記録!$A:$A,$A14,食数記録!$B:$B,"朝",食数記録!$F:$F,"男性GH",食数記録!$D:$D,"臨時喫食")+COUNTIFS(食数記録!$A:$A,$A14,食数記録!$B:$B,"朝",食数記録!$F:$F,"女性GH",食数記録!$D:$D,"臨時喫食")+SUMIFS(職員食来客記録!$C:$C,職員食来客記録!$A:$A,$A14,職員食来客記録!$B:$B,"朝")+SUMIFS(職員食来客記録!$D:$D,職員食来客記録!$A:$A,$A14,職員食来客記録!$B:$B,"朝"))</f>
        <v>2</v>
      </c>
      <c r="D14" s="22" t="n">
        <f aca="false">IF($A14="","",(COUNTIFS(利用者名簿!$B:$B,"男性入所",利用者名簿!$G:$G,"在籍")-COUNTIFS(食数記録!$A:$A,$A14,食数記録!$B:$B,"昼",食数記録!$F:$F,"男性入所",食数記録!$D:$D,"欠食"))+(COUNTIFS(利用者名簿!$B:$B,"女性入所",利用者名簿!$G:$G,"在籍")-COUNTIFS(食数記録!$A:$A,$A14,食数記録!$B:$B,"昼",食数記録!$F:$F,"女性入所",食数記録!$D:$D,"欠食"))+(IF(WEEKDAY($A14,2)&lt;=5,COUNTIFS(利用者名簿!$B:$B,"男性GH",利用者名簿!$G:$G,"在籍")-COUNTIFS(食数記録!$A:$A,$A14,食数記録!$B:$B,"昼",食数記録!$F:$F,"男性GH",食数記録!$D:$D,"欠食"),COUNTIFS(食数記録!$A:$A,$A14,食数記録!$B:$B,"昼",食数記録!$F:$F,"男性GH",食数記録!$D:$D,"臨時喫食")))+(IF(WEEKDAY($A14,2)&lt;=5,COUNTIFS(利用者名簿!$B:$B,"女性GH",利用者名簿!$G:$G,"在籍")-COUNTIFS(食数記録!$A:$A,$A14,食数記録!$B:$B,"昼",食数記録!$F:$F,"女性GH",食数記録!$D:$D,"欠食"),COUNTIFS(食数記録!$A:$A,$A14,食数記録!$B:$B,"昼",食数記録!$F:$F,"女性GH",食数記録!$D:$D,"臨時喫食")))+SUMIFS(職員食来客記録!$C:$C,職員食来客記録!$A:$A,$A14,職員食来客記録!$B:$B,"昼")+SUMIFS(職員食来客記録!$D:$D,職員食来客記録!$A:$A,$A14,職員食来客記録!$B:$B,"昼"))</f>
        <v>2</v>
      </c>
      <c r="E14" s="22" t="n">
        <f aca="false">IF($A14="","",(COUNTIFS(利用者名簿!$B:$B,"男性入所",利用者名簿!$G:$G,"在籍")-COUNTIFS(食数記録!$A:$A,$A14,食数記録!$B:$B,"夕",食数記録!$F:$F,"男性入所",食数記録!$D:$D,"欠食"))+(COUNTIFS(利用者名簿!$B:$B,"女性入所",利用者名簿!$G:$G,"在籍")-COUNTIFS(食数記録!$A:$A,$A14,食数記録!$B:$B,"夕",食数記録!$F:$F,"女性入所",食数記録!$D:$D,"欠食"))+COUNTIFS(食数記録!$A:$A,$A14,食数記録!$B:$B,"夕",食数記録!$F:$F,"男性GH",食数記録!$D:$D,"臨時喫食")+COUNTIFS(食数記録!$A:$A,$A14,食数記録!$B:$B,"夕",食数記録!$F:$F,"女性GH",食数記録!$D:$D,"臨時喫食")+SUMIFS(職員食来客記録!$C:$C,職員食来客記録!$A:$A,$A14,職員食来客記録!$B:$B,"夕")+SUMIFS(職員食来客記録!$D:$D,職員食来客記録!$A:$A,$A14,職員食来客記録!$B:$B,"夕"))</f>
        <v>2</v>
      </c>
    </row>
    <row r="15" customFormat="false" ht="15" hidden="false" customHeight="false" outlineLevel="0" collapsed="false">
      <c r="A15" s="20" t="n">
        <f aca="false">IF(MONTH($C$3+2)=MONTH($C$3),$C$3+2,"")</f>
        <v>46237</v>
      </c>
      <c r="B15" s="21" t="str">
        <f aca="false">IF(A15="","",TEXT(A15,"aaa"))</f>
        <v>Mon</v>
      </c>
      <c r="C15" s="22" t="n">
        <f aca="false">IF($A15="","",(COUNTIFS(利用者名簿!$B:$B,"男性入所",利用者名簿!$G:$G,"在籍")-COUNTIFS(食数記録!$A:$A,$A15,食数記録!$B:$B,"朝",食数記録!$F:$F,"男性入所",食数記録!$D:$D,"欠食"))+(COUNTIFS(利用者名簿!$B:$B,"女性入所",利用者名簿!$G:$G,"在籍")-COUNTIFS(食数記録!$A:$A,$A15,食数記録!$B:$B,"朝",食数記録!$F:$F,"女性入所",食数記録!$D:$D,"欠食"))+COUNTIFS(食数記録!$A:$A,$A15,食数記録!$B:$B,"朝",食数記録!$F:$F,"男性GH",食数記録!$D:$D,"臨時喫食")+COUNTIFS(食数記録!$A:$A,$A15,食数記録!$B:$B,"朝",食数記録!$F:$F,"女性GH",食数記録!$D:$D,"臨時喫食")+SUMIFS(職員食来客記録!$C:$C,職員食来客記録!$A:$A,$A15,職員食来客記録!$B:$B,"朝")+SUMIFS(職員食来客記録!$D:$D,職員食来客記録!$A:$A,$A15,職員食来客記録!$B:$B,"朝"))</f>
        <v>2</v>
      </c>
      <c r="D15" s="22" t="n">
        <f aca="false">IF($A15="","",(COUNTIFS(利用者名簿!$B:$B,"男性入所",利用者名簿!$G:$G,"在籍")-COUNTIFS(食数記録!$A:$A,$A15,食数記録!$B:$B,"昼",食数記録!$F:$F,"男性入所",食数記録!$D:$D,"欠食"))+(COUNTIFS(利用者名簿!$B:$B,"女性入所",利用者名簿!$G:$G,"在籍")-COUNTIFS(食数記録!$A:$A,$A15,食数記録!$B:$B,"昼",食数記録!$F:$F,"女性入所",食数記録!$D:$D,"欠食"))+(IF(WEEKDAY($A15,2)&lt;=5,COUNTIFS(利用者名簿!$B:$B,"男性GH",利用者名簿!$G:$G,"在籍")-COUNTIFS(食数記録!$A:$A,$A15,食数記録!$B:$B,"昼",食数記録!$F:$F,"男性GH",食数記録!$D:$D,"欠食"),COUNTIFS(食数記録!$A:$A,$A15,食数記録!$B:$B,"昼",食数記録!$F:$F,"男性GH",食数記録!$D:$D,"臨時喫食")))+(IF(WEEKDAY($A15,2)&lt;=5,COUNTIFS(利用者名簿!$B:$B,"女性GH",利用者名簿!$G:$G,"在籍")-COUNTIFS(食数記録!$A:$A,$A15,食数記録!$B:$B,"昼",食数記録!$F:$F,"女性GH",食数記録!$D:$D,"欠食"),COUNTIFS(食数記録!$A:$A,$A15,食数記録!$B:$B,"昼",食数記録!$F:$F,"女性GH",食数記録!$D:$D,"臨時喫食")))+SUMIFS(職員食来客記録!$C:$C,職員食来客記録!$A:$A,$A15,職員食来客記録!$B:$B,"昼")+SUMIFS(職員食来客記録!$D:$D,職員食来客記録!$A:$A,$A15,職員食来客記録!$B:$B,"昼"))</f>
        <v>3</v>
      </c>
      <c r="E15" s="22" t="n">
        <f aca="false">IF($A15="","",(COUNTIFS(利用者名簿!$B:$B,"男性入所",利用者名簿!$G:$G,"在籍")-COUNTIFS(食数記録!$A:$A,$A15,食数記録!$B:$B,"夕",食数記録!$F:$F,"男性入所",食数記録!$D:$D,"欠食"))+(COUNTIFS(利用者名簿!$B:$B,"女性入所",利用者名簿!$G:$G,"在籍")-COUNTIFS(食数記録!$A:$A,$A15,食数記録!$B:$B,"夕",食数記録!$F:$F,"女性入所",食数記録!$D:$D,"欠食"))+COUNTIFS(食数記録!$A:$A,$A15,食数記録!$B:$B,"夕",食数記録!$F:$F,"男性GH",食数記録!$D:$D,"臨時喫食")+COUNTIFS(食数記録!$A:$A,$A15,食数記録!$B:$B,"夕",食数記録!$F:$F,"女性GH",食数記録!$D:$D,"臨時喫食")+SUMIFS(職員食来客記録!$C:$C,職員食来客記録!$A:$A,$A15,職員食来客記録!$B:$B,"夕")+SUMIFS(職員食来客記録!$D:$D,職員食来客記録!$A:$A,$A15,職員食来客記録!$B:$B,"夕"))</f>
        <v>2</v>
      </c>
    </row>
    <row r="16" customFormat="false" ht="15" hidden="false" customHeight="false" outlineLevel="0" collapsed="false">
      <c r="A16" s="20" t="n">
        <f aca="false">IF(MONTH($C$3+3)=MONTH($C$3),$C$3+3,"")</f>
        <v>46238</v>
      </c>
      <c r="B16" s="21" t="str">
        <f aca="false">IF(A16="","",TEXT(A16,"aaa"))</f>
        <v>Tue</v>
      </c>
      <c r="C16" s="22" t="n">
        <f aca="false">IF($A16="","",(COUNTIFS(利用者名簿!$B:$B,"男性入所",利用者名簿!$G:$G,"在籍")-COUNTIFS(食数記録!$A:$A,$A16,食数記録!$B:$B,"朝",食数記録!$F:$F,"男性入所",食数記録!$D:$D,"欠食"))+(COUNTIFS(利用者名簿!$B:$B,"女性入所",利用者名簿!$G:$G,"在籍")-COUNTIFS(食数記録!$A:$A,$A16,食数記録!$B:$B,"朝",食数記録!$F:$F,"女性入所",食数記録!$D:$D,"欠食"))+COUNTIFS(食数記録!$A:$A,$A16,食数記録!$B:$B,"朝",食数記録!$F:$F,"男性GH",食数記録!$D:$D,"臨時喫食")+COUNTIFS(食数記録!$A:$A,$A16,食数記録!$B:$B,"朝",食数記録!$F:$F,"女性GH",食数記録!$D:$D,"臨時喫食")+SUMIFS(職員食来客記録!$C:$C,職員食来客記録!$A:$A,$A16,職員食来客記録!$B:$B,"朝")+SUMIFS(職員食来客記録!$D:$D,職員食来客記録!$A:$A,$A16,職員食来客記録!$B:$B,"朝"))</f>
        <v>2</v>
      </c>
      <c r="D16" s="22" t="n">
        <f aca="false">IF($A16="","",(COUNTIFS(利用者名簿!$B:$B,"男性入所",利用者名簿!$G:$G,"在籍")-COUNTIFS(食数記録!$A:$A,$A16,食数記録!$B:$B,"昼",食数記録!$F:$F,"男性入所",食数記録!$D:$D,"欠食"))+(COUNTIFS(利用者名簿!$B:$B,"女性入所",利用者名簿!$G:$G,"在籍")-COUNTIFS(食数記録!$A:$A,$A16,食数記録!$B:$B,"昼",食数記録!$F:$F,"女性入所",食数記録!$D:$D,"欠食"))+(IF(WEEKDAY($A16,2)&lt;=5,COUNTIFS(利用者名簿!$B:$B,"男性GH",利用者名簿!$G:$G,"在籍")-COUNTIFS(食数記録!$A:$A,$A16,食数記録!$B:$B,"昼",食数記録!$F:$F,"男性GH",食数記録!$D:$D,"欠食"),COUNTIFS(食数記録!$A:$A,$A16,食数記録!$B:$B,"昼",食数記録!$F:$F,"男性GH",食数記録!$D:$D,"臨時喫食")))+(IF(WEEKDAY($A16,2)&lt;=5,COUNTIFS(利用者名簿!$B:$B,"女性GH",利用者名簿!$G:$G,"在籍")-COUNTIFS(食数記録!$A:$A,$A16,食数記録!$B:$B,"昼",食数記録!$F:$F,"女性GH",食数記録!$D:$D,"欠食"),COUNTIFS(食数記録!$A:$A,$A16,食数記録!$B:$B,"昼",食数記録!$F:$F,"女性GH",食数記録!$D:$D,"臨時喫食")))+SUMIFS(職員食来客記録!$C:$C,職員食来客記録!$A:$A,$A16,職員食来客記録!$B:$B,"昼")+SUMIFS(職員食来客記録!$D:$D,職員食来客記録!$A:$A,$A16,職員食来客記録!$B:$B,"昼"))</f>
        <v>3</v>
      </c>
      <c r="E16" s="22" t="n">
        <f aca="false">IF($A16="","",(COUNTIFS(利用者名簿!$B:$B,"男性入所",利用者名簿!$G:$G,"在籍")-COUNTIFS(食数記録!$A:$A,$A16,食数記録!$B:$B,"夕",食数記録!$F:$F,"男性入所",食数記録!$D:$D,"欠食"))+(COUNTIFS(利用者名簿!$B:$B,"女性入所",利用者名簿!$G:$G,"在籍")-COUNTIFS(食数記録!$A:$A,$A16,食数記録!$B:$B,"夕",食数記録!$F:$F,"女性入所",食数記録!$D:$D,"欠食"))+COUNTIFS(食数記録!$A:$A,$A16,食数記録!$B:$B,"夕",食数記録!$F:$F,"男性GH",食数記録!$D:$D,"臨時喫食")+COUNTIFS(食数記録!$A:$A,$A16,食数記録!$B:$B,"夕",食数記録!$F:$F,"女性GH",食数記録!$D:$D,"臨時喫食")+SUMIFS(職員食来客記録!$C:$C,職員食来客記録!$A:$A,$A16,職員食来客記録!$B:$B,"夕")+SUMIFS(職員食来客記録!$D:$D,職員食来客記録!$A:$A,$A16,職員食来客記録!$B:$B,"夕"))</f>
        <v>2</v>
      </c>
    </row>
    <row r="17" customFormat="false" ht="15" hidden="false" customHeight="false" outlineLevel="0" collapsed="false">
      <c r="A17" s="20" t="n">
        <f aca="false">IF(MONTH($C$3+4)=MONTH($C$3),$C$3+4,"")</f>
        <v>46239</v>
      </c>
      <c r="B17" s="21" t="str">
        <f aca="false">IF(A17="","",TEXT(A17,"aaa"))</f>
        <v>Wed</v>
      </c>
      <c r="C17" s="22" t="n">
        <f aca="false">IF($A17="","",(COUNTIFS(利用者名簿!$B:$B,"男性入所",利用者名簿!$G:$G,"在籍")-COUNTIFS(食数記録!$A:$A,$A17,食数記録!$B:$B,"朝",食数記録!$F:$F,"男性入所",食数記録!$D:$D,"欠食"))+(COUNTIFS(利用者名簿!$B:$B,"女性入所",利用者名簿!$G:$G,"在籍")-COUNTIFS(食数記録!$A:$A,$A17,食数記録!$B:$B,"朝",食数記録!$F:$F,"女性入所",食数記録!$D:$D,"欠食"))+COUNTIFS(食数記録!$A:$A,$A17,食数記録!$B:$B,"朝",食数記録!$F:$F,"男性GH",食数記録!$D:$D,"臨時喫食")+COUNTIFS(食数記録!$A:$A,$A17,食数記録!$B:$B,"朝",食数記録!$F:$F,"女性GH",食数記録!$D:$D,"臨時喫食")+SUMIFS(職員食来客記録!$C:$C,職員食来客記録!$A:$A,$A17,職員食来客記録!$B:$B,"朝")+SUMIFS(職員食来客記録!$D:$D,職員食来客記録!$A:$A,$A17,職員食来客記録!$B:$B,"朝"))</f>
        <v>2</v>
      </c>
      <c r="D17" s="22" t="n">
        <f aca="false">IF($A17="","",(COUNTIFS(利用者名簿!$B:$B,"男性入所",利用者名簿!$G:$G,"在籍")-COUNTIFS(食数記録!$A:$A,$A17,食数記録!$B:$B,"昼",食数記録!$F:$F,"男性入所",食数記録!$D:$D,"欠食"))+(COUNTIFS(利用者名簿!$B:$B,"女性入所",利用者名簿!$G:$G,"在籍")-COUNTIFS(食数記録!$A:$A,$A17,食数記録!$B:$B,"昼",食数記録!$F:$F,"女性入所",食数記録!$D:$D,"欠食"))+(IF(WEEKDAY($A17,2)&lt;=5,COUNTIFS(利用者名簿!$B:$B,"男性GH",利用者名簿!$G:$G,"在籍")-COUNTIFS(食数記録!$A:$A,$A17,食数記録!$B:$B,"昼",食数記録!$F:$F,"男性GH",食数記録!$D:$D,"欠食"),COUNTIFS(食数記録!$A:$A,$A17,食数記録!$B:$B,"昼",食数記録!$F:$F,"男性GH",食数記録!$D:$D,"臨時喫食")))+(IF(WEEKDAY($A17,2)&lt;=5,COUNTIFS(利用者名簿!$B:$B,"女性GH",利用者名簿!$G:$G,"在籍")-COUNTIFS(食数記録!$A:$A,$A17,食数記録!$B:$B,"昼",食数記録!$F:$F,"女性GH",食数記録!$D:$D,"欠食"),COUNTIFS(食数記録!$A:$A,$A17,食数記録!$B:$B,"昼",食数記録!$F:$F,"女性GH",食数記録!$D:$D,"臨時喫食")))+SUMIFS(職員食来客記録!$C:$C,職員食来客記録!$A:$A,$A17,職員食来客記録!$B:$B,"昼")+SUMIFS(職員食来客記録!$D:$D,職員食来客記録!$A:$A,$A17,職員食来客記録!$B:$B,"昼"))</f>
        <v>3</v>
      </c>
      <c r="E17" s="22" t="n">
        <f aca="false">IF($A17="","",(COUNTIFS(利用者名簿!$B:$B,"男性入所",利用者名簿!$G:$G,"在籍")-COUNTIFS(食数記録!$A:$A,$A17,食数記録!$B:$B,"夕",食数記録!$F:$F,"男性入所",食数記録!$D:$D,"欠食"))+(COUNTIFS(利用者名簿!$B:$B,"女性入所",利用者名簿!$G:$G,"在籍")-COUNTIFS(食数記録!$A:$A,$A17,食数記録!$B:$B,"夕",食数記録!$F:$F,"女性入所",食数記録!$D:$D,"欠食"))+COUNTIFS(食数記録!$A:$A,$A17,食数記録!$B:$B,"夕",食数記録!$F:$F,"男性GH",食数記録!$D:$D,"臨時喫食")+COUNTIFS(食数記録!$A:$A,$A17,食数記録!$B:$B,"夕",食数記録!$F:$F,"女性GH",食数記録!$D:$D,"臨時喫食")+SUMIFS(職員食来客記録!$C:$C,職員食来客記録!$A:$A,$A17,職員食来客記録!$B:$B,"夕")+SUMIFS(職員食来客記録!$D:$D,職員食来客記録!$A:$A,$A17,職員食来客記録!$B:$B,"夕"))</f>
        <v>2</v>
      </c>
    </row>
    <row r="18" customFormat="false" ht="15" hidden="false" customHeight="false" outlineLevel="0" collapsed="false">
      <c r="A18" s="20" t="n">
        <f aca="false">IF(MONTH($C$3+5)=MONTH($C$3),$C$3+5,"")</f>
        <v>46240</v>
      </c>
      <c r="B18" s="21" t="str">
        <f aca="false">IF(A18="","",TEXT(A18,"aaa"))</f>
        <v>Thu</v>
      </c>
      <c r="C18" s="22" t="n">
        <f aca="false">IF($A18="","",(COUNTIFS(利用者名簿!$B:$B,"男性入所",利用者名簿!$G:$G,"在籍")-COUNTIFS(食数記録!$A:$A,$A18,食数記録!$B:$B,"朝",食数記録!$F:$F,"男性入所",食数記録!$D:$D,"欠食"))+(COUNTIFS(利用者名簿!$B:$B,"女性入所",利用者名簿!$G:$G,"在籍")-COUNTIFS(食数記録!$A:$A,$A18,食数記録!$B:$B,"朝",食数記録!$F:$F,"女性入所",食数記録!$D:$D,"欠食"))+COUNTIFS(食数記録!$A:$A,$A18,食数記録!$B:$B,"朝",食数記録!$F:$F,"男性GH",食数記録!$D:$D,"臨時喫食")+COUNTIFS(食数記録!$A:$A,$A18,食数記録!$B:$B,"朝",食数記録!$F:$F,"女性GH",食数記録!$D:$D,"臨時喫食")+SUMIFS(職員食来客記録!$C:$C,職員食来客記録!$A:$A,$A18,職員食来客記録!$B:$B,"朝")+SUMIFS(職員食来客記録!$D:$D,職員食来客記録!$A:$A,$A18,職員食来客記録!$B:$B,"朝"))</f>
        <v>2</v>
      </c>
      <c r="D18" s="22" t="n">
        <f aca="false">IF($A18="","",(COUNTIFS(利用者名簿!$B:$B,"男性入所",利用者名簿!$G:$G,"在籍")-COUNTIFS(食数記録!$A:$A,$A18,食数記録!$B:$B,"昼",食数記録!$F:$F,"男性入所",食数記録!$D:$D,"欠食"))+(COUNTIFS(利用者名簿!$B:$B,"女性入所",利用者名簿!$G:$G,"在籍")-COUNTIFS(食数記録!$A:$A,$A18,食数記録!$B:$B,"昼",食数記録!$F:$F,"女性入所",食数記録!$D:$D,"欠食"))+(IF(WEEKDAY($A18,2)&lt;=5,COUNTIFS(利用者名簿!$B:$B,"男性GH",利用者名簿!$G:$G,"在籍")-COUNTIFS(食数記録!$A:$A,$A18,食数記録!$B:$B,"昼",食数記録!$F:$F,"男性GH",食数記録!$D:$D,"欠食"),COUNTIFS(食数記録!$A:$A,$A18,食数記録!$B:$B,"昼",食数記録!$F:$F,"男性GH",食数記録!$D:$D,"臨時喫食")))+(IF(WEEKDAY($A18,2)&lt;=5,COUNTIFS(利用者名簿!$B:$B,"女性GH",利用者名簿!$G:$G,"在籍")-COUNTIFS(食数記録!$A:$A,$A18,食数記録!$B:$B,"昼",食数記録!$F:$F,"女性GH",食数記録!$D:$D,"欠食"),COUNTIFS(食数記録!$A:$A,$A18,食数記録!$B:$B,"昼",食数記録!$F:$F,"女性GH",食数記録!$D:$D,"臨時喫食")))+SUMIFS(職員食来客記録!$C:$C,職員食来客記録!$A:$A,$A18,職員食来客記録!$B:$B,"昼")+SUMIFS(職員食来客記録!$D:$D,職員食来客記録!$A:$A,$A18,職員食来客記録!$B:$B,"昼"))</f>
        <v>3</v>
      </c>
      <c r="E18" s="22" t="n">
        <f aca="false">IF($A18="","",(COUNTIFS(利用者名簿!$B:$B,"男性入所",利用者名簿!$G:$G,"在籍")-COUNTIFS(食数記録!$A:$A,$A18,食数記録!$B:$B,"夕",食数記録!$F:$F,"男性入所",食数記録!$D:$D,"欠食"))+(COUNTIFS(利用者名簿!$B:$B,"女性入所",利用者名簿!$G:$G,"在籍")-COUNTIFS(食数記録!$A:$A,$A18,食数記録!$B:$B,"夕",食数記録!$F:$F,"女性入所",食数記録!$D:$D,"欠食"))+COUNTIFS(食数記録!$A:$A,$A18,食数記録!$B:$B,"夕",食数記録!$F:$F,"男性GH",食数記録!$D:$D,"臨時喫食")+COUNTIFS(食数記録!$A:$A,$A18,食数記録!$B:$B,"夕",食数記録!$F:$F,"女性GH",食数記録!$D:$D,"臨時喫食")+SUMIFS(職員食来客記録!$C:$C,職員食来客記録!$A:$A,$A18,職員食来客記録!$B:$B,"夕")+SUMIFS(職員食来客記録!$D:$D,職員食来客記録!$A:$A,$A18,職員食来客記録!$B:$B,"夕"))</f>
        <v>2</v>
      </c>
    </row>
    <row r="19" customFormat="false" ht="15" hidden="false" customHeight="false" outlineLevel="0" collapsed="false">
      <c r="A19" s="20" t="n">
        <f aca="false">IF(MONTH($C$3+6)=MONTH($C$3),$C$3+6,"")</f>
        <v>46241</v>
      </c>
      <c r="B19" s="21" t="str">
        <f aca="false">IF(A19="","",TEXT(A19,"aaa"))</f>
        <v>Fri</v>
      </c>
      <c r="C19" s="22" t="n">
        <f aca="false">IF($A19="","",(COUNTIFS(利用者名簿!$B:$B,"男性入所",利用者名簿!$G:$G,"在籍")-COUNTIFS(食数記録!$A:$A,$A19,食数記録!$B:$B,"朝",食数記録!$F:$F,"男性入所",食数記録!$D:$D,"欠食"))+(COUNTIFS(利用者名簿!$B:$B,"女性入所",利用者名簿!$G:$G,"在籍")-COUNTIFS(食数記録!$A:$A,$A19,食数記録!$B:$B,"朝",食数記録!$F:$F,"女性入所",食数記録!$D:$D,"欠食"))+COUNTIFS(食数記録!$A:$A,$A19,食数記録!$B:$B,"朝",食数記録!$F:$F,"男性GH",食数記録!$D:$D,"臨時喫食")+COUNTIFS(食数記録!$A:$A,$A19,食数記録!$B:$B,"朝",食数記録!$F:$F,"女性GH",食数記録!$D:$D,"臨時喫食")+SUMIFS(職員食来客記録!$C:$C,職員食来客記録!$A:$A,$A19,職員食来客記録!$B:$B,"朝")+SUMIFS(職員食来客記録!$D:$D,職員食来客記録!$A:$A,$A19,職員食来客記録!$B:$B,"朝"))</f>
        <v>2</v>
      </c>
      <c r="D19" s="22" t="n">
        <f aca="false">IF($A19="","",(COUNTIFS(利用者名簿!$B:$B,"男性入所",利用者名簿!$G:$G,"在籍")-COUNTIFS(食数記録!$A:$A,$A19,食数記録!$B:$B,"昼",食数記録!$F:$F,"男性入所",食数記録!$D:$D,"欠食"))+(COUNTIFS(利用者名簿!$B:$B,"女性入所",利用者名簿!$G:$G,"在籍")-COUNTIFS(食数記録!$A:$A,$A19,食数記録!$B:$B,"昼",食数記録!$F:$F,"女性入所",食数記録!$D:$D,"欠食"))+(IF(WEEKDAY($A19,2)&lt;=5,COUNTIFS(利用者名簿!$B:$B,"男性GH",利用者名簿!$G:$G,"在籍")-COUNTIFS(食数記録!$A:$A,$A19,食数記録!$B:$B,"昼",食数記録!$F:$F,"男性GH",食数記録!$D:$D,"欠食"),COUNTIFS(食数記録!$A:$A,$A19,食数記録!$B:$B,"昼",食数記録!$F:$F,"男性GH",食数記録!$D:$D,"臨時喫食")))+(IF(WEEKDAY($A19,2)&lt;=5,COUNTIFS(利用者名簿!$B:$B,"女性GH",利用者名簿!$G:$G,"在籍")-COUNTIFS(食数記録!$A:$A,$A19,食数記録!$B:$B,"昼",食数記録!$F:$F,"女性GH",食数記録!$D:$D,"欠食"),COUNTIFS(食数記録!$A:$A,$A19,食数記録!$B:$B,"昼",食数記録!$F:$F,"女性GH",食数記録!$D:$D,"臨時喫食")))+SUMIFS(職員食来客記録!$C:$C,職員食来客記録!$A:$A,$A19,職員食来客記録!$B:$B,"昼")+SUMIFS(職員食来客記録!$D:$D,職員食来客記録!$A:$A,$A19,職員食来客記録!$B:$B,"昼"))</f>
        <v>3</v>
      </c>
      <c r="E19" s="22" t="n">
        <f aca="false">IF($A19="","",(COUNTIFS(利用者名簿!$B:$B,"男性入所",利用者名簿!$G:$G,"在籍")-COUNTIFS(食数記録!$A:$A,$A19,食数記録!$B:$B,"夕",食数記録!$F:$F,"男性入所",食数記録!$D:$D,"欠食"))+(COUNTIFS(利用者名簿!$B:$B,"女性入所",利用者名簿!$G:$G,"在籍")-COUNTIFS(食数記録!$A:$A,$A19,食数記録!$B:$B,"夕",食数記録!$F:$F,"女性入所",食数記録!$D:$D,"欠食"))+COUNTIFS(食数記録!$A:$A,$A19,食数記録!$B:$B,"夕",食数記録!$F:$F,"男性GH",食数記録!$D:$D,"臨時喫食")+COUNTIFS(食数記録!$A:$A,$A19,食数記録!$B:$B,"夕",食数記録!$F:$F,"女性GH",食数記録!$D:$D,"臨時喫食")+SUMIFS(職員食来客記録!$C:$C,職員食来客記録!$A:$A,$A19,職員食来客記録!$B:$B,"夕")+SUMIFS(職員食来客記録!$D:$D,職員食来客記録!$A:$A,$A19,職員食来客記録!$B:$B,"夕"))</f>
        <v>2</v>
      </c>
    </row>
    <row r="20" customFormat="false" ht="15" hidden="false" customHeight="false" outlineLevel="0" collapsed="false">
      <c r="A20" s="20" t="n">
        <f aca="false">IF(MONTH($C$3+7)=MONTH($C$3),$C$3+7,"")</f>
        <v>46242</v>
      </c>
      <c r="B20" s="21" t="str">
        <f aca="false">IF(A20="","",TEXT(A20,"aaa"))</f>
        <v>Sat</v>
      </c>
      <c r="C20" s="22" t="n">
        <f aca="false">IF($A20="","",(COUNTIFS(利用者名簿!$B:$B,"男性入所",利用者名簿!$G:$G,"在籍")-COUNTIFS(食数記録!$A:$A,$A20,食数記録!$B:$B,"朝",食数記録!$F:$F,"男性入所",食数記録!$D:$D,"欠食"))+(COUNTIFS(利用者名簿!$B:$B,"女性入所",利用者名簿!$G:$G,"在籍")-COUNTIFS(食数記録!$A:$A,$A20,食数記録!$B:$B,"朝",食数記録!$F:$F,"女性入所",食数記録!$D:$D,"欠食"))+COUNTIFS(食数記録!$A:$A,$A20,食数記録!$B:$B,"朝",食数記録!$F:$F,"男性GH",食数記録!$D:$D,"臨時喫食")+COUNTIFS(食数記録!$A:$A,$A20,食数記録!$B:$B,"朝",食数記録!$F:$F,"女性GH",食数記録!$D:$D,"臨時喫食")+SUMIFS(職員食来客記録!$C:$C,職員食来客記録!$A:$A,$A20,職員食来客記録!$B:$B,"朝")+SUMIFS(職員食来客記録!$D:$D,職員食来客記録!$A:$A,$A20,職員食来客記録!$B:$B,"朝"))</f>
        <v>2</v>
      </c>
      <c r="D20" s="22" t="n">
        <f aca="false">IF($A20="","",(COUNTIFS(利用者名簿!$B:$B,"男性入所",利用者名簿!$G:$G,"在籍")-COUNTIFS(食数記録!$A:$A,$A20,食数記録!$B:$B,"昼",食数記録!$F:$F,"男性入所",食数記録!$D:$D,"欠食"))+(COUNTIFS(利用者名簿!$B:$B,"女性入所",利用者名簿!$G:$G,"在籍")-COUNTIFS(食数記録!$A:$A,$A20,食数記録!$B:$B,"昼",食数記録!$F:$F,"女性入所",食数記録!$D:$D,"欠食"))+(IF(WEEKDAY($A20,2)&lt;=5,COUNTIFS(利用者名簿!$B:$B,"男性GH",利用者名簿!$G:$G,"在籍")-COUNTIFS(食数記録!$A:$A,$A20,食数記録!$B:$B,"昼",食数記録!$F:$F,"男性GH",食数記録!$D:$D,"欠食"),COUNTIFS(食数記録!$A:$A,$A20,食数記録!$B:$B,"昼",食数記録!$F:$F,"男性GH",食数記録!$D:$D,"臨時喫食")))+(IF(WEEKDAY($A20,2)&lt;=5,COUNTIFS(利用者名簿!$B:$B,"女性GH",利用者名簿!$G:$G,"在籍")-COUNTIFS(食数記録!$A:$A,$A20,食数記録!$B:$B,"昼",食数記録!$F:$F,"女性GH",食数記録!$D:$D,"欠食"),COUNTIFS(食数記録!$A:$A,$A20,食数記録!$B:$B,"昼",食数記録!$F:$F,"女性GH",食数記録!$D:$D,"臨時喫食")))+SUMIFS(職員食来客記録!$C:$C,職員食来客記録!$A:$A,$A20,職員食来客記録!$B:$B,"昼")+SUMIFS(職員食来客記録!$D:$D,職員食来客記録!$A:$A,$A20,職員食来客記録!$B:$B,"昼"))</f>
        <v>2</v>
      </c>
      <c r="E20" s="22" t="n">
        <f aca="false">IF($A20="","",(COUNTIFS(利用者名簿!$B:$B,"男性入所",利用者名簿!$G:$G,"在籍")-COUNTIFS(食数記録!$A:$A,$A20,食数記録!$B:$B,"夕",食数記録!$F:$F,"男性入所",食数記録!$D:$D,"欠食"))+(COUNTIFS(利用者名簿!$B:$B,"女性入所",利用者名簿!$G:$G,"在籍")-COUNTIFS(食数記録!$A:$A,$A20,食数記録!$B:$B,"夕",食数記録!$F:$F,"女性入所",食数記録!$D:$D,"欠食"))+COUNTIFS(食数記録!$A:$A,$A20,食数記録!$B:$B,"夕",食数記録!$F:$F,"男性GH",食数記録!$D:$D,"臨時喫食")+COUNTIFS(食数記録!$A:$A,$A20,食数記録!$B:$B,"夕",食数記録!$F:$F,"女性GH",食数記録!$D:$D,"臨時喫食")+SUMIFS(職員食来客記録!$C:$C,職員食来客記録!$A:$A,$A20,職員食来客記録!$B:$B,"夕")+SUMIFS(職員食来客記録!$D:$D,職員食来客記録!$A:$A,$A20,職員食来客記録!$B:$B,"夕"))</f>
        <v>2</v>
      </c>
    </row>
    <row r="21" customFormat="false" ht="15" hidden="false" customHeight="false" outlineLevel="0" collapsed="false">
      <c r="A21" s="20" t="n">
        <f aca="false">IF(MONTH($C$3+8)=MONTH($C$3),$C$3+8,"")</f>
        <v>46243</v>
      </c>
      <c r="B21" s="21" t="str">
        <f aca="false">IF(A21="","",TEXT(A21,"aaa"))</f>
        <v>Sun</v>
      </c>
      <c r="C21" s="22" t="n">
        <f aca="false">IF($A21="","",(COUNTIFS(利用者名簿!$B:$B,"男性入所",利用者名簿!$G:$G,"在籍")-COUNTIFS(食数記録!$A:$A,$A21,食数記録!$B:$B,"朝",食数記録!$F:$F,"男性入所",食数記録!$D:$D,"欠食"))+(COUNTIFS(利用者名簿!$B:$B,"女性入所",利用者名簿!$G:$G,"在籍")-COUNTIFS(食数記録!$A:$A,$A21,食数記録!$B:$B,"朝",食数記録!$F:$F,"女性入所",食数記録!$D:$D,"欠食"))+COUNTIFS(食数記録!$A:$A,$A21,食数記録!$B:$B,"朝",食数記録!$F:$F,"男性GH",食数記録!$D:$D,"臨時喫食")+COUNTIFS(食数記録!$A:$A,$A21,食数記録!$B:$B,"朝",食数記録!$F:$F,"女性GH",食数記録!$D:$D,"臨時喫食")+SUMIFS(職員食来客記録!$C:$C,職員食来客記録!$A:$A,$A21,職員食来客記録!$B:$B,"朝")+SUMIFS(職員食来客記録!$D:$D,職員食来客記録!$A:$A,$A21,職員食来客記録!$B:$B,"朝"))</f>
        <v>2</v>
      </c>
      <c r="D21" s="22" t="n">
        <f aca="false">IF($A21="","",(COUNTIFS(利用者名簿!$B:$B,"男性入所",利用者名簿!$G:$G,"在籍")-COUNTIFS(食数記録!$A:$A,$A21,食数記録!$B:$B,"昼",食数記録!$F:$F,"男性入所",食数記録!$D:$D,"欠食"))+(COUNTIFS(利用者名簿!$B:$B,"女性入所",利用者名簿!$G:$G,"在籍")-COUNTIFS(食数記録!$A:$A,$A21,食数記録!$B:$B,"昼",食数記録!$F:$F,"女性入所",食数記録!$D:$D,"欠食"))+(IF(WEEKDAY($A21,2)&lt;=5,COUNTIFS(利用者名簿!$B:$B,"男性GH",利用者名簿!$G:$G,"在籍")-COUNTIFS(食数記録!$A:$A,$A21,食数記録!$B:$B,"昼",食数記録!$F:$F,"男性GH",食数記録!$D:$D,"欠食"),COUNTIFS(食数記録!$A:$A,$A21,食数記録!$B:$B,"昼",食数記録!$F:$F,"男性GH",食数記録!$D:$D,"臨時喫食")))+(IF(WEEKDAY($A21,2)&lt;=5,COUNTIFS(利用者名簿!$B:$B,"女性GH",利用者名簿!$G:$G,"在籍")-COUNTIFS(食数記録!$A:$A,$A21,食数記録!$B:$B,"昼",食数記録!$F:$F,"女性GH",食数記録!$D:$D,"欠食"),COUNTIFS(食数記録!$A:$A,$A21,食数記録!$B:$B,"昼",食数記録!$F:$F,"女性GH",食数記録!$D:$D,"臨時喫食")))+SUMIFS(職員食来客記録!$C:$C,職員食来客記録!$A:$A,$A21,職員食来客記録!$B:$B,"昼")+SUMIFS(職員食来客記録!$D:$D,職員食来客記録!$A:$A,$A21,職員食来客記録!$B:$B,"昼"))</f>
        <v>2</v>
      </c>
      <c r="E21" s="22" t="n">
        <f aca="false">IF($A21="","",(COUNTIFS(利用者名簿!$B:$B,"男性入所",利用者名簿!$G:$G,"在籍")-COUNTIFS(食数記録!$A:$A,$A21,食数記録!$B:$B,"夕",食数記録!$F:$F,"男性入所",食数記録!$D:$D,"欠食"))+(COUNTIFS(利用者名簿!$B:$B,"女性入所",利用者名簿!$G:$G,"在籍")-COUNTIFS(食数記録!$A:$A,$A21,食数記録!$B:$B,"夕",食数記録!$F:$F,"女性入所",食数記録!$D:$D,"欠食"))+COUNTIFS(食数記録!$A:$A,$A21,食数記録!$B:$B,"夕",食数記録!$F:$F,"男性GH",食数記録!$D:$D,"臨時喫食")+COUNTIFS(食数記録!$A:$A,$A21,食数記録!$B:$B,"夕",食数記録!$F:$F,"女性GH",食数記録!$D:$D,"臨時喫食")+SUMIFS(職員食来客記録!$C:$C,職員食来客記録!$A:$A,$A21,職員食来客記録!$B:$B,"夕")+SUMIFS(職員食来客記録!$D:$D,職員食来客記録!$A:$A,$A21,職員食来客記録!$B:$B,"夕"))</f>
        <v>2</v>
      </c>
    </row>
    <row r="22" customFormat="false" ht="15" hidden="false" customHeight="false" outlineLevel="0" collapsed="false">
      <c r="A22" s="20" t="n">
        <f aca="false">IF(MONTH($C$3+9)=MONTH($C$3),$C$3+9,"")</f>
        <v>46244</v>
      </c>
      <c r="B22" s="21" t="str">
        <f aca="false">IF(A22="","",TEXT(A22,"aaa"))</f>
        <v>Mon</v>
      </c>
      <c r="C22" s="22" t="n">
        <f aca="false">IF($A22="","",(COUNTIFS(利用者名簿!$B:$B,"男性入所",利用者名簿!$G:$G,"在籍")-COUNTIFS(食数記録!$A:$A,$A22,食数記録!$B:$B,"朝",食数記録!$F:$F,"男性入所",食数記録!$D:$D,"欠食"))+(COUNTIFS(利用者名簿!$B:$B,"女性入所",利用者名簿!$G:$G,"在籍")-COUNTIFS(食数記録!$A:$A,$A22,食数記録!$B:$B,"朝",食数記録!$F:$F,"女性入所",食数記録!$D:$D,"欠食"))+COUNTIFS(食数記録!$A:$A,$A22,食数記録!$B:$B,"朝",食数記録!$F:$F,"男性GH",食数記録!$D:$D,"臨時喫食")+COUNTIFS(食数記録!$A:$A,$A22,食数記録!$B:$B,"朝",食数記録!$F:$F,"女性GH",食数記録!$D:$D,"臨時喫食")+SUMIFS(職員食来客記録!$C:$C,職員食来客記録!$A:$A,$A22,職員食来客記録!$B:$B,"朝")+SUMIFS(職員食来客記録!$D:$D,職員食来客記録!$A:$A,$A22,職員食来客記録!$B:$B,"朝"))</f>
        <v>2</v>
      </c>
      <c r="D22" s="22" t="n">
        <f aca="false">IF($A22="","",(COUNTIFS(利用者名簿!$B:$B,"男性入所",利用者名簿!$G:$G,"在籍")-COUNTIFS(食数記録!$A:$A,$A22,食数記録!$B:$B,"昼",食数記録!$F:$F,"男性入所",食数記録!$D:$D,"欠食"))+(COUNTIFS(利用者名簿!$B:$B,"女性入所",利用者名簿!$G:$G,"在籍")-COUNTIFS(食数記録!$A:$A,$A22,食数記録!$B:$B,"昼",食数記録!$F:$F,"女性入所",食数記録!$D:$D,"欠食"))+(IF(WEEKDAY($A22,2)&lt;=5,COUNTIFS(利用者名簿!$B:$B,"男性GH",利用者名簿!$G:$G,"在籍")-COUNTIFS(食数記録!$A:$A,$A22,食数記録!$B:$B,"昼",食数記録!$F:$F,"男性GH",食数記録!$D:$D,"欠食"),COUNTIFS(食数記録!$A:$A,$A22,食数記録!$B:$B,"昼",食数記録!$F:$F,"男性GH",食数記録!$D:$D,"臨時喫食")))+(IF(WEEKDAY($A22,2)&lt;=5,COUNTIFS(利用者名簿!$B:$B,"女性GH",利用者名簿!$G:$G,"在籍")-COUNTIFS(食数記録!$A:$A,$A22,食数記録!$B:$B,"昼",食数記録!$F:$F,"女性GH",食数記録!$D:$D,"欠食"),COUNTIFS(食数記録!$A:$A,$A22,食数記録!$B:$B,"昼",食数記録!$F:$F,"女性GH",食数記録!$D:$D,"臨時喫食")))+SUMIFS(職員食来客記録!$C:$C,職員食来客記録!$A:$A,$A22,職員食来客記録!$B:$B,"昼")+SUMIFS(職員食来客記録!$D:$D,職員食来客記録!$A:$A,$A22,職員食来客記録!$B:$B,"昼"))</f>
        <v>3</v>
      </c>
      <c r="E22" s="22" t="n">
        <f aca="false">IF($A22="","",(COUNTIFS(利用者名簿!$B:$B,"男性入所",利用者名簿!$G:$G,"在籍")-COUNTIFS(食数記録!$A:$A,$A22,食数記録!$B:$B,"夕",食数記録!$F:$F,"男性入所",食数記録!$D:$D,"欠食"))+(COUNTIFS(利用者名簿!$B:$B,"女性入所",利用者名簿!$G:$G,"在籍")-COUNTIFS(食数記録!$A:$A,$A22,食数記録!$B:$B,"夕",食数記録!$F:$F,"女性入所",食数記録!$D:$D,"欠食"))+COUNTIFS(食数記録!$A:$A,$A22,食数記録!$B:$B,"夕",食数記録!$F:$F,"男性GH",食数記録!$D:$D,"臨時喫食")+COUNTIFS(食数記録!$A:$A,$A22,食数記録!$B:$B,"夕",食数記録!$F:$F,"女性GH",食数記録!$D:$D,"臨時喫食")+SUMIFS(職員食来客記録!$C:$C,職員食来客記録!$A:$A,$A22,職員食来客記録!$B:$B,"夕")+SUMIFS(職員食来客記録!$D:$D,職員食来客記録!$A:$A,$A22,職員食来客記録!$B:$B,"夕"))</f>
        <v>2</v>
      </c>
    </row>
    <row r="23" customFormat="false" ht="15" hidden="false" customHeight="false" outlineLevel="0" collapsed="false">
      <c r="A23" s="20" t="n">
        <f aca="false">IF(MONTH($C$3+10)=MONTH($C$3),$C$3+10,"")</f>
        <v>46245</v>
      </c>
      <c r="B23" s="21" t="str">
        <f aca="false">IF(A23="","",TEXT(A23,"aaa"))</f>
        <v>Tue</v>
      </c>
      <c r="C23" s="22" t="n">
        <f aca="false">IF($A23="","",(COUNTIFS(利用者名簿!$B:$B,"男性入所",利用者名簿!$G:$G,"在籍")-COUNTIFS(食数記録!$A:$A,$A23,食数記録!$B:$B,"朝",食数記録!$F:$F,"男性入所",食数記録!$D:$D,"欠食"))+(COUNTIFS(利用者名簿!$B:$B,"女性入所",利用者名簿!$G:$G,"在籍")-COUNTIFS(食数記録!$A:$A,$A23,食数記録!$B:$B,"朝",食数記録!$F:$F,"女性入所",食数記録!$D:$D,"欠食"))+COUNTIFS(食数記録!$A:$A,$A23,食数記録!$B:$B,"朝",食数記録!$F:$F,"男性GH",食数記録!$D:$D,"臨時喫食")+COUNTIFS(食数記録!$A:$A,$A23,食数記録!$B:$B,"朝",食数記録!$F:$F,"女性GH",食数記録!$D:$D,"臨時喫食")+SUMIFS(職員食来客記録!$C:$C,職員食来客記録!$A:$A,$A23,職員食来客記録!$B:$B,"朝")+SUMIFS(職員食来客記録!$D:$D,職員食来客記録!$A:$A,$A23,職員食来客記録!$B:$B,"朝"))</f>
        <v>2</v>
      </c>
      <c r="D23" s="22" t="n">
        <f aca="false">IF($A23="","",(COUNTIFS(利用者名簿!$B:$B,"男性入所",利用者名簿!$G:$G,"在籍")-COUNTIFS(食数記録!$A:$A,$A23,食数記録!$B:$B,"昼",食数記録!$F:$F,"男性入所",食数記録!$D:$D,"欠食"))+(COUNTIFS(利用者名簿!$B:$B,"女性入所",利用者名簿!$G:$G,"在籍")-COUNTIFS(食数記録!$A:$A,$A23,食数記録!$B:$B,"昼",食数記録!$F:$F,"女性入所",食数記録!$D:$D,"欠食"))+(IF(WEEKDAY($A23,2)&lt;=5,COUNTIFS(利用者名簿!$B:$B,"男性GH",利用者名簿!$G:$G,"在籍")-COUNTIFS(食数記録!$A:$A,$A23,食数記録!$B:$B,"昼",食数記録!$F:$F,"男性GH",食数記録!$D:$D,"欠食"),COUNTIFS(食数記録!$A:$A,$A23,食数記録!$B:$B,"昼",食数記録!$F:$F,"男性GH",食数記録!$D:$D,"臨時喫食")))+(IF(WEEKDAY($A23,2)&lt;=5,COUNTIFS(利用者名簿!$B:$B,"女性GH",利用者名簿!$G:$G,"在籍")-COUNTIFS(食数記録!$A:$A,$A23,食数記録!$B:$B,"昼",食数記録!$F:$F,"女性GH",食数記録!$D:$D,"欠食"),COUNTIFS(食数記録!$A:$A,$A23,食数記録!$B:$B,"昼",食数記録!$F:$F,"女性GH",食数記録!$D:$D,"臨時喫食")))+SUMIFS(職員食来客記録!$C:$C,職員食来客記録!$A:$A,$A23,職員食来客記録!$B:$B,"昼")+SUMIFS(職員食来客記録!$D:$D,職員食来客記録!$A:$A,$A23,職員食来客記録!$B:$B,"昼"))</f>
        <v>3</v>
      </c>
      <c r="E23" s="22" t="n">
        <f aca="false">IF($A23="","",(COUNTIFS(利用者名簿!$B:$B,"男性入所",利用者名簿!$G:$G,"在籍")-COUNTIFS(食数記録!$A:$A,$A23,食数記録!$B:$B,"夕",食数記録!$F:$F,"男性入所",食数記録!$D:$D,"欠食"))+(COUNTIFS(利用者名簿!$B:$B,"女性入所",利用者名簿!$G:$G,"在籍")-COUNTIFS(食数記録!$A:$A,$A23,食数記録!$B:$B,"夕",食数記録!$F:$F,"女性入所",食数記録!$D:$D,"欠食"))+COUNTIFS(食数記録!$A:$A,$A23,食数記録!$B:$B,"夕",食数記録!$F:$F,"男性GH",食数記録!$D:$D,"臨時喫食")+COUNTIFS(食数記録!$A:$A,$A23,食数記録!$B:$B,"夕",食数記録!$F:$F,"女性GH",食数記録!$D:$D,"臨時喫食")+SUMIFS(職員食来客記録!$C:$C,職員食来客記録!$A:$A,$A23,職員食来客記録!$B:$B,"夕")+SUMIFS(職員食来客記録!$D:$D,職員食来客記録!$A:$A,$A23,職員食来客記録!$B:$B,"夕"))</f>
        <v>2</v>
      </c>
    </row>
    <row r="24" customFormat="false" ht="15" hidden="false" customHeight="false" outlineLevel="0" collapsed="false">
      <c r="A24" s="20" t="n">
        <f aca="false">IF(MONTH($C$3+11)=MONTH($C$3),$C$3+11,"")</f>
        <v>46246</v>
      </c>
      <c r="B24" s="21" t="str">
        <f aca="false">IF(A24="","",TEXT(A24,"aaa"))</f>
        <v>Wed</v>
      </c>
      <c r="C24" s="22" t="n">
        <f aca="false">IF($A24="","",(COUNTIFS(利用者名簿!$B:$B,"男性入所",利用者名簿!$G:$G,"在籍")-COUNTIFS(食数記録!$A:$A,$A24,食数記録!$B:$B,"朝",食数記録!$F:$F,"男性入所",食数記録!$D:$D,"欠食"))+(COUNTIFS(利用者名簿!$B:$B,"女性入所",利用者名簿!$G:$G,"在籍")-COUNTIFS(食数記録!$A:$A,$A24,食数記録!$B:$B,"朝",食数記録!$F:$F,"女性入所",食数記録!$D:$D,"欠食"))+COUNTIFS(食数記録!$A:$A,$A24,食数記録!$B:$B,"朝",食数記録!$F:$F,"男性GH",食数記録!$D:$D,"臨時喫食")+COUNTIFS(食数記録!$A:$A,$A24,食数記録!$B:$B,"朝",食数記録!$F:$F,"女性GH",食数記録!$D:$D,"臨時喫食")+SUMIFS(職員食来客記録!$C:$C,職員食来客記録!$A:$A,$A24,職員食来客記録!$B:$B,"朝")+SUMIFS(職員食来客記録!$D:$D,職員食来客記録!$A:$A,$A24,職員食来客記録!$B:$B,"朝"))</f>
        <v>2</v>
      </c>
      <c r="D24" s="22" t="n">
        <f aca="false">IF($A24="","",(COUNTIFS(利用者名簿!$B:$B,"男性入所",利用者名簿!$G:$G,"在籍")-COUNTIFS(食数記録!$A:$A,$A24,食数記録!$B:$B,"昼",食数記録!$F:$F,"男性入所",食数記録!$D:$D,"欠食"))+(COUNTIFS(利用者名簿!$B:$B,"女性入所",利用者名簿!$G:$G,"在籍")-COUNTIFS(食数記録!$A:$A,$A24,食数記録!$B:$B,"昼",食数記録!$F:$F,"女性入所",食数記録!$D:$D,"欠食"))+(IF(WEEKDAY($A24,2)&lt;=5,COUNTIFS(利用者名簿!$B:$B,"男性GH",利用者名簿!$G:$G,"在籍")-COUNTIFS(食数記録!$A:$A,$A24,食数記録!$B:$B,"昼",食数記録!$F:$F,"男性GH",食数記録!$D:$D,"欠食"),COUNTIFS(食数記録!$A:$A,$A24,食数記録!$B:$B,"昼",食数記録!$F:$F,"男性GH",食数記録!$D:$D,"臨時喫食")))+(IF(WEEKDAY($A24,2)&lt;=5,COUNTIFS(利用者名簿!$B:$B,"女性GH",利用者名簿!$G:$G,"在籍")-COUNTIFS(食数記録!$A:$A,$A24,食数記録!$B:$B,"昼",食数記録!$F:$F,"女性GH",食数記録!$D:$D,"欠食"),COUNTIFS(食数記録!$A:$A,$A24,食数記録!$B:$B,"昼",食数記録!$F:$F,"女性GH",食数記録!$D:$D,"臨時喫食")))+SUMIFS(職員食来客記録!$C:$C,職員食来客記録!$A:$A,$A24,職員食来客記録!$B:$B,"昼")+SUMIFS(職員食来客記録!$D:$D,職員食来客記録!$A:$A,$A24,職員食来客記録!$B:$B,"昼"))</f>
        <v>3</v>
      </c>
      <c r="E24" s="22" t="n">
        <f aca="false">IF($A24="","",(COUNTIFS(利用者名簿!$B:$B,"男性入所",利用者名簿!$G:$G,"在籍")-COUNTIFS(食数記録!$A:$A,$A24,食数記録!$B:$B,"夕",食数記録!$F:$F,"男性入所",食数記録!$D:$D,"欠食"))+(COUNTIFS(利用者名簿!$B:$B,"女性入所",利用者名簿!$G:$G,"在籍")-COUNTIFS(食数記録!$A:$A,$A24,食数記録!$B:$B,"夕",食数記録!$F:$F,"女性入所",食数記録!$D:$D,"欠食"))+COUNTIFS(食数記録!$A:$A,$A24,食数記録!$B:$B,"夕",食数記録!$F:$F,"男性GH",食数記録!$D:$D,"臨時喫食")+COUNTIFS(食数記録!$A:$A,$A24,食数記録!$B:$B,"夕",食数記録!$F:$F,"女性GH",食数記録!$D:$D,"臨時喫食")+SUMIFS(職員食来客記録!$C:$C,職員食来客記録!$A:$A,$A24,職員食来客記録!$B:$B,"夕")+SUMIFS(職員食来客記録!$D:$D,職員食来客記録!$A:$A,$A24,職員食来客記録!$B:$B,"夕"))</f>
        <v>2</v>
      </c>
    </row>
    <row r="25" customFormat="false" ht="15" hidden="false" customHeight="false" outlineLevel="0" collapsed="false">
      <c r="A25" s="20" t="n">
        <f aca="false">IF(MONTH($C$3+12)=MONTH($C$3),$C$3+12,"")</f>
        <v>46247</v>
      </c>
      <c r="B25" s="21" t="str">
        <f aca="false">IF(A25="","",TEXT(A25,"aaa"))</f>
        <v>Thu</v>
      </c>
      <c r="C25" s="22" t="n">
        <f aca="false">IF($A25="","",(COUNTIFS(利用者名簿!$B:$B,"男性入所",利用者名簿!$G:$G,"在籍")-COUNTIFS(食数記録!$A:$A,$A25,食数記録!$B:$B,"朝",食数記録!$F:$F,"男性入所",食数記録!$D:$D,"欠食"))+(COUNTIFS(利用者名簿!$B:$B,"女性入所",利用者名簿!$G:$G,"在籍")-COUNTIFS(食数記録!$A:$A,$A25,食数記録!$B:$B,"朝",食数記録!$F:$F,"女性入所",食数記録!$D:$D,"欠食"))+COUNTIFS(食数記録!$A:$A,$A25,食数記録!$B:$B,"朝",食数記録!$F:$F,"男性GH",食数記録!$D:$D,"臨時喫食")+COUNTIFS(食数記録!$A:$A,$A25,食数記録!$B:$B,"朝",食数記録!$F:$F,"女性GH",食数記録!$D:$D,"臨時喫食")+SUMIFS(職員食来客記録!$C:$C,職員食来客記録!$A:$A,$A25,職員食来客記録!$B:$B,"朝")+SUMIFS(職員食来客記録!$D:$D,職員食来客記録!$A:$A,$A25,職員食来客記録!$B:$B,"朝"))</f>
        <v>1</v>
      </c>
      <c r="D25" s="22" t="n">
        <f aca="false">IF($A25="","",(COUNTIFS(利用者名簿!$B:$B,"男性入所",利用者名簿!$G:$G,"在籍")-COUNTIFS(食数記録!$A:$A,$A25,食数記録!$B:$B,"昼",食数記録!$F:$F,"男性入所",食数記録!$D:$D,"欠食"))+(COUNTIFS(利用者名簿!$B:$B,"女性入所",利用者名簿!$G:$G,"在籍")-COUNTIFS(食数記録!$A:$A,$A25,食数記録!$B:$B,"昼",食数記録!$F:$F,"女性入所",食数記録!$D:$D,"欠食"))+(IF(WEEKDAY($A25,2)&lt;=5,COUNTIFS(利用者名簿!$B:$B,"男性GH",利用者名簿!$G:$G,"在籍")-COUNTIFS(食数記録!$A:$A,$A25,食数記録!$B:$B,"昼",食数記録!$F:$F,"男性GH",食数記録!$D:$D,"欠食"),COUNTIFS(食数記録!$A:$A,$A25,食数記録!$B:$B,"昼",食数記録!$F:$F,"男性GH",食数記録!$D:$D,"臨時喫食")))+(IF(WEEKDAY($A25,2)&lt;=5,COUNTIFS(利用者名簿!$B:$B,"女性GH",利用者名簿!$G:$G,"在籍")-COUNTIFS(食数記録!$A:$A,$A25,食数記録!$B:$B,"昼",食数記録!$F:$F,"女性GH",食数記録!$D:$D,"欠食"),COUNTIFS(食数記録!$A:$A,$A25,食数記録!$B:$B,"昼",食数記録!$F:$F,"女性GH",食数記録!$D:$D,"臨時喫食")))+SUMIFS(職員食来客記録!$C:$C,職員食来客記録!$A:$A,$A25,職員食来客記録!$B:$B,"昼")+SUMIFS(職員食来客記録!$D:$D,職員食来客記録!$A:$A,$A25,職員食来客記録!$B:$B,"昼"))</f>
        <v>4</v>
      </c>
      <c r="E25" s="22" t="n">
        <f aca="false">IF($A25="","",(COUNTIFS(利用者名簿!$B:$B,"男性入所",利用者名簿!$G:$G,"在籍")-COUNTIFS(食数記録!$A:$A,$A25,食数記録!$B:$B,"夕",食数記録!$F:$F,"男性入所",食数記録!$D:$D,"欠食"))+(COUNTIFS(利用者名簿!$B:$B,"女性入所",利用者名簿!$G:$G,"在籍")-COUNTIFS(食数記録!$A:$A,$A25,食数記録!$B:$B,"夕",食数記録!$F:$F,"女性入所",食数記録!$D:$D,"欠食"))+COUNTIFS(食数記録!$A:$A,$A25,食数記録!$B:$B,"夕",食数記録!$F:$F,"男性GH",食数記録!$D:$D,"臨時喫食")+COUNTIFS(食数記録!$A:$A,$A25,食数記録!$B:$B,"夕",食数記録!$F:$F,"女性GH",食数記録!$D:$D,"臨時喫食")+SUMIFS(職員食来客記録!$C:$C,職員食来客記録!$A:$A,$A25,職員食来客記録!$B:$B,"夕")+SUMIFS(職員食来客記録!$D:$D,職員食来客記録!$A:$A,$A25,職員食来客記録!$B:$B,"夕"))</f>
        <v>2</v>
      </c>
    </row>
    <row r="26" customFormat="false" ht="15" hidden="false" customHeight="false" outlineLevel="0" collapsed="false">
      <c r="A26" s="20" t="n">
        <f aca="false">IF(MONTH($C$3+13)=MONTH($C$3),$C$3+13,"")</f>
        <v>46248</v>
      </c>
      <c r="B26" s="21" t="str">
        <f aca="false">IF(A26="","",TEXT(A26,"aaa"))</f>
        <v>Fri</v>
      </c>
      <c r="C26" s="22" t="n">
        <f aca="false">IF($A26="","",(COUNTIFS(利用者名簿!$B:$B,"男性入所",利用者名簿!$G:$G,"在籍")-COUNTIFS(食数記録!$A:$A,$A26,食数記録!$B:$B,"朝",食数記録!$F:$F,"男性入所",食数記録!$D:$D,"欠食"))+(COUNTIFS(利用者名簿!$B:$B,"女性入所",利用者名簿!$G:$G,"在籍")-COUNTIFS(食数記録!$A:$A,$A26,食数記録!$B:$B,"朝",食数記録!$F:$F,"女性入所",食数記録!$D:$D,"欠食"))+COUNTIFS(食数記録!$A:$A,$A26,食数記録!$B:$B,"朝",食数記録!$F:$F,"男性GH",食数記録!$D:$D,"臨時喫食")+COUNTIFS(食数記録!$A:$A,$A26,食数記録!$B:$B,"朝",食数記録!$F:$F,"女性GH",食数記録!$D:$D,"臨時喫食")+SUMIFS(職員食来客記録!$C:$C,職員食来客記録!$A:$A,$A26,職員食来客記録!$B:$B,"朝")+SUMIFS(職員食来客記録!$D:$D,職員食来客記録!$A:$A,$A26,職員食来客記録!$B:$B,"朝"))</f>
        <v>2</v>
      </c>
      <c r="D26" s="22" t="n">
        <f aca="false">IF($A26="","",(COUNTIFS(利用者名簿!$B:$B,"男性入所",利用者名簿!$G:$G,"在籍")-COUNTIFS(食数記録!$A:$A,$A26,食数記録!$B:$B,"昼",食数記録!$F:$F,"男性入所",食数記録!$D:$D,"欠食"))+(COUNTIFS(利用者名簿!$B:$B,"女性入所",利用者名簿!$G:$G,"在籍")-COUNTIFS(食数記録!$A:$A,$A26,食数記録!$B:$B,"昼",食数記録!$F:$F,"女性入所",食数記録!$D:$D,"欠食"))+(IF(WEEKDAY($A26,2)&lt;=5,COUNTIFS(利用者名簿!$B:$B,"男性GH",利用者名簿!$G:$G,"在籍")-COUNTIFS(食数記録!$A:$A,$A26,食数記録!$B:$B,"昼",食数記録!$F:$F,"男性GH",食数記録!$D:$D,"欠食"),COUNTIFS(食数記録!$A:$A,$A26,食数記録!$B:$B,"昼",食数記録!$F:$F,"男性GH",食数記録!$D:$D,"臨時喫食")))+(IF(WEEKDAY($A26,2)&lt;=5,COUNTIFS(利用者名簿!$B:$B,"女性GH",利用者名簿!$G:$G,"在籍")-COUNTIFS(食数記録!$A:$A,$A26,食数記録!$B:$B,"昼",食数記録!$F:$F,"女性GH",食数記録!$D:$D,"欠食"),COUNTIFS(食数記録!$A:$A,$A26,食数記録!$B:$B,"昼",食数記録!$F:$F,"女性GH",食数記録!$D:$D,"臨時喫食")))+SUMIFS(職員食来客記録!$C:$C,職員食来客記録!$A:$A,$A26,職員食来客記録!$B:$B,"昼")+SUMIFS(職員食来客記録!$D:$D,職員食来客記録!$A:$A,$A26,職員食来客記録!$B:$B,"昼"))</f>
        <v>3</v>
      </c>
      <c r="E26" s="22" t="n">
        <f aca="false">IF($A26="","",(COUNTIFS(利用者名簿!$B:$B,"男性入所",利用者名簿!$G:$G,"在籍")-COUNTIFS(食数記録!$A:$A,$A26,食数記録!$B:$B,"夕",食数記録!$F:$F,"男性入所",食数記録!$D:$D,"欠食"))+(COUNTIFS(利用者名簿!$B:$B,"女性入所",利用者名簿!$G:$G,"在籍")-COUNTIFS(食数記録!$A:$A,$A26,食数記録!$B:$B,"夕",食数記録!$F:$F,"女性入所",食数記録!$D:$D,"欠食"))+COUNTIFS(食数記録!$A:$A,$A26,食数記録!$B:$B,"夕",食数記録!$F:$F,"男性GH",食数記録!$D:$D,"臨時喫食")+COUNTIFS(食数記録!$A:$A,$A26,食数記録!$B:$B,"夕",食数記録!$F:$F,"女性GH",食数記録!$D:$D,"臨時喫食")+SUMIFS(職員食来客記録!$C:$C,職員食来客記録!$A:$A,$A26,職員食来客記録!$B:$B,"夕")+SUMIFS(職員食来客記録!$D:$D,職員食来客記録!$A:$A,$A26,職員食来客記録!$B:$B,"夕"))</f>
        <v>2</v>
      </c>
    </row>
    <row r="27" customFormat="false" ht="15" hidden="false" customHeight="false" outlineLevel="0" collapsed="false">
      <c r="A27" s="20" t="n">
        <f aca="false">IF(MONTH($C$3+14)=MONTH($C$3),$C$3+14,"")</f>
        <v>46249</v>
      </c>
      <c r="B27" s="21" t="str">
        <f aca="false">IF(A27="","",TEXT(A27,"aaa"))</f>
        <v>Sat</v>
      </c>
      <c r="C27" s="22" t="n">
        <f aca="false">IF($A27="","",(COUNTIFS(利用者名簿!$B:$B,"男性入所",利用者名簿!$G:$G,"在籍")-COUNTIFS(食数記録!$A:$A,$A27,食数記録!$B:$B,"朝",食数記録!$F:$F,"男性入所",食数記録!$D:$D,"欠食"))+(COUNTIFS(利用者名簿!$B:$B,"女性入所",利用者名簿!$G:$G,"在籍")-COUNTIFS(食数記録!$A:$A,$A27,食数記録!$B:$B,"朝",食数記録!$F:$F,"女性入所",食数記録!$D:$D,"欠食"))+COUNTIFS(食数記録!$A:$A,$A27,食数記録!$B:$B,"朝",食数記録!$F:$F,"男性GH",食数記録!$D:$D,"臨時喫食")+COUNTIFS(食数記録!$A:$A,$A27,食数記録!$B:$B,"朝",食数記録!$F:$F,"女性GH",食数記録!$D:$D,"臨時喫食")+SUMIFS(職員食来客記録!$C:$C,職員食来客記録!$A:$A,$A27,職員食来客記録!$B:$B,"朝")+SUMIFS(職員食来客記録!$D:$D,職員食来客記録!$A:$A,$A27,職員食来客記録!$B:$B,"朝"))</f>
        <v>2</v>
      </c>
      <c r="D27" s="22" t="n">
        <f aca="false">IF($A27="","",(COUNTIFS(利用者名簿!$B:$B,"男性入所",利用者名簿!$G:$G,"在籍")-COUNTIFS(食数記録!$A:$A,$A27,食数記録!$B:$B,"昼",食数記録!$F:$F,"男性入所",食数記録!$D:$D,"欠食"))+(COUNTIFS(利用者名簿!$B:$B,"女性入所",利用者名簿!$G:$G,"在籍")-COUNTIFS(食数記録!$A:$A,$A27,食数記録!$B:$B,"昼",食数記録!$F:$F,"女性入所",食数記録!$D:$D,"欠食"))+(IF(WEEKDAY($A27,2)&lt;=5,COUNTIFS(利用者名簿!$B:$B,"男性GH",利用者名簿!$G:$G,"在籍")-COUNTIFS(食数記録!$A:$A,$A27,食数記録!$B:$B,"昼",食数記録!$F:$F,"男性GH",食数記録!$D:$D,"欠食"),COUNTIFS(食数記録!$A:$A,$A27,食数記録!$B:$B,"昼",食数記録!$F:$F,"男性GH",食数記録!$D:$D,"臨時喫食")))+(IF(WEEKDAY($A27,2)&lt;=5,COUNTIFS(利用者名簿!$B:$B,"女性GH",利用者名簿!$G:$G,"在籍")-COUNTIFS(食数記録!$A:$A,$A27,食数記録!$B:$B,"昼",食数記録!$F:$F,"女性GH",食数記録!$D:$D,"欠食"),COUNTIFS(食数記録!$A:$A,$A27,食数記録!$B:$B,"昼",食数記録!$F:$F,"女性GH",食数記録!$D:$D,"臨時喫食")))+SUMIFS(職員食来客記録!$C:$C,職員食来客記録!$A:$A,$A27,職員食来客記録!$B:$B,"昼")+SUMIFS(職員食来客記録!$D:$D,職員食来客記録!$A:$A,$A27,職員食来客記録!$B:$B,"昼"))</f>
        <v>2</v>
      </c>
      <c r="E27" s="22" t="n">
        <f aca="false">IF($A27="","",(COUNTIFS(利用者名簿!$B:$B,"男性入所",利用者名簿!$G:$G,"在籍")-COUNTIFS(食数記録!$A:$A,$A27,食数記録!$B:$B,"夕",食数記録!$F:$F,"男性入所",食数記録!$D:$D,"欠食"))+(COUNTIFS(利用者名簿!$B:$B,"女性入所",利用者名簿!$G:$G,"在籍")-COUNTIFS(食数記録!$A:$A,$A27,食数記録!$B:$B,"夕",食数記録!$F:$F,"女性入所",食数記録!$D:$D,"欠食"))+COUNTIFS(食数記録!$A:$A,$A27,食数記録!$B:$B,"夕",食数記録!$F:$F,"男性GH",食数記録!$D:$D,"臨時喫食")+COUNTIFS(食数記録!$A:$A,$A27,食数記録!$B:$B,"夕",食数記録!$F:$F,"女性GH",食数記録!$D:$D,"臨時喫食")+SUMIFS(職員食来客記録!$C:$C,職員食来客記録!$A:$A,$A27,職員食来客記録!$B:$B,"夕")+SUMIFS(職員食来客記録!$D:$D,職員食来客記録!$A:$A,$A27,職員食来客記録!$B:$B,"夕"))</f>
        <v>2</v>
      </c>
    </row>
    <row r="28" customFormat="false" ht="15" hidden="false" customHeight="false" outlineLevel="0" collapsed="false">
      <c r="A28" s="20" t="n">
        <f aca="false">IF(MONTH($C$3+15)=MONTH($C$3),$C$3+15,"")</f>
        <v>46250</v>
      </c>
      <c r="B28" s="21" t="str">
        <f aca="false">IF(A28="","",TEXT(A28,"aaa"))</f>
        <v>Sun</v>
      </c>
      <c r="C28" s="22" t="n">
        <f aca="false">IF($A28="","",(COUNTIFS(利用者名簿!$B:$B,"男性入所",利用者名簿!$G:$G,"在籍")-COUNTIFS(食数記録!$A:$A,$A28,食数記録!$B:$B,"朝",食数記録!$F:$F,"男性入所",食数記録!$D:$D,"欠食"))+(COUNTIFS(利用者名簿!$B:$B,"女性入所",利用者名簿!$G:$G,"在籍")-COUNTIFS(食数記録!$A:$A,$A28,食数記録!$B:$B,"朝",食数記録!$F:$F,"女性入所",食数記録!$D:$D,"欠食"))+COUNTIFS(食数記録!$A:$A,$A28,食数記録!$B:$B,"朝",食数記録!$F:$F,"男性GH",食数記録!$D:$D,"臨時喫食")+COUNTIFS(食数記録!$A:$A,$A28,食数記録!$B:$B,"朝",食数記録!$F:$F,"女性GH",食数記録!$D:$D,"臨時喫食")+SUMIFS(職員食来客記録!$C:$C,職員食来客記録!$A:$A,$A28,職員食来客記録!$B:$B,"朝")+SUMIFS(職員食来客記録!$D:$D,職員食来客記録!$A:$A,$A28,職員食来客記録!$B:$B,"朝"))</f>
        <v>2</v>
      </c>
      <c r="D28" s="22" t="n">
        <f aca="false">IF($A28="","",(COUNTIFS(利用者名簿!$B:$B,"男性入所",利用者名簿!$G:$G,"在籍")-COUNTIFS(食数記録!$A:$A,$A28,食数記録!$B:$B,"昼",食数記録!$F:$F,"男性入所",食数記録!$D:$D,"欠食"))+(COUNTIFS(利用者名簿!$B:$B,"女性入所",利用者名簿!$G:$G,"在籍")-COUNTIFS(食数記録!$A:$A,$A28,食数記録!$B:$B,"昼",食数記録!$F:$F,"女性入所",食数記録!$D:$D,"欠食"))+(IF(WEEKDAY($A28,2)&lt;=5,COUNTIFS(利用者名簿!$B:$B,"男性GH",利用者名簿!$G:$G,"在籍")-COUNTIFS(食数記録!$A:$A,$A28,食数記録!$B:$B,"昼",食数記録!$F:$F,"男性GH",食数記録!$D:$D,"欠食"),COUNTIFS(食数記録!$A:$A,$A28,食数記録!$B:$B,"昼",食数記録!$F:$F,"男性GH",食数記録!$D:$D,"臨時喫食")))+(IF(WEEKDAY($A28,2)&lt;=5,COUNTIFS(利用者名簿!$B:$B,"女性GH",利用者名簿!$G:$G,"在籍")-COUNTIFS(食数記録!$A:$A,$A28,食数記録!$B:$B,"昼",食数記録!$F:$F,"女性GH",食数記録!$D:$D,"欠食"),COUNTIFS(食数記録!$A:$A,$A28,食数記録!$B:$B,"昼",食数記録!$F:$F,"女性GH",食数記録!$D:$D,"臨時喫食")))+SUMIFS(職員食来客記録!$C:$C,職員食来客記録!$A:$A,$A28,職員食来客記録!$B:$B,"昼")+SUMIFS(職員食来客記録!$D:$D,職員食来客記録!$A:$A,$A28,職員食来客記録!$B:$B,"昼"))</f>
        <v>2</v>
      </c>
      <c r="E28" s="22" t="n">
        <f aca="false">IF($A28="","",(COUNTIFS(利用者名簿!$B:$B,"男性入所",利用者名簿!$G:$G,"在籍")-COUNTIFS(食数記録!$A:$A,$A28,食数記録!$B:$B,"夕",食数記録!$F:$F,"男性入所",食数記録!$D:$D,"欠食"))+(COUNTIFS(利用者名簿!$B:$B,"女性入所",利用者名簿!$G:$G,"在籍")-COUNTIFS(食数記録!$A:$A,$A28,食数記録!$B:$B,"夕",食数記録!$F:$F,"女性入所",食数記録!$D:$D,"欠食"))+COUNTIFS(食数記録!$A:$A,$A28,食数記録!$B:$B,"夕",食数記録!$F:$F,"男性GH",食数記録!$D:$D,"臨時喫食")+COUNTIFS(食数記録!$A:$A,$A28,食数記録!$B:$B,"夕",食数記録!$F:$F,"女性GH",食数記録!$D:$D,"臨時喫食")+SUMIFS(職員食来客記録!$C:$C,職員食来客記録!$A:$A,$A28,職員食来客記録!$B:$B,"夕")+SUMIFS(職員食来客記録!$D:$D,職員食来客記録!$A:$A,$A28,職員食来客記録!$B:$B,"夕"))</f>
        <v>2</v>
      </c>
    </row>
    <row r="29" customFormat="false" ht="15" hidden="false" customHeight="false" outlineLevel="0" collapsed="false">
      <c r="A29" s="20" t="n">
        <f aca="false">IF(MONTH($C$3+16)=MONTH($C$3),$C$3+16,"")</f>
        <v>46251</v>
      </c>
      <c r="B29" s="21" t="str">
        <f aca="false">IF(A29="","",TEXT(A29,"aaa"))</f>
        <v>Mon</v>
      </c>
      <c r="C29" s="22" t="n">
        <f aca="false">IF($A29="","",(COUNTIFS(利用者名簿!$B:$B,"男性入所",利用者名簿!$G:$G,"在籍")-COUNTIFS(食数記録!$A:$A,$A29,食数記録!$B:$B,"朝",食数記録!$F:$F,"男性入所",食数記録!$D:$D,"欠食"))+(COUNTIFS(利用者名簿!$B:$B,"女性入所",利用者名簿!$G:$G,"在籍")-COUNTIFS(食数記録!$A:$A,$A29,食数記録!$B:$B,"朝",食数記録!$F:$F,"女性入所",食数記録!$D:$D,"欠食"))+COUNTIFS(食数記録!$A:$A,$A29,食数記録!$B:$B,"朝",食数記録!$F:$F,"男性GH",食数記録!$D:$D,"臨時喫食")+COUNTIFS(食数記録!$A:$A,$A29,食数記録!$B:$B,"朝",食数記録!$F:$F,"女性GH",食数記録!$D:$D,"臨時喫食")+SUMIFS(職員食来客記録!$C:$C,職員食来客記録!$A:$A,$A29,職員食来客記録!$B:$B,"朝")+SUMIFS(職員食来客記録!$D:$D,職員食来客記録!$A:$A,$A29,職員食来客記録!$B:$B,"朝"))</f>
        <v>2</v>
      </c>
      <c r="D29" s="22" t="n">
        <f aca="false">IF($A29="","",(COUNTIFS(利用者名簿!$B:$B,"男性入所",利用者名簿!$G:$G,"在籍")-COUNTIFS(食数記録!$A:$A,$A29,食数記録!$B:$B,"昼",食数記録!$F:$F,"男性入所",食数記録!$D:$D,"欠食"))+(COUNTIFS(利用者名簿!$B:$B,"女性入所",利用者名簿!$G:$G,"在籍")-COUNTIFS(食数記録!$A:$A,$A29,食数記録!$B:$B,"昼",食数記録!$F:$F,"女性入所",食数記録!$D:$D,"欠食"))+(IF(WEEKDAY($A29,2)&lt;=5,COUNTIFS(利用者名簿!$B:$B,"男性GH",利用者名簿!$G:$G,"在籍")-COUNTIFS(食数記録!$A:$A,$A29,食数記録!$B:$B,"昼",食数記録!$F:$F,"男性GH",食数記録!$D:$D,"欠食"),COUNTIFS(食数記録!$A:$A,$A29,食数記録!$B:$B,"昼",食数記録!$F:$F,"男性GH",食数記録!$D:$D,"臨時喫食")))+(IF(WEEKDAY($A29,2)&lt;=5,COUNTIFS(利用者名簿!$B:$B,"女性GH",利用者名簿!$G:$G,"在籍")-COUNTIFS(食数記録!$A:$A,$A29,食数記録!$B:$B,"昼",食数記録!$F:$F,"女性GH",食数記録!$D:$D,"欠食"),COUNTIFS(食数記録!$A:$A,$A29,食数記録!$B:$B,"昼",食数記録!$F:$F,"女性GH",食数記録!$D:$D,"臨時喫食")))+SUMIFS(職員食来客記録!$C:$C,職員食来客記録!$A:$A,$A29,職員食来客記録!$B:$B,"昼")+SUMIFS(職員食来客記録!$D:$D,職員食来客記録!$A:$A,$A29,職員食来客記録!$B:$B,"昼"))</f>
        <v>3</v>
      </c>
      <c r="E29" s="22" t="n">
        <f aca="false">IF($A29="","",(COUNTIFS(利用者名簿!$B:$B,"男性入所",利用者名簿!$G:$G,"在籍")-COUNTIFS(食数記録!$A:$A,$A29,食数記録!$B:$B,"夕",食数記録!$F:$F,"男性入所",食数記録!$D:$D,"欠食"))+(COUNTIFS(利用者名簿!$B:$B,"女性入所",利用者名簿!$G:$G,"在籍")-COUNTIFS(食数記録!$A:$A,$A29,食数記録!$B:$B,"夕",食数記録!$F:$F,"女性入所",食数記録!$D:$D,"欠食"))+COUNTIFS(食数記録!$A:$A,$A29,食数記録!$B:$B,"夕",食数記録!$F:$F,"男性GH",食数記録!$D:$D,"臨時喫食")+COUNTIFS(食数記録!$A:$A,$A29,食数記録!$B:$B,"夕",食数記録!$F:$F,"女性GH",食数記録!$D:$D,"臨時喫食")+SUMIFS(職員食来客記録!$C:$C,職員食来客記録!$A:$A,$A29,職員食来客記録!$B:$B,"夕")+SUMIFS(職員食来客記録!$D:$D,職員食来客記録!$A:$A,$A29,職員食来客記録!$B:$B,"夕"))</f>
        <v>2</v>
      </c>
    </row>
    <row r="30" customFormat="false" ht="15" hidden="false" customHeight="false" outlineLevel="0" collapsed="false">
      <c r="A30" s="20" t="n">
        <f aca="false">IF(MONTH($C$3+17)=MONTH($C$3),$C$3+17,"")</f>
        <v>46252</v>
      </c>
      <c r="B30" s="21" t="str">
        <f aca="false">IF(A30="","",TEXT(A30,"aaa"))</f>
        <v>Tue</v>
      </c>
      <c r="C30" s="22" t="n">
        <f aca="false">IF($A30="","",(COUNTIFS(利用者名簿!$B:$B,"男性入所",利用者名簿!$G:$G,"在籍")-COUNTIFS(食数記録!$A:$A,$A30,食数記録!$B:$B,"朝",食数記録!$F:$F,"男性入所",食数記録!$D:$D,"欠食"))+(COUNTIFS(利用者名簿!$B:$B,"女性入所",利用者名簿!$G:$G,"在籍")-COUNTIFS(食数記録!$A:$A,$A30,食数記録!$B:$B,"朝",食数記録!$F:$F,"女性入所",食数記録!$D:$D,"欠食"))+COUNTIFS(食数記録!$A:$A,$A30,食数記録!$B:$B,"朝",食数記録!$F:$F,"男性GH",食数記録!$D:$D,"臨時喫食")+COUNTIFS(食数記録!$A:$A,$A30,食数記録!$B:$B,"朝",食数記録!$F:$F,"女性GH",食数記録!$D:$D,"臨時喫食")+SUMIFS(職員食来客記録!$C:$C,職員食来客記録!$A:$A,$A30,職員食来客記録!$B:$B,"朝")+SUMIFS(職員食来客記録!$D:$D,職員食来客記録!$A:$A,$A30,職員食来客記録!$B:$B,"朝"))</f>
        <v>2</v>
      </c>
      <c r="D30" s="22" t="n">
        <f aca="false">IF($A30="","",(COUNTIFS(利用者名簿!$B:$B,"男性入所",利用者名簿!$G:$G,"在籍")-COUNTIFS(食数記録!$A:$A,$A30,食数記録!$B:$B,"昼",食数記録!$F:$F,"男性入所",食数記録!$D:$D,"欠食"))+(COUNTIFS(利用者名簿!$B:$B,"女性入所",利用者名簿!$G:$G,"在籍")-COUNTIFS(食数記録!$A:$A,$A30,食数記録!$B:$B,"昼",食数記録!$F:$F,"女性入所",食数記録!$D:$D,"欠食"))+(IF(WEEKDAY($A30,2)&lt;=5,COUNTIFS(利用者名簿!$B:$B,"男性GH",利用者名簿!$G:$G,"在籍")-COUNTIFS(食数記録!$A:$A,$A30,食数記録!$B:$B,"昼",食数記録!$F:$F,"男性GH",食数記録!$D:$D,"欠食"),COUNTIFS(食数記録!$A:$A,$A30,食数記録!$B:$B,"昼",食数記録!$F:$F,"男性GH",食数記録!$D:$D,"臨時喫食")))+(IF(WEEKDAY($A30,2)&lt;=5,COUNTIFS(利用者名簿!$B:$B,"女性GH",利用者名簿!$G:$G,"在籍")-COUNTIFS(食数記録!$A:$A,$A30,食数記録!$B:$B,"昼",食数記録!$F:$F,"女性GH",食数記録!$D:$D,"欠食"),COUNTIFS(食数記録!$A:$A,$A30,食数記録!$B:$B,"昼",食数記録!$F:$F,"女性GH",食数記録!$D:$D,"臨時喫食")))+SUMIFS(職員食来客記録!$C:$C,職員食来客記録!$A:$A,$A30,職員食来客記録!$B:$B,"昼")+SUMIFS(職員食来客記録!$D:$D,職員食来客記録!$A:$A,$A30,職員食来客記録!$B:$B,"昼"))</f>
        <v>3</v>
      </c>
      <c r="E30" s="22" t="n">
        <f aca="false">IF($A30="","",(COUNTIFS(利用者名簿!$B:$B,"男性入所",利用者名簿!$G:$G,"在籍")-COUNTIFS(食数記録!$A:$A,$A30,食数記録!$B:$B,"夕",食数記録!$F:$F,"男性入所",食数記録!$D:$D,"欠食"))+(COUNTIFS(利用者名簿!$B:$B,"女性入所",利用者名簿!$G:$G,"在籍")-COUNTIFS(食数記録!$A:$A,$A30,食数記録!$B:$B,"夕",食数記録!$F:$F,"女性入所",食数記録!$D:$D,"欠食"))+COUNTIFS(食数記録!$A:$A,$A30,食数記録!$B:$B,"夕",食数記録!$F:$F,"男性GH",食数記録!$D:$D,"臨時喫食")+COUNTIFS(食数記録!$A:$A,$A30,食数記録!$B:$B,"夕",食数記録!$F:$F,"女性GH",食数記録!$D:$D,"臨時喫食")+SUMIFS(職員食来客記録!$C:$C,職員食来客記録!$A:$A,$A30,職員食来客記録!$B:$B,"夕")+SUMIFS(職員食来客記録!$D:$D,職員食来客記録!$A:$A,$A30,職員食来客記録!$B:$B,"夕"))</f>
        <v>2</v>
      </c>
    </row>
    <row r="31" customFormat="false" ht="15" hidden="false" customHeight="false" outlineLevel="0" collapsed="false">
      <c r="A31" s="20" t="n">
        <f aca="false">IF(MONTH($C$3+18)=MONTH($C$3),$C$3+18,"")</f>
        <v>46253</v>
      </c>
      <c r="B31" s="21" t="str">
        <f aca="false">IF(A31="","",TEXT(A31,"aaa"))</f>
        <v>Wed</v>
      </c>
      <c r="C31" s="22" t="n">
        <f aca="false">IF($A31="","",(COUNTIFS(利用者名簿!$B:$B,"男性入所",利用者名簿!$G:$G,"在籍")-COUNTIFS(食数記録!$A:$A,$A31,食数記録!$B:$B,"朝",食数記録!$F:$F,"男性入所",食数記録!$D:$D,"欠食"))+(COUNTIFS(利用者名簿!$B:$B,"女性入所",利用者名簿!$G:$G,"在籍")-COUNTIFS(食数記録!$A:$A,$A31,食数記録!$B:$B,"朝",食数記録!$F:$F,"女性入所",食数記録!$D:$D,"欠食"))+COUNTIFS(食数記録!$A:$A,$A31,食数記録!$B:$B,"朝",食数記録!$F:$F,"男性GH",食数記録!$D:$D,"臨時喫食")+COUNTIFS(食数記録!$A:$A,$A31,食数記録!$B:$B,"朝",食数記録!$F:$F,"女性GH",食数記録!$D:$D,"臨時喫食")+SUMIFS(職員食来客記録!$C:$C,職員食来客記録!$A:$A,$A31,職員食来客記録!$B:$B,"朝")+SUMIFS(職員食来客記録!$D:$D,職員食来客記録!$A:$A,$A31,職員食来客記録!$B:$B,"朝"))</f>
        <v>2</v>
      </c>
      <c r="D31" s="22" t="n">
        <f aca="false">IF($A31="","",(COUNTIFS(利用者名簿!$B:$B,"男性入所",利用者名簿!$G:$G,"在籍")-COUNTIFS(食数記録!$A:$A,$A31,食数記録!$B:$B,"昼",食数記録!$F:$F,"男性入所",食数記録!$D:$D,"欠食"))+(COUNTIFS(利用者名簿!$B:$B,"女性入所",利用者名簿!$G:$G,"在籍")-COUNTIFS(食数記録!$A:$A,$A31,食数記録!$B:$B,"昼",食数記録!$F:$F,"女性入所",食数記録!$D:$D,"欠食"))+(IF(WEEKDAY($A31,2)&lt;=5,COUNTIFS(利用者名簿!$B:$B,"男性GH",利用者名簿!$G:$G,"在籍")-COUNTIFS(食数記録!$A:$A,$A31,食数記録!$B:$B,"昼",食数記録!$F:$F,"男性GH",食数記録!$D:$D,"欠食"),COUNTIFS(食数記録!$A:$A,$A31,食数記録!$B:$B,"昼",食数記録!$F:$F,"男性GH",食数記録!$D:$D,"臨時喫食")))+(IF(WEEKDAY($A31,2)&lt;=5,COUNTIFS(利用者名簿!$B:$B,"女性GH",利用者名簿!$G:$G,"在籍")-COUNTIFS(食数記録!$A:$A,$A31,食数記録!$B:$B,"昼",食数記録!$F:$F,"女性GH",食数記録!$D:$D,"欠食"),COUNTIFS(食数記録!$A:$A,$A31,食数記録!$B:$B,"昼",食数記録!$F:$F,"女性GH",食数記録!$D:$D,"臨時喫食")))+SUMIFS(職員食来客記録!$C:$C,職員食来客記録!$A:$A,$A31,職員食来客記録!$B:$B,"昼")+SUMIFS(職員食来客記録!$D:$D,職員食来客記録!$A:$A,$A31,職員食来客記録!$B:$B,"昼"))</f>
        <v>3</v>
      </c>
      <c r="E31" s="22" t="n">
        <f aca="false">IF($A31="","",(COUNTIFS(利用者名簿!$B:$B,"男性入所",利用者名簿!$G:$G,"在籍")-COUNTIFS(食数記録!$A:$A,$A31,食数記録!$B:$B,"夕",食数記録!$F:$F,"男性入所",食数記録!$D:$D,"欠食"))+(COUNTIFS(利用者名簿!$B:$B,"女性入所",利用者名簿!$G:$G,"在籍")-COUNTIFS(食数記録!$A:$A,$A31,食数記録!$B:$B,"夕",食数記録!$F:$F,"女性入所",食数記録!$D:$D,"欠食"))+COUNTIFS(食数記録!$A:$A,$A31,食数記録!$B:$B,"夕",食数記録!$F:$F,"男性GH",食数記録!$D:$D,"臨時喫食")+COUNTIFS(食数記録!$A:$A,$A31,食数記録!$B:$B,"夕",食数記録!$F:$F,"女性GH",食数記録!$D:$D,"臨時喫食")+SUMIFS(職員食来客記録!$C:$C,職員食来客記録!$A:$A,$A31,職員食来客記録!$B:$B,"夕")+SUMIFS(職員食来客記録!$D:$D,職員食来客記録!$A:$A,$A31,職員食来客記録!$B:$B,"夕"))</f>
        <v>2</v>
      </c>
    </row>
    <row r="32" customFormat="false" ht="15" hidden="false" customHeight="false" outlineLevel="0" collapsed="false">
      <c r="A32" s="20" t="n">
        <f aca="false">IF(MONTH($C$3+19)=MONTH($C$3),$C$3+19,"")</f>
        <v>46254</v>
      </c>
      <c r="B32" s="21" t="str">
        <f aca="false">IF(A32="","",TEXT(A32,"aaa"))</f>
        <v>Thu</v>
      </c>
      <c r="C32" s="22" t="n">
        <f aca="false">IF($A32="","",(COUNTIFS(利用者名簿!$B:$B,"男性入所",利用者名簿!$G:$G,"在籍")-COUNTIFS(食数記録!$A:$A,$A32,食数記録!$B:$B,"朝",食数記録!$F:$F,"男性入所",食数記録!$D:$D,"欠食"))+(COUNTIFS(利用者名簿!$B:$B,"女性入所",利用者名簿!$G:$G,"在籍")-COUNTIFS(食数記録!$A:$A,$A32,食数記録!$B:$B,"朝",食数記録!$F:$F,"女性入所",食数記録!$D:$D,"欠食"))+COUNTIFS(食数記録!$A:$A,$A32,食数記録!$B:$B,"朝",食数記録!$F:$F,"男性GH",食数記録!$D:$D,"臨時喫食")+COUNTIFS(食数記録!$A:$A,$A32,食数記録!$B:$B,"朝",食数記録!$F:$F,"女性GH",食数記録!$D:$D,"臨時喫食")+SUMIFS(職員食来客記録!$C:$C,職員食来客記録!$A:$A,$A32,職員食来客記録!$B:$B,"朝")+SUMIFS(職員食来客記録!$D:$D,職員食来客記録!$A:$A,$A32,職員食来客記録!$B:$B,"朝"))</f>
        <v>2</v>
      </c>
      <c r="D32" s="22" t="n">
        <f aca="false">IF($A32="","",(COUNTIFS(利用者名簿!$B:$B,"男性入所",利用者名簿!$G:$G,"在籍")-COUNTIFS(食数記録!$A:$A,$A32,食数記録!$B:$B,"昼",食数記録!$F:$F,"男性入所",食数記録!$D:$D,"欠食"))+(COUNTIFS(利用者名簿!$B:$B,"女性入所",利用者名簿!$G:$G,"在籍")-COUNTIFS(食数記録!$A:$A,$A32,食数記録!$B:$B,"昼",食数記録!$F:$F,"女性入所",食数記録!$D:$D,"欠食"))+(IF(WEEKDAY($A32,2)&lt;=5,COUNTIFS(利用者名簿!$B:$B,"男性GH",利用者名簿!$G:$G,"在籍")-COUNTIFS(食数記録!$A:$A,$A32,食数記録!$B:$B,"昼",食数記録!$F:$F,"男性GH",食数記録!$D:$D,"欠食"),COUNTIFS(食数記録!$A:$A,$A32,食数記録!$B:$B,"昼",食数記録!$F:$F,"男性GH",食数記録!$D:$D,"臨時喫食")))+(IF(WEEKDAY($A32,2)&lt;=5,COUNTIFS(利用者名簿!$B:$B,"女性GH",利用者名簿!$G:$G,"在籍")-COUNTIFS(食数記録!$A:$A,$A32,食数記録!$B:$B,"昼",食数記録!$F:$F,"女性GH",食数記録!$D:$D,"欠食"),COUNTIFS(食数記録!$A:$A,$A32,食数記録!$B:$B,"昼",食数記録!$F:$F,"女性GH",食数記録!$D:$D,"臨時喫食")))+SUMIFS(職員食来客記録!$C:$C,職員食来客記録!$A:$A,$A32,職員食来客記録!$B:$B,"昼")+SUMIFS(職員食来客記録!$D:$D,職員食来客記録!$A:$A,$A32,職員食来客記録!$B:$B,"昼"))</f>
        <v>3</v>
      </c>
      <c r="E32" s="22" t="n">
        <f aca="false">IF($A32="","",(COUNTIFS(利用者名簿!$B:$B,"男性入所",利用者名簿!$G:$G,"在籍")-COUNTIFS(食数記録!$A:$A,$A32,食数記録!$B:$B,"夕",食数記録!$F:$F,"男性入所",食数記録!$D:$D,"欠食"))+(COUNTIFS(利用者名簿!$B:$B,"女性入所",利用者名簿!$G:$G,"在籍")-COUNTIFS(食数記録!$A:$A,$A32,食数記録!$B:$B,"夕",食数記録!$F:$F,"女性入所",食数記録!$D:$D,"欠食"))+COUNTIFS(食数記録!$A:$A,$A32,食数記録!$B:$B,"夕",食数記録!$F:$F,"男性GH",食数記録!$D:$D,"臨時喫食")+COUNTIFS(食数記録!$A:$A,$A32,食数記録!$B:$B,"夕",食数記録!$F:$F,"女性GH",食数記録!$D:$D,"臨時喫食")+SUMIFS(職員食来客記録!$C:$C,職員食来客記録!$A:$A,$A32,職員食来客記録!$B:$B,"夕")+SUMIFS(職員食来客記録!$D:$D,職員食来客記録!$A:$A,$A32,職員食来客記録!$B:$B,"夕"))</f>
        <v>2</v>
      </c>
    </row>
    <row r="33" customFormat="false" ht="15" hidden="false" customHeight="false" outlineLevel="0" collapsed="false">
      <c r="A33" s="20" t="n">
        <f aca="false">IF(MONTH($C$3+20)=MONTH($C$3),$C$3+20,"")</f>
        <v>46255</v>
      </c>
      <c r="B33" s="21" t="str">
        <f aca="false">IF(A33="","",TEXT(A33,"aaa"))</f>
        <v>Fri</v>
      </c>
      <c r="C33" s="22" t="n">
        <f aca="false">IF($A33="","",(COUNTIFS(利用者名簿!$B:$B,"男性入所",利用者名簿!$G:$G,"在籍")-COUNTIFS(食数記録!$A:$A,$A33,食数記録!$B:$B,"朝",食数記録!$F:$F,"男性入所",食数記録!$D:$D,"欠食"))+(COUNTIFS(利用者名簿!$B:$B,"女性入所",利用者名簿!$G:$G,"在籍")-COUNTIFS(食数記録!$A:$A,$A33,食数記録!$B:$B,"朝",食数記録!$F:$F,"女性入所",食数記録!$D:$D,"欠食"))+COUNTIFS(食数記録!$A:$A,$A33,食数記録!$B:$B,"朝",食数記録!$F:$F,"男性GH",食数記録!$D:$D,"臨時喫食")+COUNTIFS(食数記録!$A:$A,$A33,食数記録!$B:$B,"朝",食数記録!$F:$F,"女性GH",食数記録!$D:$D,"臨時喫食")+SUMIFS(職員食来客記録!$C:$C,職員食来客記録!$A:$A,$A33,職員食来客記録!$B:$B,"朝")+SUMIFS(職員食来客記録!$D:$D,職員食来客記録!$A:$A,$A33,職員食来客記録!$B:$B,"朝"))</f>
        <v>2</v>
      </c>
      <c r="D33" s="22" t="n">
        <f aca="false">IF($A33="","",(COUNTIFS(利用者名簿!$B:$B,"男性入所",利用者名簿!$G:$G,"在籍")-COUNTIFS(食数記録!$A:$A,$A33,食数記録!$B:$B,"昼",食数記録!$F:$F,"男性入所",食数記録!$D:$D,"欠食"))+(COUNTIFS(利用者名簿!$B:$B,"女性入所",利用者名簿!$G:$G,"在籍")-COUNTIFS(食数記録!$A:$A,$A33,食数記録!$B:$B,"昼",食数記録!$F:$F,"女性入所",食数記録!$D:$D,"欠食"))+(IF(WEEKDAY($A33,2)&lt;=5,COUNTIFS(利用者名簿!$B:$B,"男性GH",利用者名簿!$G:$G,"在籍")-COUNTIFS(食数記録!$A:$A,$A33,食数記録!$B:$B,"昼",食数記録!$F:$F,"男性GH",食数記録!$D:$D,"欠食"),COUNTIFS(食数記録!$A:$A,$A33,食数記録!$B:$B,"昼",食数記録!$F:$F,"男性GH",食数記録!$D:$D,"臨時喫食")))+(IF(WEEKDAY($A33,2)&lt;=5,COUNTIFS(利用者名簿!$B:$B,"女性GH",利用者名簿!$G:$G,"在籍")-COUNTIFS(食数記録!$A:$A,$A33,食数記録!$B:$B,"昼",食数記録!$F:$F,"女性GH",食数記録!$D:$D,"欠食"),COUNTIFS(食数記録!$A:$A,$A33,食数記録!$B:$B,"昼",食数記録!$F:$F,"女性GH",食数記録!$D:$D,"臨時喫食")))+SUMIFS(職員食来客記録!$C:$C,職員食来客記録!$A:$A,$A33,職員食来客記録!$B:$B,"昼")+SUMIFS(職員食来客記録!$D:$D,職員食来客記録!$A:$A,$A33,職員食来客記録!$B:$B,"昼"))</f>
        <v>3</v>
      </c>
      <c r="E33" s="22" t="n">
        <f aca="false">IF($A33="","",(COUNTIFS(利用者名簿!$B:$B,"男性入所",利用者名簿!$G:$G,"在籍")-COUNTIFS(食数記録!$A:$A,$A33,食数記録!$B:$B,"夕",食数記録!$F:$F,"男性入所",食数記録!$D:$D,"欠食"))+(COUNTIFS(利用者名簿!$B:$B,"女性入所",利用者名簿!$G:$G,"在籍")-COUNTIFS(食数記録!$A:$A,$A33,食数記録!$B:$B,"夕",食数記録!$F:$F,"女性入所",食数記録!$D:$D,"欠食"))+COUNTIFS(食数記録!$A:$A,$A33,食数記録!$B:$B,"夕",食数記録!$F:$F,"男性GH",食数記録!$D:$D,"臨時喫食")+COUNTIFS(食数記録!$A:$A,$A33,食数記録!$B:$B,"夕",食数記録!$F:$F,"女性GH",食数記録!$D:$D,"臨時喫食")+SUMIFS(職員食来客記録!$C:$C,職員食来客記録!$A:$A,$A33,職員食来客記録!$B:$B,"夕")+SUMIFS(職員食来客記録!$D:$D,職員食来客記録!$A:$A,$A33,職員食来客記録!$B:$B,"夕"))</f>
        <v>2</v>
      </c>
    </row>
    <row r="34" customFormat="false" ht="15" hidden="false" customHeight="false" outlineLevel="0" collapsed="false">
      <c r="A34" s="20" t="n">
        <f aca="false">IF(MONTH($C$3+21)=MONTH($C$3),$C$3+21,"")</f>
        <v>46256</v>
      </c>
      <c r="B34" s="21" t="str">
        <f aca="false">IF(A34="","",TEXT(A34,"aaa"))</f>
        <v>Sat</v>
      </c>
      <c r="C34" s="22" t="n">
        <f aca="false">IF($A34="","",(COUNTIFS(利用者名簿!$B:$B,"男性入所",利用者名簿!$G:$G,"在籍")-COUNTIFS(食数記録!$A:$A,$A34,食数記録!$B:$B,"朝",食数記録!$F:$F,"男性入所",食数記録!$D:$D,"欠食"))+(COUNTIFS(利用者名簿!$B:$B,"女性入所",利用者名簿!$G:$G,"在籍")-COUNTIFS(食数記録!$A:$A,$A34,食数記録!$B:$B,"朝",食数記録!$F:$F,"女性入所",食数記録!$D:$D,"欠食"))+COUNTIFS(食数記録!$A:$A,$A34,食数記録!$B:$B,"朝",食数記録!$F:$F,"男性GH",食数記録!$D:$D,"臨時喫食")+COUNTIFS(食数記録!$A:$A,$A34,食数記録!$B:$B,"朝",食数記録!$F:$F,"女性GH",食数記録!$D:$D,"臨時喫食")+SUMIFS(職員食来客記録!$C:$C,職員食来客記録!$A:$A,$A34,職員食来客記録!$B:$B,"朝")+SUMIFS(職員食来客記録!$D:$D,職員食来客記録!$A:$A,$A34,職員食来客記録!$B:$B,"朝"))</f>
        <v>2</v>
      </c>
      <c r="D34" s="22" t="n">
        <f aca="false">IF($A34="","",(COUNTIFS(利用者名簿!$B:$B,"男性入所",利用者名簿!$G:$G,"在籍")-COUNTIFS(食数記録!$A:$A,$A34,食数記録!$B:$B,"昼",食数記録!$F:$F,"男性入所",食数記録!$D:$D,"欠食"))+(COUNTIFS(利用者名簿!$B:$B,"女性入所",利用者名簿!$G:$G,"在籍")-COUNTIFS(食数記録!$A:$A,$A34,食数記録!$B:$B,"昼",食数記録!$F:$F,"女性入所",食数記録!$D:$D,"欠食"))+(IF(WEEKDAY($A34,2)&lt;=5,COUNTIFS(利用者名簿!$B:$B,"男性GH",利用者名簿!$G:$G,"在籍")-COUNTIFS(食数記録!$A:$A,$A34,食数記録!$B:$B,"昼",食数記録!$F:$F,"男性GH",食数記録!$D:$D,"欠食"),COUNTIFS(食数記録!$A:$A,$A34,食数記録!$B:$B,"昼",食数記録!$F:$F,"男性GH",食数記録!$D:$D,"臨時喫食")))+(IF(WEEKDAY($A34,2)&lt;=5,COUNTIFS(利用者名簿!$B:$B,"女性GH",利用者名簿!$G:$G,"在籍")-COUNTIFS(食数記録!$A:$A,$A34,食数記録!$B:$B,"昼",食数記録!$F:$F,"女性GH",食数記録!$D:$D,"欠食"),COUNTIFS(食数記録!$A:$A,$A34,食数記録!$B:$B,"昼",食数記録!$F:$F,"女性GH",食数記録!$D:$D,"臨時喫食")))+SUMIFS(職員食来客記録!$C:$C,職員食来客記録!$A:$A,$A34,職員食来客記録!$B:$B,"昼")+SUMIFS(職員食来客記録!$D:$D,職員食来客記録!$A:$A,$A34,職員食来客記録!$B:$B,"昼"))</f>
        <v>2</v>
      </c>
      <c r="E34" s="22" t="n">
        <f aca="false">IF($A34="","",(COUNTIFS(利用者名簿!$B:$B,"男性入所",利用者名簿!$G:$G,"在籍")-COUNTIFS(食数記録!$A:$A,$A34,食数記録!$B:$B,"夕",食数記録!$F:$F,"男性入所",食数記録!$D:$D,"欠食"))+(COUNTIFS(利用者名簿!$B:$B,"女性入所",利用者名簿!$G:$G,"在籍")-COUNTIFS(食数記録!$A:$A,$A34,食数記録!$B:$B,"夕",食数記録!$F:$F,"女性入所",食数記録!$D:$D,"欠食"))+COUNTIFS(食数記録!$A:$A,$A34,食数記録!$B:$B,"夕",食数記録!$F:$F,"男性GH",食数記録!$D:$D,"臨時喫食")+COUNTIFS(食数記録!$A:$A,$A34,食数記録!$B:$B,"夕",食数記録!$F:$F,"女性GH",食数記録!$D:$D,"臨時喫食")+SUMIFS(職員食来客記録!$C:$C,職員食来客記録!$A:$A,$A34,職員食来客記録!$B:$B,"夕")+SUMIFS(職員食来客記録!$D:$D,職員食来客記録!$A:$A,$A34,職員食来客記録!$B:$B,"夕"))</f>
        <v>2</v>
      </c>
    </row>
    <row r="35" customFormat="false" ht="15" hidden="false" customHeight="false" outlineLevel="0" collapsed="false">
      <c r="A35" s="20" t="n">
        <f aca="false">IF(MONTH($C$3+22)=MONTH($C$3),$C$3+22,"")</f>
        <v>46257</v>
      </c>
      <c r="B35" s="21" t="str">
        <f aca="false">IF(A35="","",TEXT(A35,"aaa"))</f>
        <v>Sun</v>
      </c>
      <c r="C35" s="22" t="n">
        <f aca="false">IF($A35="","",(COUNTIFS(利用者名簿!$B:$B,"男性入所",利用者名簿!$G:$G,"在籍")-COUNTIFS(食数記録!$A:$A,$A35,食数記録!$B:$B,"朝",食数記録!$F:$F,"男性入所",食数記録!$D:$D,"欠食"))+(COUNTIFS(利用者名簿!$B:$B,"女性入所",利用者名簿!$G:$G,"在籍")-COUNTIFS(食数記録!$A:$A,$A35,食数記録!$B:$B,"朝",食数記録!$F:$F,"女性入所",食数記録!$D:$D,"欠食"))+COUNTIFS(食数記録!$A:$A,$A35,食数記録!$B:$B,"朝",食数記録!$F:$F,"男性GH",食数記録!$D:$D,"臨時喫食")+COUNTIFS(食数記録!$A:$A,$A35,食数記録!$B:$B,"朝",食数記録!$F:$F,"女性GH",食数記録!$D:$D,"臨時喫食")+SUMIFS(職員食来客記録!$C:$C,職員食来客記録!$A:$A,$A35,職員食来客記録!$B:$B,"朝")+SUMIFS(職員食来客記録!$D:$D,職員食来客記録!$A:$A,$A35,職員食来客記録!$B:$B,"朝"))</f>
        <v>2</v>
      </c>
      <c r="D35" s="22" t="n">
        <f aca="false">IF($A35="","",(COUNTIFS(利用者名簿!$B:$B,"男性入所",利用者名簿!$G:$G,"在籍")-COUNTIFS(食数記録!$A:$A,$A35,食数記録!$B:$B,"昼",食数記録!$F:$F,"男性入所",食数記録!$D:$D,"欠食"))+(COUNTIFS(利用者名簿!$B:$B,"女性入所",利用者名簿!$G:$G,"在籍")-COUNTIFS(食数記録!$A:$A,$A35,食数記録!$B:$B,"昼",食数記録!$F:$F,"女性入所",食数記録!$D:$D,"欠食"))+(IF(WEEKDAY($A35,2)&lt;=5,COUNTIFS(利用者名簿!$B:$B,"男性GH",利用者名簿!$G:$G,"在籍")-COUNTIFS(食数記録!$A:$A,$A35,食数記録!$B:$B,"昼",食数記録!$F:$F,"男性GH",食数記録!$D:$D,"欠食"),COUNTIFS(食数記録!$A:$A,$A35,食数記録!$B:$B,"昼",食数記録!$F:$F,"男性GH",食数記録!$D:$D,"臨時喫食")))+(IF(WEEKDAY($A35,2)&lt;=5,COUNTIFS(利用者名簿!$B:$B,"女性GH",利用者名簿!$G:$G,"在籍")-COUNTIFS(食数記録!$A:$A,$A35,食数記録!$B:$B,"昼",食数記録!$F:$F,"女性GH",食数記録!$D:$D,"欠食"),COUNTIFS(食数記録!$A:$A,$A35,食数記録!$B:$B,"昼",食数記録!$F:$F,"女性GH",食数記録!$D:$D,"臨時喫食")))+SUMIFS(職員食来客記録!$C:$C,職員食来客記録!$A:$A,$A35,職員食来客記録!$B:$B,"昼")+SUMIFS(職員食来客記録!$D:$D,職員食来客記録!$A:$A,$A35,職員食来客記録!$B:$B,"昼"))</f>
        <v>2</v>
      </c>
      <c r="E35" s="22" t="n">
        <f aca="false">IF($A35="","",(COUNTIFS(利用者名簿!$B:$B,"男性入所",利用者名簿!$G:$G,"在籍")-COUNTIFS(食数記録!$A:$A,$A35,食数記録!$B:$B,"夕",食数記録!$F:$F,"男性入所",食数記録!$D:$D,"欠食"))+(COUNTIFS(利用者名簿!$B:$B,"女性入所",利用者名簿!$G:$G,"在籍")-COUNTIFS(食数記録!$A:$A,$A35,食数記録!$B:$B,"夕",食数記録!$F:$F,"女性入所",食数記録!$D:$D,"欠食"))+COUNTIFS(食数記録!$A:$A,$A35,食数記録!$B:$B,"夕",食数記録!$F:$F,"男性GH",食数記録!$D:$D,"臨時喫食")+COUNTIFS(食数記録!$A:$A,$A35,食数記録!$B:$B,"夕",食数記録!$F:$F,"女性GH",食数記録!$D:$D,"臨時喫食")+SUMIFS(職員食来客記録!$C:$C,職員食来客記録!$A:$A,$A35,職員食来客記録!$B:$B,"夕")+SUMIFS(職員食来客記録!$D:$D,職員食来客記録!$A:$A,$A35,職員食来客記録!$B:$B,"夕"))</f>
        <v>2</v>
      </c>
    </row>
    <row r="36" customFormat="false" ht="15" hidden="false" customHeight="false" outlineLevel="0" collapsed="false">
      <c r="A36" s="20" t="n">
        <f aca="false">IF(MONTH($C$3+23)=MONTH($C$3),$C$3+23,"")</f>
        <v>46258</v>
      </c>
      <c r="B36" s="21" t="str">
        <f aca="false">IF(A36="","",TEXT(A36,"aaa"))</f>
        <v>Mon</v>
      </c>
      <c r="C36" s="22" t="n">
        <f aca="false">IF($A36="","",(COUNTIFS(利用者名簿!$B:$B,"男性入所",利用者名簿!$G:$G,"在籍")-COUNTIFS(食数記録!$A:$A,$A36,食数記録!$B:$B,"朝",食数記録!$F:$F,"男性入所",食数記録!$D:$D,"欠食"))+(COUNTIFS(利用者名簿!$B:$B,"女性入所",利用者名簿!$G:$G,"在籍")-COUNTIFS(食数記録!$A:$A,$A36,食数記録!$B:$B,"朝",食数記録!$F:$F,"女性入所",食数記録!$D:$D,"欠食"))+COUNTIFS(食数記録!$A:$A,$A36,食数記録!$B:$B,"朝",食数記録!$F:$F,"男性GH",食数記録!$D:$D,"臨時喫食")+COUNTIFS(食数記録!$A:$A,$A36,食数記録!$B:$B,"朝",食数記録!$F:$F,"女性GH",食数記録!$D:$D,"臨時喫食")+SUMIFS(職員食来客記録!$C:$C,職員食来客記録!$A:$A,$A36,職員食来客記録!$B:$B,"朝")+SUMIFS(職員食来客記録!$D:$D,職員食来客記録!$A:$A,$A36,職員食来客記録!$B:$B,"朝"))</f>
        <v>2</v>
      </c>
      <c r="D36" s="22" t="n">
        <f aca="false">IF($A36="","",(COUNTIFS(利用者名簿!$B:$B,"男性入所",利用者名簿!$G:$G,"在籍")-COUNTIFS(食数記録!$A:$A,$A36,食数記録!$B:$B,"昼",食数記録!$F:$F,"男性入所",食数記録!$D:$D,"欠食"))+(COUNTIFS(利用者名簿!$B:$B,"女性入所",利用者名簿!$G:$G,"在籍")-COUNTIFS(食数記録!$A:$A,$A36,食数記録!$B:$B,"昼",食数記録!$F:$F,"女性入所",食数記録!$D:$D,"欠食"))+(IF(WEEKDAY($A36,2)&lt;=5,COUNTIFS(利用者名簿!$B:$B,"男性GH",利用者名簿!$G:$G,"在籍")-COUNTIFS(食数記録!$A:$A,$A36,食数記録!$B:$B,"昼",食数記録!$F:$F,"男性GH",食数記録!$D:$D,"欠食"),COUNTIFS(食数記録!$A:$A,$A36,食数記録!$B:$B,"昼",食数記録!$F:$F,"男性GH",食数記録!$D:$D,"臨時喫食")))+(IF(WEEKDAY($A36,2)&lt;=5,COUNTIFS(利用者名簿!$B:$B,"女性GH",利用者名簿!$G:$G,"在籍")-COUNTIFS(食数記録!$A:$A,$A36,食数記録!$B:$B,"昼",食数記録!$F:$F,"女性GH",食数記録!$D:$D,"欠食"),COUNTIFS(食数記録!$A:$A,$A36,食数記録!$B:$B,"昼",食数記録!$F:$F,"女性GH",食数記録!$D:$D,"臨時喫食")))+SUMIFS(職員食来客記録!$C:$C,職員食来客記録!$A:$A,$A36,職員食来客記録!$B:$B,"昼")+SUMIFS(職員食来客記録!$D:$D,職員食来客記録!$A:$A,$A36,職員食来客記録!$B:$B,"昼"))</f>
        <v>3</v>
      </c>
      <c r="E36" s="22" t="n">
        <f aca="false">IF($A36="","",(COUNTIFS(利用者名簿!$B:$B,"男性入所",利用者名簿!$G:$G,"在籍")-COUNTIFS(食数記録!$A:$A,$A36,食数記録!$B:$B,"夕",食数記録!$F:$F,"男性入所",食数記録!$D:$D,"欠食"))+(COUNTIFS(利用者名簿!$B:$B,"女性入所",利用者名簿!$G:$G,"在籍")-COUNTIFS(食数記録!$A:$A,$A36,食数記録!$B:$B,"夕",食数記録!$F:$F,"女性入所",食数記録!$D:$D,"欠食"))+COUNTIFS(食数記録!$A:$A,$A36,食数記録!$B:$B,"夕",食数記録!$F:$F,"男性GH",食数記録!$D:$D,"臨時喫食")+COUNTIFS(食数記録!$A:$A,$A36,食数記録!$B:$B,"夕",食数記録!$F:$F,"女性GH",食数記録!$D:$D,"臨時喫食")+SUMIFS(職員食来客記録!$C:$C,職員食来客記録!$A:$A,$A36,職員食来客記録!$B:$B,"夕")+SUMIFS(職員食来客記録!$D:$D,職員食来客記録!$A:$A,$A36,職員食来客記録!$B:$B,"夕"))</f>
        <v>2</v>
      </c>
    </row>
    <row r="37" customFormat="false" ht="15" hidden="false" customHeight="false" outlineLevel="0" collapsed="false">
      <c r="A37" s="20" t="n">
        <f aca="false">IF(MONTH($C$3+24)=MONTH($C$3),$C$3+24,"")</f>
        <v>46259</v>
      </c>
      <c r="B37" s="21" t="str">
        <f aca="false">IF(A37="","",TEXT(A37,"aaa"))</f>
        <v>Tue</v>
      </c>
      <c r="C37" s="22" t="n">
        <f aca="false">IF($A37="","",(COUNTIFS(利用者名簿!$B:$B,"男性入所",利用者名簿!$G:$G,"在籍")-COUNTIFS(食数記録!$A:$A,$A37,食数記録!$B:$B,"朝",食数記録!$F:$F,"男性入所",食数記録!$D:$D,"欠食"))+(COUNTIFS(利用者名簿!$B:$B,"女性入所",利用者名簿!$G:$G,"在籍")-COUNTIFS(食数記録!$A:$A,$A37,食数記録!$B:$B,"朝",食数記録!$F:$F,"女性入所",食数記録!$D:$D,"欠食"))+COUNTIFS(食数記録!$A:$A,$A37,食数記録!$B:$B,"朝",食数記録!$F:$F,"男性GH",食数記録!$D:$D,"臨時喫食")+COUNTIFS(食数記録!$A:$A,$A37,食数記録!$B:$B,"朝",食数記録!$F:$F,"女性GH",食数記録!$D:$D,"臨時喫食")+SUMIFS(職員食来客記録!$C:$C,職員食来客記録!$A:$A,$A37,職員食来客記録!$B:$B,"朝")+SUMIFS(職員食来客記録!$D:$D,職員食来客記録!$A:$A,$A37,職員食来客記録!$B:$B,"朝"))</f>
        <v>2</v>
      </c>
      <c r="D37" s="22" t="n">
        <f aca="false">IF($A37="","",(COUNTIFS(利用者名簿!$B:$B,"男性入所",利用者名簿!$G:$G,"在籍")-COUNTIFS(食数記録!$A:$A,$A37,食数記録!$B:$B,"昼",食数記録!$F:$F,"男性入所",食数記録!$D:$D,"欠食"))+(COUNTIFS(利用者名簿!$B:$B,"女性入所",利用者名簿!$G:$G,"在籍")-COUNTIFS(食数記録!$A:$A,$A37,食数記録!$B:$B,"昼",食数記録!$F:$F,"女性入所",食数記録!$D:$D,"欠食"))+(IF(WEEKDAY($A37,2)&lt;=5,COUNTIFS(利用者名簿!$B:$B,"男性GH",利用者名簿!$G:$G,"在籍")-COUNTIFS(食数記録!$A:$A,$A37,食数記録!$B:$B,"昼",食数記録!$F:$F,"男性GH",食数記録!$D:$D,"欠食"),COUNTIFS(食数記録!$A:$A,$A37,食数記録!$B:$B,"昼",食数記録!$F:$F,"男性GH",食数記録!$D:$D,"臨時喫食")))+(IF(WEEKDAY($A37,2)&lt;=5,COUNTIFS(利用者名簿!$B:$B,"女性GH",利用者名簿!$G:$G,"在籍")-COUNTIFS(食数記録!$A:$A,$A37,食数記録!$B:$B,"昼",食数記録!$F:$F,"女性GH",食数記録!$D:$D,"欠食"),COUNTIFS(食数記録!$A:$A,$A37,食数記録!$B:$B,"昼",食数記録!$F:$F,"女性GH",食数記録!$D:$D,"臨時喫食")))+SUMIFS(職員食来客記録!$C:$C,職員食来客記録!$A:$A,$A37,職員食来客記録!$B:$B,"昼")+SUMIFS(職員食来客記録!$D:$D,職員食来客記録!$A:$A,$A37,職員食来客記録!$B:$B,"昼"))</f>
        <v>3</v>
      </c>
      <c r="E37" s="22" t="n">
        <f aca="false">IF($A37="","",(COUNTIFS(利用者名簿!$B:$B,"男性入所",利用者名簿!$G:$G,"在籍")-COUNTIFS(食数記録!$A:$A,$A37,食数記録!$B:$B,"夕",食数記録!$F:$F,"男性入所",食数記録!$D:$D,"欠食"))+(COUNTIFS(利用者名簿!$B:$B,"女性入所",利用者名簿!$G:$G,"在籍")-COUNTIFS(食数記録!$A:$A,$A37,食数記録!$B:$B,"夕",食数記録!$F:$F,"女性入所",食数記録!$D:$D,"欠食"))+COUNTIFS(食数記録!$A:$A,$A37,食数記録!$B:$B,"夕",食数記録!$F:$F,"男性GH",食数記録!$D:$D,"臨時喫食")+COUNTIFS(食数記録!$A:$A,$A37,食数記録!$B:$B,"夕",食数記録!$F:$F,"女性GH",食数記録!$D:$D,"臨時喫食")+SUMIFS(職員食来客記録!$C:$C,職員食来客記録!$A:$A,$A37,職員食来客記録!$B:$B,"夕")+SUMIFS(職員食来客記録!$D:$D,職員食来客記録!$A:$A,$A37,職員食来客記録!$B:$B,"夕"))</f>
        <v>2</v>
      </c>
    </row>
    <row r="38" customFormat="false" ht="15" hidden="false" customHeight="false" outlineLevel="0" collapsed="false">
      <c r="A38" s="20" t="n">
        <f aca="false">IF(MONTH($C$3+25)=MONTH($C$3),$C$3+25,"")</f>
        <v>46260</v>
      </c>
      <c r="B38" s="21" t="str">
        <f aca="false">IF(A38="","",TEXT(A38,"aaa"))</f>
        <v>Wed</v>
      </c>
      <c r="C38" s="22" t="n">
        <f aca="false">IF($A38="","",(COUNTIFS(利用者名簿!$B:$B,"男性入所",利用者名簿!$G:$G,"在籍")-COUNTIFS(食数記録!$A:$A,$A38,食数記録!$B:$B,"朝",食数記録!$F:$F,"男性入所",食数記録!$D:$D,"欠食"))+(COUNTIFS(利用者名簿!$B:$B,"女性入所",利用者名簿!$G:$G,"在籍")-COUNTIFS(食数記録!$A:$A,$A38,食数記録!$B:$B,"朝",食数記録!$F:$F,"女性入所",食数記録!$D:$D,"欠食"))+COUNTIFS(食数記録!$A:$A,$A38,食数記録!$B:$B,"朝",食数記録!$F:$F,"男性GH",食数記録!$D:$D,"臨時喫食")+COUNTIFS(食数記録!$A:$A,$A38,食数記録!$B:$B,"朝",食数記録!$F:$F,"女性GH",食数記録!$D:$D,"臨時喫食")+SUMIFS(職員食来客記録!$C:$C,職員食来客記録!$A:$A,$A38,職員食来客記録!$B:$B,"朝")+SUMIFS(職員食来客記録!$D:$D,職員食来客記録!$A:$A,$A38,職員食来客記録!$B:$B,"朝"))</f>
        <v>2</v>
      </c>
      <c r="D38" s="22" t="n">
        <f aca="false">IF($A38="","",(COUNTIFS(利用者名簿!$B:$B,"男性入所",利用者名簿!$G:$G,"在籍")-COUNTIFS(食数記録!$A:$A,$A38,食数記録!$B:$B,"昼",食数記録!$F:$F,"男性入所",食数記録!$D:$D,"欠食"))+(COUNTIFS(利用者名簿!$B:$B,"女性入所",利用者名簿!$G:$G,"在籍")-COUNTIFS(食数記録!$A:$A,$A38,食数記録!$B:$B,"昼",食数記録!$F:$F,"女性入所",食数記録!$D:$D,"欠食"))+(IF(WEEKDAY($A38,2)&lt;=5,COUNTIFS(利用者名簿!$B:$B,"男性GH",利用者名簿!$G:$G,"在籍")-COUNTIFS(食数記録!$A:$A,$A38,食数記録!$B:$B,"昼",食数記録!$F:$F,"男性GH",食数記録!$D:$D,"欠食"),COUNTIFS(食数記録!$A:$A,$A38,食数記録!$B:$B,"昼",食数記録!$F:$F,"男性GH",食数記録!$D:$D,"臨時喫食")))+(IF(WEEKDAY($A38,2)&lt;=5,COUNTIFS(利用者名簿!$B:$B,"女性GH",利用者名簿!$G:$G,"在籍")-COUNTIFS(食数記録!$A:$A,$A38,食数記録!$B:$B,"昼",食数記録!$F:$F,"女性GH",食数記録!$D:$D,"欠食"),COUNTIFS(食数記録!$A:$A,$A38,食数記録!$B:$B,"昼",食数記録!$F:$F,"女性GH",食数記録!$D:$D,"臨時喫食")))+SUMIFS(職員食来客記録!$C:$C,職員食来客記録!$A:$A,$A38,職員食来客記録!$B:$B,"昼")+SUMIFS(職員食来客記録!$D:$D,職員食来客記録!$A:$A,$A38,職員食来客記録!$B:$B,"昼"))</f>
        <v>3</v>
      </c>
      <c r="E38" s="22" t="n">
        <f aca="false">IF($A38="","",(COUNTIFS(利用者名簿!$B:$B,"男性入所",利用者名簿!$G:$G,"在籍")-COUNTIFS(食数記録!$A:$A,$A38,食数記録!$B:$B,"夕",食数記録!$F:$F,"男性入所",食数記録!$D:$D,"欠食"))+(COUNTIFS(利用者名簿!$B:$B,"女性入所",利用者名簿!$G:$G,"在籍")-COUNTIFS(食数記録!$A:$A,$A38,食数記録!$B:$B,"夕",食数記録!$F:$F,"女性入所",食数記録!$D:$D,"欠食"))+COUNTIFS(食数記録!$A:$A,$A38,食数記録!$B:$B,"夕",食数記録!$F:$F,"男性GH",食数記録!$D:$D,"臨時喫食")+COUNTIFS(食数記録!$A:$A,$A38,食数記録!$B:$B,"夕",食数記録!$F:$F,"女性GH",食数記録!$D:$D,"臨時喫食")+SUMIFS(職員食来客記録!$C:$C,職員食来客記録!$A:$A,$A38,職員食来客記録!$B:$B,"夕")+SUMIFS(職員食来客記録!$D:$D,職員食来客記録!$A:$A,$A38,職員食来客記録!$B:$B,"夕"))</f>
        <v>2</v>
      </c>
    </row>
    <row r="39" customFormat="false" ht="15" hidden="false" customHeight="false" outlineLevel="0" collapsed="false">
      <c r="A39" s="20" t="n">
        <f aca="false">IF(MONTH($C$3+26)=MONTH($C$3),$C$3+26,"")</f>
        <v>46261</v>
      </c>
      <c r="B39" s="21" t="str">
        <f aca="false">IF(A39="","",TEXT(A39,"aaa"))</f>
        <v>Thu</v>
      </c>
      <c r="C39" s="22" t="n">
        <f aca="false">IF($A39="","",(COUNTIFS(利用者名簿!$B:$B,"男性入所",利用者名簿!$G:$G,"在籍")-COUNTIFS(食数記録!$A:$A,$A39,食数記録!$B:$B,"朝",食数記録!$F:$F,"男性入所",食数記録!$D:$D,"欠食"))+(COUNTIFS(利用者名簿!$B:$B,"女性入所",利用者名簿!$G:$G,"在籍")-COUNTIFS(食数記録!$A:$A,$A39,食数記録!$B:$B,"朝",食数記録!$F:$F,"女性入所",食数記録!$D:$D,"欠食"))+COUNTIFS(食数記録!$A:$A,$A39,食数記録!$B:$B,"朝",食数記録!$F:$F,"男性GH",食数記録!$D:$D,"臨時喫食")+COUNTIFS(食数記録!$A:$A,$A39,食数記録!$B:$B,"朝",食数記録!$F:$F,"女性GH",食数記録!$D:$D,"臨時喫食")+SUMIFS(職員食来客記録!$C:$C,職員食来客記録!$A:$A,$A39,職員食来客記録!$B:$B,"朝")+SUMIFS(職員食来客記録!$D:$D,職員食来客記録!$A:$A,$A39,職員食来客記録!$B:$B,"朝"))</f>
        <v>2</v>
      </c>
      <c r="D39" s="22" t="n">
        <f aca="false">IF($A39="","",(COUNTIFS(利用者名簿!$B:$B,"男性入所",利用者名簿!$G:$G,"在籍")-COUNTIFS(食数記録!$A:$A,$A39,食数記録!$B:$B,"昼",食数記録!$F:$F,"男性入所",食数記録!$D:$D,"欠食"))+(COUNTIFS(利用者名簿!$B:$B,"女性入所",利用者名簿!$G:$G,"在籍")-COUNTIFS(食数記録!$A:$A,$A39,食数記録!$B:$B,"昼",食数記録!$F:$F,"女性入所",食数記録!$D:$D,"欠食"))+(IF(WEEKDAY($A39,2)&lt;=5,COUNTIFS(利用者名簿!$B:$B,"男性GH",利用者名簿!$G:$G,"在籍")-COUNTIFS(食数記録!$A:$A,$A39,食数記録!$B:$B,"昼",食数記録!$F:$F,"男性GH",食数記録!$D:$D,"欠食"),COUNTIFS(食数記録!$A:$A,$A39,食数記録!$B:$B,"昼",食数記録!$F:$F,"男性GH",食数記録!$D:$D,"臨時喫食")))+(IF(WEEKDAY($A39,2)&lt;=5,COUNTIFS(利用者名簿!$B:$B,"女性GH",利用者名簿!$G:$G,"在籍")-COUNTIFS(食数記録!$A:$A,$A39,食数記録!$B:$B,"昼",食数記録!$F:$F,"女性GH",食数記録!$D:$D,"欠食"),COUNTIFS(食数記録!$A:$A,$A39,食数記録!$B:$B,"昼",食数記録!$F:$F,"女性GH",食数記録!$D:$D,"臨時喫食")))+SUMIFS(職員食来客記録!$C:$C,職員食来客記録!$A:$A,$A39,職員食来客記録!$B:$B,"昼")+SUMIFS(職員食来客記録!$D:$D,職員食来客記録!$A:$A,$A39,職員食来客記録!$B:$B,"昼"))</f>
        <v>3</v>
      </c>
      <c r="E39" s="22" t="n">
        <f aca="false">IF($A39="","",(COUNTIFS(利用者名簿!$B:$B,"男性入所",利用者名簿!$G:$G,"在籍")-COUNTIFS(食数記録!$A:$A,$A39,食数記録!$B:$B,"夕",食数記録!$F:$F,"男性入所",食数記録!$D:$D,"欠食"))+(COUNTIFS(利用者名簿!$B:$B,"女性入所",利用者名簿!$G:$G,"在籍")-COUNTIFS(食数記録!$A:$A,$A39,食数記録!$B:$B,"夕",食数記録!$F:$F,"女性入所",食数記録!$D:$D,"欠食"))+COUNTIFS(食数記録!$A:$A,$A39,食数記録!$B:$B,"夕",食数記録!$F:$F,"男性GH",食数記録!$D:$D,"臨時喫食")+COUNTIFS(食数記録!$A:$A,$A39,食数記録!$B:$B,"夕",食数記録!$F:$F,"女性GH",食数記録!$D:$D,"臨時喫食")+SUMIFS(職員食来客記録!$C:$C,職員食来客記録!$A:$A,$A39,職員食来客記録!$B:$B,"夕")+SUMIFS(職員食来客記録!$D:$D,職員食来客記録!$A:$A,$A39,職員食来客記録!$B:$B,"夕"))</f>
        <v>2</v>
      </c>
    </row>
    <row r="40" customFormat="false" ht="15" hidden="false" customHeight="false" outlineLevel="0" collapsed="false">
      <c r="A40" s="20" t="n">
        <f aca="false">IF(MONTH($C$3+27)=MONTH($C$3),$C$3+27,"")</f>
        <v>46262</v>
      </c>
      <c r="B40" s="21" t="str">
        <f aca="false">IF(A40="","",TEXT(A40,"aaa"))</f>
        <v>Fri</v>
      </c>
      <c r="C40" s="22" t="n">
        <f aca="false">IF($A40="","",(COUNTIFS(利用者名簿!$B:$B,"男性入所",利用者名簿!$G:$G,"在籍")-COUNTIFS(食数記録!$A:$A,$A40,食数記録!$B:$B,"朝",食数記録!$F:$F,"男性入所",食数記録!$D:$D,"欠食"))+(COUNTIFS(利用者名簿!$B:$B,"女性入所",利用者名簿!$G:$G,"在籍")-COUNTIFS(食数記録!$A:$A,$A40,食数記録!$B:$B,"朝",食数記録!$F:$F,"女性入所",食数記録!$D:$D,"欠食"))+COUNTIFS(食数記録!$A:$A,$A40,食数記録!$B:$B,"朝",食数記録!$F:$F,"男性GH",食数記録!$D:$D,"臨時喫食")+COUNTIFS(食数記録!$A:$A,$A40,食数記録!$B:$B,"朝",食数記録!$F:$F,"女性GH",食数記録!$D:$D,"臨時喫食")+SUMIFS(職員食来客記録!$C:$C,職員食来客記録!$A:$A,$A40,職員食来客記録!$B:$B,"朝")+SUMIFS(職員食来客記録!$D:$D,職員食来客記録!$A:$A,$A40,職員食来客記録!$B:$B,"朝"))</f>
        <v>2</v>
      </c>
      <c r="D40" s="22" t="n">
        <f aca="false">IF($A40="","",(COUNTIFS(利用者名簿!$B:$B,"男性入所",利用者名簿!$G:$G,"在籍")-COUNTIFS(食数記録!$A:$A,$A40,食数記録!$B:$B,"昼",食数記録!$F:$F,"男性入所",食数記録!$D:$D,"欠食"))+(COUNTIFS(利用者名簿!$B:$B,"女性入所",利用者名簿!$G:$G,"在籍")-COUNTIFS(食数記録!$A:$A,$A40,食数記録!$B:$B,"昼",食数記録!$F:$F,"女性入所",食数記録!$D:$D,"欠食"))+(IF(WEEKDAY($A40,2)&lt;=5,COUNTIFS(利用者名簿!$B:$B,"男性GH",利用者名簿!$G:$G,"在籍")-COUNTIFS(食数記録!$A:$A,$A40,食数記録!$B:$B,"昼",食数記録!$F:$F,"男性GH",食数記録!$D:$D,"欠食"),COUNTIFS(食数記録!$A:$A,$A40,食数記録!$B:$B,"昼",食数記録!$F:$F,"男性GH",食数記録!$D:$D,"臨時喫食")))+(IF(WEEKDAY($A40,2)&lt;=5,COUNTIFS(利用者名簿!$B:$B,"女性GH",利用者名簿!$G:$G,"在籍")-COUNTIFS(食数記録!$A:$A,$A40,食数記録!$B:$B,"昼",食数記録!$F:$F,"女性GH",食数記録!$D:$D,"欠食"),COUNTIFS(食数記録!$A:$A,$A40,食数記録!$B:$B,"昼",食数記録!$F:$F,"女性GH",食数記録!$D:$D,"臨時喫食")))+SUMIFS(職員食来客記録!$C:$C,職員食来客記録!$A:$A,$A40,職員食来客記録!$B:$B,"昼")+SUMIFS(職員食来客記録!$D:$D,職員食来客記録!$A:$A,$A40,職員食来客記録!$B:$B,"昼"))</f>
        <v>3</v>
      </c>
      <c r="E40" s="22" t="n">
        <f aca="false">IF($A40="","",(COUNTIFS(利用者名簿!$B:$B,"男性入所",利用者名簿!$G:$G,"在籍")-COUNTIFS(食数記録!$A:$A,$A40,食数記録!$B:$B,"夕",食数記録!$F:$F,"男性入所",食数記録!$D:$D,"欠食"))+(COUNTIFS(利用者名簿!$B:$B,"女性入所",利用者名簿!$G:$G,"在籍")-COUNTIFS(食数記録!$A:$A,$A40,食数記録!$B:$B,"夕",食数記録!$F:$F,"女性入所",食数記録!$D:$D,"欠食"))+COUNTIFS(食数記録!$A:$A,$A40,食数記録!$B:$B,"夕",食数記録!$F:$F,"男性GH",食数記録!$D:$D,"臨時喫食")+COUNTIFS(食数記録!$A:$A,$A40,食数記録!$B:$B,"夕",食数記録!$F:$F,"女性GH",食数記録!$D:$D,"臨時喫食")+SUMIFS(職員食来客記録!$C:$C,職員食来客記録!$A:$A,$A40,職員食来客記録!$B:$B,"夕")+SUMIFS(職員食来客記録!$D:$D,職員食来客記録!$A:$A,$A40,職員食来客記録!$B:$B,"夕"))</f>
        <v>2</v>
      </c>
    </row>
    <row r="41" customFormat="false" ht="15" hidden="false" customHeight="false" outlineLevel="0" collapsed="false">
      <c r="A41" s="20" t="n">
        <f aca="false">IF(MONTH($C$3+28)=MONTH($C$3),$C$3+28,"")</f>
        <v>46263</v>
      </c>
      <c r="B41" s="21" t="str">
        <f aca="false">IF(A41="","",TEXT(A41,"aaa"))</f>
        <v>Sat</v>
      </c>
      <c r="C41" s="22" t="n">
        <f aca="false">IF($A41="","",(COUNTIFS(利用者名簿!$B:$B,"男性入所",利用者名簿!$G:$G,"在籍")-COUNTIFS(食数記録!$A:$A,$A41,食数記録!$B:$B,"朝",食数記録!$F:$F,"男性入所",食数記録!$D:$D,"欠食"))+(COUNTIFS(利用者名簿!$B:$B,"女性入所",利用者名簿!$G:$G,"在籍")-COUNTIFS(食数記録!$A:$A,$A41,食数記録!$B:$B,"朝",食数記録!$F:$F,"女性入所",食数記録!$D:$D,"欠食"))+COUNTIFS(食数記録!$A:$A,$A41,食数記録!$B:$B,"朝",食数記録!$F:$F,"男性GH",食数記録!$D:$D,"臨時喫食")+COUNTIFS(食数記録!$A:$A,$A41,食数記録!$B:$B,"朝",食数記録!$F:$F,"女性GH",食数記録!$D:$D,"臨時喫食")+SUMIFS(職員食来客記録!$C:$C,職員食来客記録!$A:$A,$A41,職員食来客記録!$B:$B,"朝")+SUMIFS(職員食来客記録!$D:$D,職員食来客記録!$A:$A,$A41,職員食来客記録!$B:$B,"朝"))</f>
        <v>2</v>
      </c>
      <c r="D41" s="22" t="n">
        <f aca="false">IF($A41="","",(COUNTIFS(利用者名簿!$B:$B,"男性入所",利用者名簿!$G:$G,"在籍")-COUNTIFS(食数記録!$A:$A,$A41,食数記録!$B:$B,"昼",食数記録!$F:$F,"男性入所",食数記録!$D:$D,"欠食"))+(COUNTIFS(利用者名簿!$B:$B,"女性入所",利用者名簿!$G:$G,"在籍")-COUNTIFS(食数記録!$A:$A,$A41,食数記録!$B:$B,"昼",食数記録!$F:$F,"女性入所",食数記録!$D:$D,"欠食"))+(IF(WEEKDAY($A41,2)&lt;=5,COUNTIFS(利用者名簿!$B:$B,"男性GH",利用者名簿!$G:$G,"在籍")-COUNTIFS(食数記録!$A:$A,$A41,食数記録!$B:$B,"昼",食数記録!$F:$F,"男性GH",食数記録!$D:$D,"欠食"),COUNTIFS(食数記録!$A:$A,$A41,食数記録!$B:$B,"昼",食数記録!$F:$F,"男性GH",食数記録!$D:$D,"臨時喫食")))+(IF(WEEKDAY($A41,2)&lt;=5,COUNTIFS(利用者名簿!$B:$B,"女性GH",利用者名簿!$G:$G,"在籍")-COUNTIFS(食数記録!$A:$A,$A41,食数記録!$B:$B,"昼",食数記録!$F:$F,"女性GH",食数記録!$D:$D,"欠食"),COUNTIFS(食数記録!$A:$A,$A41,食数記録!$B:$B,"昼",食数記録!$F:$F,"女性GH",食数記録!$D:$D,"臨時喫食")))+SUMIFS(職員食来客記録!$C:$C,職員食来客記録!$A:$A,$A41,職員食来客記録!$B:$B,"昼")+SUMIFS(職員食来客記録!$D:$D,職員食来客記録!$A:$A,$A41,職員食来客記録!$B:$B,"昼"))</f>
        <v>2</v>
      </c>
      <c r="E41" s="22" t="n">
        <f aca="false">IF($A41="","",(COUNTIFS(利用者名簿!$B:$B,"男性入所",利用者名簿!$G:$G,"在籍")-COUNTIFS(食数記録!$A:$A,$A41,食数記録!$B:$B,"夕",食数記録!$F:$F,"男性入所",食数記録!$D:$D,"欠食"))+(COUNTIFS(利用者名簿!$B:$B,"女性入所",利用者名簿!$G:$G,"在籍")-COUNTIFS(食数記録!$A:$A,$A41,食数記録!$B:$B,"夕",食数記録!$F:$F,"女性入所",食数記録!$D:$D,"欠食"))+COUNTIFS(食数記録!$A:$A,$A41,食数記録!$B:$B,"夕",食数記録!$F:$F,"男性GH",食数記録!$D:$D,"臨時喫食")+COUNTIFS(食数記録!$A:$A,$A41,食数記録!$B:$B,"夕",食数記録!$F:$F,"女性GH",食数記録!$D:$D,"臨時喫食")+SUMIFS(職員食来客記録!$C:$C,職員食来客記録!$A:$A,$A41,職員食来客記録!$B:$B,"夕")+SUMIFS(職員食来客記録!$D:$D,職員食来客記録!$A:$A,$A41,職員食来客記録!$B:$B,"夕"))</f>
        <v>2</v>
      </c>
    </row>
    <row r="42" customFormat="false" ht="15" hidden="false" customHeight="false" outlineLevel="0" collapsed="false">
      <c r="A42" s="20" t="n">
        <f aca="false">IF(MONTH($C$3+29)=MONTH($C$3),$C$3+29,"")</f>
        <v>46264</v>
      </c>
      <c r="B42" s="21" t="str">
        <f aca="false">IF(A42="","",TEXT(A42,"aaa"))</f>
        <v>Sun</v>
      </c>
      <c r="C42" s="22" t="n">
        <f aca="false">IF($A42="","",(COUNTIFS(利用者名簿!$B:$B,"男性入所",利用者名簿!$G:$G,"在籍")-COUNTIFS(食数記録!$A:$A,$A42,食数記録!$B:$B,"朝",食数記録!$F:$F,"男性入所",食数記録!$D:$D,"欠食"))+(COUNTIFS(利用者名簿!$B:$B,"女性入所",利用者名簿!$G:$G,"在籍")-COUNTIFS(食数記録!$A:$A,$A42,食数記録!$B:$B,"朝",食数記録!$F:$F,"女性入所",食数記録!$D:$D,"欠食"))+COUNTIFS(食数記録!$A:$A,$A42,食数記録!$B:$B,"朝",食数記録!$F:$F,"男性GH",食数記録!$D:$D,"臨時喫食")+COUNTIFS(食数記録!$A:$A,$A42,食数記録!$B:$B,"朝",食数記録!$F:$F,"女性GH",食数記録!$D:$D,"臨時喫食")+SUMIFS(職員食来客記録!$C:$C,職員食来客記録!$A:$A,$A42,職員食来客記録!$B:$B,"朝")+SUMIFS(職員食来客記録!$D:$D,職員食来客記録!$A:$A,$A42,職員食来客記録!$B:$B,"朝"))</f>
        <v>2</v>
      </c>
      <c r="D42" s="22" t="n">
        <f aca="false">IF($A42="","",(COUNTIFS(利用者名簿!$B:$B,"男性入所",利用者名簿!$G:$G,"在籍")-COUNTIFS(食数記録!$A:$A,$A42,食数記録!$B:$B,"昼",食数記録!$F:$F,"男性入所",食数記録!$D:$D,"欠食"))+(COUNTIFS(利用者名簿!$B:$B,"女性入所",利用者名簿!$G:$G,"在籍")-COUNTIFS(食数記録!$A:$A,$A42,食数記録!$B:$B,"昼",食数記録!$F:$F,"女性入所",食数記録!$D:$D,"欠食"))+(IF(WEEKDAY($A42,2)&lt;=5,COUNTIFS(利用者名簿!$B:$B,"男性GH",利用者名簿!$G:$G,"在籍")-COUNTIFS(食数記録!$A:$A,$A42,食数記録!$B:$B,"昼",食数記録!$F:$F,"男性GH",食数記録!$D:$D,"欠食"),COUNTIFS(食数記録!$A:$A,$A42,食数記録!$B:$B,"昼",食数記録!$F:$F,"男性GH",食数記録!$D:$D,"臨時喫食")))+(IF(WEEKDAY($A42,2)&lt;=5,COUNTIFS(利用者名簿!$B:$B,"女性GH",利用者名簿!$G:$G,"在籍")-COUNTIFS(食数記録!$A:$A,$A42,食数記録!$B:$B,"昼",食数記録!$F:$F,"女性GH",食数記録!$D:$D,"欠食"),COUNTIFS(食数記録!$A:$A,$A42,食数記録!$B:$B,"昼",食数記録!$F:$F,"女性GH",食数記録!$D:$D,"臨時喫食")))+SUMIFS(職員食来客記録!$C:$C,職員食来客記録!$A:$A,$A42,職員食来客記録!$B:$B,"昼")+SUMIFS(職員食来客記録!$D:$D,職員食来客記録!$A:$A,$A42,職員食来客記録!$B:$B,"昼"))</f>
        <v>2</v>
      </c>
      <c r="E42" s="22" t="n">
        <f aca="false">IF($A42="","",(COUNTIFS(利用者名簿!$B:$B,"男性入所",利用者名簿!$G:$G,"在籍")-COUNTIFS(食数記録!$A:$A,$A42,食数記録!$B:$B,"夕",食数記録!$F:$F,"男性入所",食数記録!$D:$D,"欠食"))+(COUNTIFS(利用者名簿!$B:$B,"女性入所",利用者名簿!$G:$G,"在籍")-COUNTIFS(食数記録!$A:$A,$A42,食数記録!$B:$B,"夕",食数記録!$F:$F,"女性入所",食数記録!$D:$D,"欠食"))+COUNTIFS(食数記録!$A:$A,$A42,食数記録!$B:$B,"夕",食数記録!$F:$F,"男性GH",食数記録!$D:$D,"臨時喫食")+COUNTIFS(食数記録!$A:$A,$A42,食数記録!$B:$B,"夕",食数記録!$F:$F,"女性GH",食数記録!$D:$D,"臨時喫食")+SUMIFS(職員食来客記録!$C:$C,職員食来客記録!$A:$A,$A42,職員食来客記録!$B:$B,"夕")+SUMIFS(職員食来客記録!$D:$D,職員食来客記録!$A:$A,$A42,職員食来客記録!$B:$B,"夕"))</f>
        <v>2</v>
      </c>
    </row>
    <row r="43" customFormat="false" ht="15" hidden="false" customHeight="false" outlineLevel="0" collapsed="false">
      <c r="A43" s="20" t="n">
        <f aca="false">IF(MONTH($C$3+30)=MONTH($C$3),$C$3+30,"")</f>
        <v>46265</v>
      </c>
      <c r="B43" s="21" t="str">
        <f aca="false">IF(A43="","",TEXT(A43,"aaa"))</f>
        <v>Mon</v>
      </c>
      <c r="C43" s="22" t="n">
        <f aca="false">IF($A43="","",(COUNTIFS(利用者名簿!$B:$B,"男性入所",利用者名簿!$G:$G,"在籍")-COUNTIFS(食数記録!$A:$A,$A43,食数記録!$B:$B,"朝",食数記録!$F:$F,"男性入所",食数記録!$D:$D,"欠食"))+(COUNTIFS(利用者名簿!$B:$B,"女性入所",利用者名簿!$G:$G,"在籍")-COUNTIFS(食数記録!$A:$A,$A43,食数記録!$B:$B,"朝",食数記録!$F:$F,"女性入所",食数記録!$D:$D,"欠食"))+COUNTIFS(食数記録!$A:$A,$A43,食数記録!$B:$B,"朝",食数記録!$F:$F,"男性GH",食数記録!$D:$D,"臨時喫食")+COUNTIFS(食数記録!$A:$A,$A43,食数記録!$B:$B,"朝",食数記録!$F:$F,"女性GH",食数記録!$D:$D,"臨時喫食")+SUMIFS(職員食来客記録!$C:$C,職員食来客記録!$A:$A,$A43,職員食来客記録!$B:$B,"朝")+SUMIFS(職員食来客記録!$D:$D,職員食来客記録!$A:$A,$A43,職員食来客記録!$B:$B,"朝"))</f>
        <v>2</v>
      </c>
      <c r="D43" s="22" t="n">
        <f aca="false">IF($A43="","",(COUNTIFS(利用者名簿!$B:$B,"男性入所",利用者名簿!$G:$G,"在籍")-COUNTIFS(食数記録!$A:$A,$A43,食数記録!$B:$B,"昼",食数記録!$F:$F,"男性入所",食数記録!$D:$D,"欠食"))+(COUNTIFS(利用者名簿!$B:$B,"女性入所",利用者名簿!$G:$G,"在籍")-COUNTIFS(食数記録!$A:$A,$A43,食数記録!$B:$B,"昼",食数記録!$F:$F,"女性入所",食数記録!$D:$D,"欠食"))+(IF(WEEKDAY($A43,2)&lt;=5,COUNTIFS(利用者名簿!$B:$B,"男性GH",利用者名簿!$G:$G,"在籍")-COUNTIFS(食数記録!$A:$A,$A43,食数記録!$B:$B,"昼",食数記録!$F:$F,"男性GH",食数記録!$D:$D,"欠食"),COUNTIFS(食数記録!$A:$A,$A43,食数記録!$B:$B,"昼",食数記録!$F:$F,"男性GH",食数記録!$D:$D,"臨時喫食")))+(IF(WEEKDAY($A43,2)&lt;=5,COUNTIFS(利用者名簿!$B:$B,"女性GH",利用者名簿!$G:$G,"在籍")-COUNTIFS(食数記録!$A:$A,$A43,食数記録!$B:$B,"昼",食数記録!$F:$F,"女性GH",食数記録!$D:$D,"欠食"),COUNTIFS(食数記録!$A:$A,$A43,食数記録!$B:$B,"昼",食数記録!$F:$F,"女性GH",食数記録!$D:$D,"臨時喫食")))+SUMIFS(職員食来客記録!$C:$C,職員食来客記録!$A:$A,$A43,職員食来客記録!$B:$B,"昼")+SUMIFS(職員食来客記録!$D:$D,職員食来客記録!$A:$A,$A43,職員食来客記録!$B:$B,"昼"))</f>
        <v>3</v>
      </c>
      <c r="E43" s="22" t="n">
        <f aca="false">IF($A43="","",(COUNTIFS(利用者名簿!$B:$B,"男性入所",利用者名簿!$G:$G,"在籍")-COUNTIFS(食数記録!$A:$A,$A43,食数記録!$B:$B,"夕",食数記録!$F:$F,"男性入所",食数記録!$D:$D,"欠食"))+(COUNTIFS(利用者名簿!$B:$B,"女性入所",利用者名簿!$G:$G,"在籍")-COUNTIFS(食数記録!$A:$A,$A43,食数記録!$B:$B,"夕",食数記録!$F:$F,"女性入所",食数記録!$D:$D,"欠食"))+COUNTIFS(食数記録!$A:$A,$A43,食数記録!$B:$B,"夕",食数記録!$F:$F,"男性GH",食数記録!$D:$D,"臨時喫食")+COUNTIFS(食数記録!$A:$A,$A43,食数記録!$B:$B,"夕",食数記録!$F:$F,"女性GH",食数記録!$D:$D,"臨時喫食")+SUMIFS(職員食来客記録!$C:$C,職員食来客記録!$A:$A,$A43,職員食来客記録!$B:$B,"夕")+SUMIFS(職員食来客記録!$D:$D,職員食来客記録!$A:$A,$A43,職員食来客記録!$B:$B,"夕"))</f>
        <v>2</v>
      </c>
    </row>
  </sheetData>
  <mergeCells count="3">
    <mergeCell ref="A1:F1"/>
    <mergeCell ref="A4:H4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46"/>
  </cols>
  <sheetData>
    <row r="1" customFormat="false" ht="15" hidden="false" customHeight="false" outlineLevel="0" collapsed="false">
      <c r="A1" s="8" t="s">
        <v>38</v>
      </c>
      <c r="B1" s="8" t="s">
        <v>43</v>
      </c>
      <c r="C1" s="8" t="s">
        <v>44</v>
      </c>
      <c r="D1" s="8" t="s">
        <v>45</v>
      </c>
      <c r="E1" s="8" t="s">
        <v>46</v>
      </c>
      <c r="F1" s="23" t="s">
        <v>47</v>
      </c>
      <c r="G1" s="24" t="s">
        <v>48</v>
      </c>
    </row>
    <row r="2" customFormat="false" ht="15" hidden="false" customHeight="false" outlineLevel="0" collapsed="false">
      <c r="A2" s="25" t="n">
        <v>46247</v>
      </c>
      <c r="B2" s="26" t="s">
        <v>49</v>
      </c>
      <c r="C2" s="26" t="s">
        <v>50</v>
      </c>
      <c r="D2" s="26" t="s">
        <v>51</v>
      </c>
      <c r="E2" s="26" t="s">
        <v>52</v>
      </c>
      <c r="F2" s="27" t="str">
        <f aca="false">IFERROR(VLOOKUP(C2,利用者名簿!$A:$B,2,FALSE()),"")</f>
        <v>男性入所</v>
      </c>
    </row>
    <row r="3" customFormat="false" ht="15" hidden="false" customHeight="false" outlineLevel="0" collapsed="false">
      <c r="A3" s="25" t="n">
        <v>46247</v>
      </c>
      <c r="B3" s="26" t="s">
        <v>53</v>
      </c>
      <c r="C3" s="26" t="s">
        <v>54</v>
      </c>
      <c r="D3" s="26" t="s">
        <v>51</v>
      </c>
      <c r="E3" s="26" t="s">
        <v>55</v>
      </c>
      <c r="F3" s="27" t="str">
        <f aca="false">IFERROR(VLOOKUP(C3,利用者名簿!$A:$B,2,FALSE()),"")</f>
        <v>女性入所</v>
      </c>
    </row>
    <row r="4" customFormat="false" ht="17.15" hidden="false" customHeight="false" outlineLevel="0" collapsed="false">
      <c r="A4" s="25" t="n">
        <v>46254</v>
      </c>
      <c r="B4" s="26" t="s">
        <v>49</v>
      </c>
      <c r="C4" s="26" t="s">
        <v>56</v>
      </c>
      <c r="D4" s="26" t="s">
        <v>57</v>
      </c>
      <c r="E4" s="26" t="s">
        <v>58</v>
      </c>
      <c r="F4" s="27" t="str">
        <f aca="false">IFERROR(VLOOKUP(C4,利用者名簿!$A:$B,2,FALSE()),"")</f>
        <v>男性GH</v>
      </c>
    </row>
    <row r="5" customFormat="false" ht="15" hidden="false" customHeight="false" outlineLevel="0" collapsed="false">
      <c r="A5" s="28"/>
      <c r="B5" s="29"/>
      <c r="C5" s="29"/>
      <c r="D5" s="29"/>
      <c r="E5" s="29"/>
      <c r="F5" s="27" t="str">
        <f aca="false">IFERROR(VLOOKUP(C5,利用者名簿!$A:$B,2,FALSE()),"")</f>
        <v/>
      </c>
    </row>
    <row r="6" customFormat="false" ht="15" hidden="false" customHeight="false" outlineLevel="0" collapsed="false">
      <c r="A6" s="28"/>
      <c r="B6" s="29"/>
      <c r="C6" s="29"/>
      <c r="D6" s="29"/>
      <c r="E6" s="29"/>
      <c r="F6" s="27" t="str">
        <f aca="false">IFERROR(VLOOKUP(C6,利用者名簿!$A:$B,2,FALSE()),"")</f>
        <v/>
      </c>
    </row>
    <row r="7" customFormat="false" ht="15" hidden="false" customHeight="false" outlineLevel="0" collapsed="false">
      <c r="A7" s="28"/>
      <c r="B7" s="29"/>
      <c r="C7" s="29"/>
      <c r="D7" s="29"/>
      <c r="E7" s="29"/>
      <c r="F7" s="27" t="str">
        <f aca="false">IFERROR(VLOOKUP(C7,利用者名簿!$A:$B,2,FALSE()),"")</f>
        <v/>
      </c>
    </row>
    <row r="8" customFormat="false" ht="15" hidden="false" customHeight="false" outlineLevel="0" collapsed="false">
      <c r="A8" s="28"/>
      <c r="B8" s="29"/>
      <c r="C8" s="29"/>
      <c r="D8" s="29"/>
      <c r="E8" s="29"/>
      <c r="F8" s="27" t="str">
        <f aca="false">IFERROR(VLOOKUP(C8,利用者名簿!$A:$B,2,FALSE()),"")</f>
        <v/>
      </c>
    </row>
    <row r="9" customFormat="false" ht="15" hidden="false" customHeight="false" outlineLevel="0" collapsed="false">
      <c r="A9" s="28"/>
      <c r="B9" s="29"/>
      <c r="C9" s="29"/>
      <c r="D9" s="29"/>
      <c r="E9" s="29"/>
      <c r="F9" s="27" t="str">
        <f aca="false">IFERROR(VLOOKUP(C9,利用者名簿!$A:$B,2,FALSE()),"")</f>
        <v/>
      </c>
    </row>
    <row r="10" customFormat="false" ht="15" hidden="false" customHeight="false" outlineLevel="0" collapsed="false">
      <c r="A10" s="28"/>
      <c r="B10" s="29"/>
      <c r="C10" s="29"/>
      <c r="D10" s="29"/>
      <c r="E10" s="29"/>
      <c r="F10" s="27" t="str">
        <f aca="false">IFERROR(VLOOKUP(C10,利用者名簿!$A:$B,2,FALSE()),"")</f>
        <v/>
      </c>
    </row>
    <row r="11" customFormat="false" ht="15" hidden="false" customHeight="false" outlineLevel="0" collapsed="false">
      <c r="A11" s="28"/>
      <c r="B11" s="29"/>
      <c r="C11" s="29"/>
      <c r="D11" s="29"/>
      <c r="E11" s="29"/>
      <c r="F11" s="27" t="str">
        <f aca="false">IFERROR(VLOOKUP(C11,利用者名簿!$A:$B,2,FALSE()),"")</f>
        <v/>
      </c>
    </row>
    <row r="12" customFormat="false" ht="15" hidden="false" customHeight="false" outlineLevel="0" collapsed="false">
      <c r="A12" s="28"/>
      <c r="B12" s="29"/>
      <c r="C12" s="29"/>
      <c r="D12" s="29"/>
      <c r="E12" s="29"/>
      <c r="F12" s="27" t="str">
        <f aca="false">IFERROR(VLOOKUP(C12,利用者名簿!$A:$B,2,FALSE()),"")</f>
        <v/>
      </c>
    </row>
    <row r="13" customFormat="false" ht="15" hidden="false" customHeight="false" outlineLevel="0" collapsed="false">
      <c r="A13" s="28"/>
      <c r="B13" s="29"/>
      <c r="C13" s="29"/>
      <c r="D13" s="29"/>
      <c r="E13" s="29"/>
      <c r="F13" s="27" t="str">
        <f aca="false">IFERROR(VLOOKUP(C13,利用者名簿!$A:$B,2,FALSE()),"")</f>
        <v/>
      </c>
    </row>
    <row r="14" customFormat="false" ht="15" hidden="false" customHeight="false" outlineLevel="0" collapsed="false">
      <c r="A14" s="28"/>
      <c r="B14" s="29"/>
      <c r="C14" s="29"/>
      <c r="D14" s="29"/>
      <c r="E14" s="29"/>
      <c r="F14" s="27" t="str">
        <f aca="false">IFERROR(VLOOKUP(C14,利用者名簿!$A:$B,2,FALSE()),"")</f>
        <v/>
      </c>
    </row>
    <row r="15" customFormat="false" ht="15" hidden="false" customHeight="false" outlineLevel="0" collapsed="false">
      <c r="A15" s="28"/>
      <c r="B15" s="29"/>
      <c r="C15" s="29"/>
      <c r="D15" s="29"/>
      <c r="E15" s="29"/>
      <c r="F15" s="27" t="str">
        <f aca="false">IFERROR(VLOOKUP(C15,利用者名簿!$A:$B,2,FALSE()),"")</f>
        <v/>
      </c>
    </row>
    <row r="16" customFormat="false" ht="15" hidden="false" customHeight="false" outlineLevel="0" collapsed="false">
      <c r="A16" s="28"/>
      <c r="B16" s="29"/>
      <c r="C16" s="29"/>
      <c r="D16" s="29"/>
      <c r="E16" s="29"/>
      <c r="F16" s="27" t="str">
        <f aca="false">IFERROR(VLOOKUP(C16,利用者名簿!$A:$B,2,FALSE()),"")</f>
        <v/>
      </c>
    </row>
    <row r="17" customFormat="false" ht="15" hidden="false" customHeight="false" outlineLevel="0" collapsed="false">
      <c r="A17" s="28"/>
      <c r="B17" s="29"/>
      <c r="C17" s="29"/>
      <c r="D17" s="29"/>
      <c r="E17" s="29"/>
      <c r="F17" s="27" t="str">
        <f aca="false">IFERROR(VLOOKUP(C17,利用者名簿!$A:$B,2,FALSE()),"")</f>
        <v/>
      </c>
    </row>
    <row r="18" customFormat="false" ht="15" hidden="false" customHeight="false" outlineLevel="0" collapsed="false">
      <c r="A18" s="28"/>
      <c r="B18" s="29"/>
      <c r="C18" s="29"/>
      <c r="D18" s="29"/>
      <c r="E18" s="29"/>
      <c r="F18" s="27" t="str">
        <f aca="false">IFERROR(VLOOKUP(C18,利用者名簿!$A:$B,2,FALSE()),"")</f>
        <v/>
      </c>
    </row>
    <row r="19" customFormat="false" ht="15" hidden="false" customHeight="false" outlineLevel="0" collapsed="false">
      <c r="A19" s="28"/>
      <c r="B19" s="29"/>
      <c r="C19" s="29"/>
      <c r="D19" s="29"/>
      <c r="E19" s="29"/>
      <c r="F19" s="27" t="str">
        <f aca="false">IFERROR(VLOOKUP(C19,利用者名簿!$A:$B,2,FALSE()),"")</f>
        <v/>
      </c>
    </row>
    <row r="20" customFormat="false" ht="15" hidden="false" customHeight="false" outlineLevel="0" collapsed="false">
      <c r="A20" s="28"/>
      <c r="B20" s="29"/>
      <c r="C20" s="29"/>
      <c r="D20" s="29"/>
      <c r="E20" s="29"/>
      <c r="F20" s="27" t="str">
        <f aca="false">IFERROR(VLOOKUP(C20,利用者名簿!$A:$B,2,FALSE()),"")</f>
        <v/>
      </c>
    </row>
    <row r="21" customFormat="false" ht="15" hidden="false" customHeight="false" outlineLevel="0" collapsed="false">
      <c r="A21" s="28"/>
      <c r="B21" s="29"/>
      <c r="C21" s="29"/>
      <c r="D21" s="29"/>
      <c r="E21" s="29"/>
      <c r="F21" s="27" t="str">
        <f aca="false">IFERROR(VLOOKUP(C21,利用者名簿!$A:$B,2,FALSE()),"")</f>
        <v/>
      </c>
    </row>
    <row r="22" customFormat="false" ht="15" hidden="false" customHeight="false" outlineLevel="0" collapsed="false">
      <c r="A22" s="28"/>
      <c r="B22" s="29"/>
      <c r="C22" s="29"/>
      <c r="D22" s="29"/>
      <c r="E22" s="29"/>
      <c r="F22" s="27" t="str">
        <f aca="false">IFERROR(VLOOKUP(C22,利用者名簿!$A:$B,2,FALSE()),"")</f>
        <v/>
      </c>
    </row>
    <row r="23" customFormat="false" ht="15" hidden="false" customHeight="false" outlineLevel="0" collapsed="false">
      <c r="A23" s="28"/>
      <c r="B23" s="29"/>
      <c r="C23" s="29"/>
      <c r="D23" s="29"/>
      <c r="E23" s="29"/>
      <c r="F23" s="27" t="str">
        <f aca="false">IFERROR(VLOOKUP(C23,利用者名簿!$A:$B,2,FALSE()),"")</f>
        <v/>
      </c>
    </row>
    <row r="24" customFormat="false" ht="15" hidden="false" customHeight="false" outlineLevel="0" collapsed="false">
      <c r="A24" s="28"/>
      <c r="B24" s="29"/>
      <c r="C24" s="29"/>
      <c r="D24" s="29"/>
      <c r="E24" s="29"/>
      <c r="F24" s="27" t="str">
        <f aca="false">IFERROR(VLOOKUP(C24,利用者名簿!$A:$B,2,FALSE()),"")</f>
        <v/>
      </c>
    </row>
    <row r="25" customFormat="false" ht="15" hidden="false" customHeight="false" outlineLevel="0" collapsed="false">
      <c r="A25" s="28"/>
      <c r="B25" s="29"/>
      <c r="C25" s="29"/>
      <c r="D25" s="29"/>
      <c r="E25" s="29"/>
      <c r="F25" s="27" t="str">
        <f aca="false">IFERROR(VLOOKUP(C25,利用者名簿!$A:$B,2,FALSE()),"")</f>
        <v/>
      </c>
    </row>
    <row r="26" customFormat="false" ht="15" hidden="false" customHeight="false" outlineLevel="0" collapsed="false">
      <c r="A26" s="28"/>
      <c r="B26" s="29"/>
      <c r="C26" s="29"/>
      <c r="D26" s="29"/>
      <c r="E26" s="29"/>
      <c r="F26" s="27" t="str">
        <f aca="false">IFERROR(VLOOKUP(C26,利用者名簿!$A:$B,2,FALSE()),"")</f>
        <v/>
      </c>
    </row>
    <row r="27" customFormat="false" ht="15" hidden="false" customHeight="false" outlineLevel="0" collapsed="false">
      <c r="A27" s="28"/>
      <c r="B27" s="29"/>
      <c r="C27" s="29"/>
      <c r="D27" s="29"/>
      <c r="E27" s="29"/>
      <c r="F27" s="27" t="str">
        <f aca="false">IFERROR(VLOOKUP(C27,利用者名簿!$A:$B,2,FALSE()),"")</f>
        <v/>
      </c>
    </row>
    <row r="28" customFormat="false" ht="15" hidden="false" customHeight="false" outlineLevel="0" collapsed="false">
      <c r="A28" s="28"/>
      <c r="B28" s="29"/>
      <c r="C28" s="29"/>
      <c r="D28" s="29"/>
      <c r="E28" s="29"/>
      <c r="F28" s="27" t="str">
        <f aca="false">IFERROR(VLOOKUP(C28,利用者名簿!$A:$B,2,FALSE()),"")</f>
        <v/>
      </c>
    </row>
    <row r="29" customFormat="false" ht="15" hidden="false" customHeight="false" outlineLevel="0" collapsed="false">
      <c r="A29" s="28"/>
      <c r="B29" s="29"/>
      <c r="C29" s="29"/>
      <c r="D29" s="29"/>
      <c r="E29" s="29"/>
      <c r="F29" s="27" t="str">
        <f aca="false">IFERROR(VLOOKUP(C29,利用者名簿!$A:$B,2,FALSE()),"")</f>
        <v/>
      </c>
    </row>
    <row r="30" customFormat="false" ht="15" hidden="false" customHeight="false" outlineLevel="0" collapsed="false">
      <c r="A30" s="28"/>
      <c r="B30" s="29"/>
      <c r="C30" s="29"/>
      <c r="D30" s="29"/>
      <c r="E30" s="29"/>
      <c r="F30" s="27" t="str">
        <f aca="false">IFERROR(VLOOKUP(C30,利用者名簿!$A:$B,2,FALSE()),"")</f>
        <v/>
      </c>
    </row>
    <row r="31" customFormat="false" ht="15" hidden="false" customHeight="false" outlineLevel="0" collapsed="false">
      <c r="A31" s="28"/>
      <c r="B31" s="29"/>
      <c r="C31" s="29"/>
      <c r="D31" s="29"/>
      <c r="E31" s="29"/>
      <c r="F31" s="27" t="str">
        <f aca="false">IFERROR(VLOOKUP(C31,利用者名簿!$A:$B,2,FALSE()),"")</f>
        <v/>
      </c>
    </row>
    <row r="32" customFormat="false" ht="15" hidden="false" customHeight="false" outlineLevel="0" collapsed="false">
      <c r="A32" s="28"/>
      <c r="B32" s="29"/>
      <c r="C32" s="29"/>
      <c r="D32" s="29"/>
      <c r="E32" s="29"/>
      <c r="F32" s="27" t="str">
        <f aca="false">IFERROR(VLOOKUP(C32,利用者名簿!$A:$B,2,FALSE()),"")</f>
        <v/>
      </c>
    </row>
    <row r="33" customFormat="false" ht="15" hidden="false" customHeight="false" outlineLevel="0" collapsed="false">
      <c r="A33" s="28"/>
      <c r="B33" s="29"/>
      <c r="C33" s="29"/>
      <c r="D33" s="29"/>
      <c r="E33" s="29"/>
      <c r="F33" s="27" t="str">
        <f aca="false">IFERROR(VLOOKUP(C33,利用者名簿!$A:$B,2,FALSE()),"")</f>
        <v/>
      </c>
    </row>
    <row r="34" customFormat="false" ht="15" hidden="false" customHeight="false" outlineLevel="0" collapsed="false">
      <c r="A34" s="28"/>
      <c r="B34" s="29"/>
      <c r="C34" s="29"/>
      <c r="D34" s="29"/>
      <c r="E34" s="29"/>
      <c r="F34" s="27" t="str">
        <f aca="false">IFERROR(VLOOKUP(C34,利用者名簿!$A:$B,2,FALSE()),"")</f>
        <v/>
      </c>
    </row>
    <row r="35" customFormat="false" ht="15" hidden="false" customHeight="false" outlineLevel="0" collapsed="false">
      <c r="A35" s="28"/>
      <c r="B35" s="29"/>
      <c r="C35" s="29"/>
      <c r="D35" s="29"/>
      <c r="E35" s="29"/>
      <c r="F35" s="27" t="str">
        <f aca="false">IFERROR(VLOOKUP(C35,利用者名簿!$A:$B,2,FALSE()),"")</f>
        <v/>
      </c>
    </row>
    <row r="36" customFormat="false" ht="15" hidden="false" customHeight="false" outlineLevel="0" collapsed="false">
      <c r="A36" s="28"/>
      <c r="B36" s="29"/>
      <c r="C36" s="29"/>
      <c r="D36" s="29"/>
      <c r="E36" s="29"/>
      <c r="F36" s="27" t="str">
        <f aca="false">IFERROR(VLOOKUP(C36,利用者名簿!$A:$B,2,FALSE()),"")</f>
        <v/>
      </c>
    </row>
    <row r="37" customFormat="false" ht="15" hidden="false" customHeight="false" outlineLevel="0" collapsed="false">
      <c r="A37" s="28"/>
      <c r="B37" s="29"/>
      <c r="C37" s="29"/>
      <c r="D37" s="29"/>
      <c r="E37" s="29"/>
      <c r="F37" s="27" t="str">
        <f aca="false">IFERROR(VLOOKUP(C37,利用者名簿!$A:$B,2,FALSE()),"")</f>
        <v/>
      </c>
    </row>
    <row r="38" customFormat="false" ht="15" hidden="false" customHeight="false" outlineLevel="0" collapsed="false">
      <c r="A38" s="28"/>
      <c r="B38" s="29"/>
      <c r="C38" s="29"/>
      <c r="D38" s="29"/>
      <c r="E38" s="29"/>
      <c r="F38" s="27" t="str">
        <f aca="false">IFERROR(VLOOKUP(C38,利用者名簿!$A:$B,2,FALSE()),"")</f>
        <v/>
      </c>
    </row>
    <row r="39" customFormat="false" ht="15" hidden="false" customHeight="false" outlineLevel="0" collapsed="false">
      <c r="A39" s="28"/>
      <c r="B39" s="29"/>
      <c r="C39" s="29"/>
      <c r="D39" s="29"/>
      <c r="E39" s="29"/>
      <c r="F39" s="27" t="str">
        <f aca="false">IFERROR(VLOOKUP(C39,利用者名簿!$A:$B,2,FALSE()),"")</f>
        <v/>
      </c>
    </row>
    <row r="40" customFormat="false" ht="15" hidden="false" customHeight="false" outlineLevel="0" collapsed="false">
      <c r="A40" s="28"/>
      <c r="B40" s="29"/>
      <c r="C40" s="29"/>
      <c r="D40" s="29"/>
      <c r="E40" s="29"/>
      <c r="F40" s="27" t="str">
        <f aca="false">IFERROR(VLOOKUP(C40,利用者名簿!$A:$B,2,FALSE()),"")</f>
        <v/>
      </c>
    </row>
    <row r="41" customFormat="false" ht="15" hidden="false" customHeight="false" outlineLevel="0" collapsed="false">
      <c r="A41" s="28"/>
      <c r="B41" s="29"/>
      <c r="C41" s="29"/>
      <c r="D41" s="29"/>
      <c r="E41" s="29"/>
      <c r="F41" s="27" t="str">
        <f aca="false">IFERROR(VLOOKUP(C41,利用者名簿!$A:$B,2,FALSE()),"")</f>
        <v/>
      </c>
    </row>
    <row r="42" customFormat="false" ht="15" hidden="false" customHeight="false" outlineLevel="0" collapsed="false">
      <c r="A42" s="28"/>
      <c r="B42" s="29"/>
      <c r="C42" s="29"/>
      <c r="D42" s="29"/>
      <c r="E42" s="29"/>
      <c r="F42" s="27" t="str">
        <f aca="false">IFERROR(VLOOKUP(C42,利用者名簿!$A:$B,2,FALSE()),"")</f>
        <v/>
      </c>
    </row>
    <row r="43" customFormat="false" ht="15" hidden="false" customHeight="false" outlineLevel="0" collapsed="false">
      <c r="A43" s="28"/>
      <c r="B43" s="29"/>
      <c r="C43" s="29"/>
      <c r="D43" s="29"/>
      <c r="E43" s="29"/>
      <c r="F43" s="27" t="str">
        <f aca="false">IFERROR(VLOOKUP(C43,利用者名簿!$A:$B,2,FALSE()),"")</f>
        <v/>
      </c>
    </row>
    <row r="44" customFormat="false" ht="15" hidden="false" customHeight="false" outlineLevel="0" collapsed="false">
      <c r="A44" s="28"/>
      <c r="B44" s="29"/>
      <c r="C44" s="29"/>
      <c r="D44" s="29"/>
      <c r="E44" s="29"/>
      <c r="F44" s="27" t="str">
        <f aca="false">IFERROR(VLOOKUP(C44,利用者名簿!$A:$B,2,FALSE()),"")</f>
        <v/>
      </c>
    </row>
    <row r="45" customFormat="false" ht="15" hidden="false" customHeight="false" outlineLevel="0" collapsed="false">
      <c r="A45" s="28"/>
      <c r="B45" s="29"/>
      <c r="C45" s="29"/>
      <c r="D45" s="29"/>
      <c r="E45" s="29"/>
      <c r="F45" s="27" t="str">
        <f aca="false">IFERROR(VLOOKUP(C45,利用者名簿!$A:$B,2,FALSE()),"")</f>
        <v/>
      </c>
    </row>
    <row r="46" customFormat="false" ht="15" hidden="false" customHeight="false" outlineLevel="0" collapsed="false">
      <c r="A46" s="28"/>
      <c r="B46" s="29"/>
      <c r="C46" s="29"/>
      <c r="D46" s="29"/>
      <c r="E46" s="29"/>
      <c r="F46" s="27" t="str">
        <f aca="false">IFERROR(VLOOKUP(C46,利用者名簿!$A:$B,2,FALSE()),"")</f>
        <v/>
      </c>
    </row>
    <row r="47" customFormat="false" ht="15" hidden="false" customHeight="false" outlineLevel="0" collapsed="false">
      <c r="A47" s="28"/>
      <c r="B47" s="29"/>
      <c r="C47" s="29"/>
      <c r="D47" s="29"/>
      <c r="E47" s="29"/>
      <c r="F47" s="27" t="str">
        <f aca="false">IFERROR(VLOOKUP(C47,利用者名簿!$A:$B,2,FALSE()),"")</f>
        <v/>
      </c>
    </row>
    <row r="48" customFormat="false" ht="15" hidden="false" customHeight="false" outlineLevel="0" collapsed="false">
      <c r="A48" s="28"/>
      <c r="B48" s="29"/>
      <c r="C48" s="29"/>
      <c r="D48" s="29"/>
      <c r="E48" s="29"/>
      <c r="F48" s="27" t="str">
        <f aca="false">IFERROR(VLOOKUP(C48,利用者名簿!$A:$B,2,FALSE()),"")</f>
        <v/>
      </c>
    </row>
    <row r="49" customFormat="false" ht="15" hidden="false" customHeight="false" outlineLevel="0" collapsed="false">
      <c r="A49" s="28"/>
      <c r="B49" s="29"/>
      <c r="C49" s="29"/>
      <c r="D49" s="29"/>
      <c r="E49" s="29"/>
      <c r="F49" s="27" t="str">
        <f aca="false">IFERROR(VLOOKUP(C49,利用者名簿!$A:$B,2,FALSE()),"")</f>
        <v/>
      </c>
    </row>
    <row r="50" customFormat="false" ht="15" hidden="false" customHeight="false" outlineLevel="0" collapsed="false">
      <c r="A50" s="28"/>
      <c r="B50" s="29"/>
      <c r="C50" s="29"/>
      <c r="D50" s="29"/>
      <c r="E50" s="29"/>
      <c r="F50" s="27" t="str">
        <f aca="false">IFERROR(VLOOKUP(C50,利用者名簿!$A:$B,2,FALSE()),"")</f>
        <v/>
      </c>
    </row>
    <row r="51" customFormat="false" ht="15" hidden="false" customHeight="false" outlineLevel="0" collapsed="false">
      <c r="A51" s="28"/>
      <c r="B51" s="29"/>
      <c r="C51" s="29"/>
      <c r="D51" s="29"/>
      <c r="E51" s="29"/>
      <c r="F51" s="27" t="str">
        <f aca="false">IFERROR(VLOOKUP(C51,利用者名簿!$A:$B,2,FALSE()),"")</f>
        <v/>
      </c>
    </row>
    <row r="52" customFormat="false" ht="15" hidden="false" customHeight="false" outlineLevel="0" collapsed="false">
      <c r="A52" s="28"/>
      <c r="B52" s="29"/>
      <c r="C52" s="29"/>
      <c r="D52" s="29"/>
      <c r="E52" s="29"/>
      <c r="F52" s="27" t="str">
        <f aca="false">IFERROR(VLOOKUP(C52,利用者名簿!$A:$B,2,FALSE()),"")</f>
        <v/>
      </c>
    </row>
    <row r="53" customFormat="false" ht="15" hidden="false" customHeight="false" outlineLevel="0" collapsed="false">
      <c r="A53" s="28"/>
      <c r="B53" s="29"/>
      <c r="C53" s="29"/>
      <c r="D53" s="29"/>
      <c r="E53" s="29"/>
      <c r="F53" s="27" t="str">
        <f aca="false">IFERROR(VLOOKUP(C53,利用者名簿!$A:$B,2,FALSE()),"")</f>
        <v/>
      </c>
    </row>
    <row r="54" customFormat="false" ht="15" hidden="false" customHeight="false" outlineLevel="0" collapsed="false">
      <c r="A54" s="28"/>
      <c r="B54" s="29"/>
      <c r="C54" s="29"/>
      <c r="D54" s="29"/>
      <c r="E54" s="29"/>
      <c r="F54" s="27" t="str">
        <f aca="false">IFERROR(VLOOKUP(C54,利用者名簿!$A:$B,2,FALSE()),"")</f>
        <v/>
      </c>
    </row>
    <row r="55" customFormat="false" ht="15" hidden="false" customHeight="false" outlineLevel="0" collapsed="false">
      <c r="A55" s="28"/>
      <c r="B55" s="29"/>
      <c r="C55" s="29"/>
      <c r="D55" s="29"/>
      <c r="E55" s="29"/>
      <c r="F55" s="27" t="str">
        <f aca="false">IFERROR(VLOOKUP(C55,利用者名簿!$A:$B,2,FALSE()),"")</f>
        <v/>
      </c>
    </row>
    <row r="56" customFormat="false" ht="15" hidden="false" customHeight="false" outlineLevel="0" collapsed="false">
      <c r="A56" s="28"/>
      <c r="B56" s="29"/>
      <c r="C56" s="29"/>
      <c r="D56" s="29"/>
      <c r="E56" s="29"/>
      <c r="F56" s="27" t="str">
        <f aca="false">IFERROR(VLOOKUP(C56,利用者名簿!$A:$B,2,FALSE()),"")</f>
        <v/>
      </c>
    </row>
    <row r="57" customFormat="false" ht="15" hidden="false" customHeight="false" outlineLevel="0" collapsed="false">
      <c r="A57" s="28"/>
      <c r="B57" s="29"/>
      <c r="C57" s="29"/>
      <c r="D57" s="29"/>
      <c r="E57" s="29"/>
      <c r="F57" s="27" t="str">
        <f aca="false">IFERROR(VLOOKUP(C57,利用者名簿!$A:$B,2,FALSE()),"")</f>
        <v/>
      </c>
    </row>
    <row r="58" customFormat="false" ht="15" hidden="false" customHeight="false" outlineLevel="0" collapsed="false">
      <c r="A58" s="28"/>
      <c r="B58" s="29"/>
      <c r="C58" s="29"/>
      <c r="D58" s="29"/>
      <c r="E58" s="29"/>
      <c r="F58" s="27" t="str">
        <f aca="false">IFERROR(VLOOKUP(C58,利用者名簿!$A:$B,2,FALSE()),"")</f>
        <v/>
      </c>
    </row>
    <row r="59" customFormat="false" ht="15" hidden="false" customHeight="false" outlineLevel="0" collapsed="false">
      <c r="A59" s="28"/>
      <c r="B59" s="29"/>
      <c r="C59" s="29"/>
      <c r="D59" s="29"/>
      <c r="E59" s="29"/>
      <c r="F59" s="27" t="str">
        <f aca="false">IFERROR(VLOOKUP(C59,利用者名簿!$A:$B,2,FALSE()),"")</f>
        <v/>
      </c>
    </row>
    <row r="60" customFormat="false" ht="15" hidden="false" customHeight="false" outlineLevel="0" collapsed="false">
      <c r="A60" s="28"/>
      <c r="B60" s="29"/>
      <c r="C60" s="29"/>
      <c r="D60" s="29"/>
      <c r="E60" s="29"/>
      <c r="F60" s="27" t="str">
        <f aca="false">IFERROR(VLOOKUP(C60,利用者名簿!$A:$B,2,FALSE()),"")</f>
        <v/>
      </c>
    </row>
    <row r="61" customFormat="false" ht="15" hidden="false" customHeight="false" outlineLevel="0" collapsed="false">
      <c r="A61" s="28"/>
      <c r="B61" s="29"/>
      <c r="C61" s="29"/>
      <c r="D61" s="29"/>
      <c r="E61" s="29"/>
      <c r="F61" s="27" t="str">
        <f aca="false">IFERROR(VLOOKUP(C61,利用者名簿!$A:$B,2,FALSE()),"")</f>
        <v/>
      </c>
    </row>
    <row r="62" customFormat="false" ht="15" hidden="false" customHeight="false" outlineLevel="0" collapsed="false">
      <c r="A62" s="28"/>
      <c r="B62" s="29"/>
      <c r="C62" s="29"/>
      <c r="D62" s="29"/>
      <c r="E62" s="29"/>
      <c r="F62" s="27" t="str">
        <f aca="false">IFERROR(VLOOKUP(C62,利用者名簿!$A:$B,2,FALSE()),"")</f>
        <v/>
      </c>
    </row>
    <row r="63" customFormat="false" ht="15" hidden="false" customHeight="false" outlineLevel="0" collapsed="false">
      <c r="A63" s="28"/>
      <c r="B63" s="29"/>
      <c r="C63" s="29"/>
      <c r="D63" s="29"/>
      <c r="E63" s="29"/>
      <c r="F63" s="27" t="str">
        <f aca="false">IFERROR(VLOOKUP(C63,利用者名簿!$A:$B,2,FALSE()),"")</f>
        <v/>
      </c>
    </row>
    <row r="64" customFormat="false" ht="15" hidden="false" customHeight="false" outlineLevel="0" collapsed="false">
      <c r="A64" s="28"/>
      <c r="B64" s="29"/>
      <c r="C64" s="29"/>
      <c r="D64" s="29"/>
      <c r="E64" s="29"/>
      <c r="F64" s="27" t="str">
        <f aca="false">IFERROR(VLOOKUP(C64,利用者名簿!$A:$B,2,FALSE()),"")</f>
        <v/>
      </c>
    </row>
    <row r="65" customFormat="false" ht="15" hidden="false" customHeight="false" outlineLevel="0" collapsed="false">
      <c r="A65" s="28"/>
      <c r="B65" s="29"/>
      <c r="C65" s="29"/>
      <c r="D65" s="29"/>
      <c r="E65" s="29"/>
      <c r="F65" s="27" t="str">
        <f aca="false">IFERROR(VLOOKUP(C65,利用者名簿!$A:$B,2,FALSE()),"")</f>
        <v/>
      </c>
    </row>
    <row r="66" customFormat="false" ht="15" hidden="false" customHeight="false" outlineLevel="0" collapsed="false">
      <c r="A66" s="28"/>
      <c r="B66" s="29"/>
      <c r="C66" s="29"/>
      <c r="D66" s="29"/>
      <c r="E66" s="29"/>
      <c r="F66" s="27" t="str">
        <f aca="false">IFERROR(VLOOKUP(C66,利用者名簿!$A:$B,2,FALSE()),"")</f>
        <v/>
      </c>
    </row>
    <row r="67" customFormat="false" ht="15" hidden="false" customHeight="false" outlineLevel="0" collapsed="false">
      <c r="A67" s="28"/>
      <c r="B67" s="29"/>
      <c r="C67" s="29"/>
      <c r="D67" s="29"/>
      <c r="E67" s="29"/>
      <c r="F67" s="27" t="str">
        <f aca="false">IFERROR(VLOOKUP(C67,利用者名簿!$A:$B,2,FALSE()),"")</f>
        <v/>
      </c>
    </row>
    <row r="68" customFormat="false" ht="15" hidden="false" customHeight="false" outlineLevel="0" collapsed="false">
      <c r="A68" s="28"/>
      <c r="B68" s="29"/>
      <c r="C68" s="29"/>
      <c r="D68" s="29"/>
      <c r="E68" s="29"/>
      <c r="F68" s="27" t="str">
        <f aca="false">IFERROR(VLOOKUP(C68,利用者名簿!$A:$B,2,FALSE()),"")</f>
        <v/>
      </c>
    </row>
    <row r="69" customFormat="false" ht="15" hidden="false" customHeight="false" outlineLevel="0" collapsed="false">
      <c r="A69" s="28"/>
      <c r="B69" s="29"/>
      <c r="C69" s="29"/>
      <c r="D69" s="29"/>
      <c r="E69" s="29"/>
      <c r="F69" s="27" t="str">
        <f aca="false">IFERROR(VLOOKUP(C69,利用者名簿!$A:$B,2,FALSE()),"")</f>
        <v/>
      </c>
    </row>
    <row r="70" customFormat="false" ht="15" hidden="false" customHeight="false" outlineLevel="0" collapsed="false">
      <c r="A70" s="28"/>
      <c r="B70" s="29"/>
      <c r="C70" s="29"/>
      <c r="D70" s="29"/>
      <c r="E70" s="29"/>
      <c r="F70" s="27" t="str">
        <f aca="false">IFERROR(VLOOKUP(C70,利用者名簿!$A:$B,2,FALSE()),"")</f>
        <v/>
      </c>
    </row>
    <row r="71" customFormat="false" ht="15" hidden="false" customHeight="false" outlineLevel="0" collapsed="false">
      <c r="A71" s="28"/>
      <c r="B71" s="29"/>
      <c r="C71" s="29"/>
      <c r="D71" s="29"/>
      <c r="E71" s="29"/>
      <c r="F71" s="27" t="str">
        <f aca="false">IFERROR(VLOOKUP(C71,利用者名簿!$A:$B,2,FALSE()),"")</f>
        <v/>
      </c>
    </row>
    <row r="72" customFormat="false" ht="15" hidden="false" customHeight="false" outlineLevel="0" collapsed="false">
      <c r="A72" s="28"/>
      <c r="B72" s="29"/>
      <c r="C72" s="29"/>
      <c r="D72" s="29"/>
      <c r="E72" s="29"/>
      <c r="F72" s="27" t="str">
        <f aca="false">IFERROR(VLOOKUP(C72,利用者名簿!$A:$B,2,FALSE()),"")</f>
        <v/>
      </c>
    </row>
    <row r="73" customFormat="false" ht="15" hidden="false" customHeight="false" outlineLevel="0" collapsed="false">
      <c r="A73" s="28"/>
      <c r="B73" s="29"/>
      <c r="C73" s="29"/>
      <c r="D73" s="29"/>
      <c r="E73" s="29"/>
      <c r="F73" s="27" t="str">
        <f aca="false">IFERROR(VLOOKUP(C73,利用者名簿!$A:$B,2,FALSE()),"")</f>
        <v/>
      </c>
    </row>
    <row r="74" customFormat="false" ht="15" hidden="false" customHeight="false" outlineLevel="0" collapsed="false">
      <c r="A74" s="28"/>
      <c r="B74" s="29"/>
      <c r="C74" s="29"/>
      <c r="D74" s="29"/>
      <c r="E74" s="29"/>
      <c r="F74" s="27" t="str">
        <f aca="false">IFERROR(VLOOKUP(C74,利用者名簿!$A:$B,2,FALSE()),"")</f>
        <v/>
      </c>
    </row>
    <row r="75" customFormat="false" ht="15" hidden="false" customHeight="false" outlineLevel="0" collapsed="false">
      <c r="A75" s="28"/>
      <c r="B75" s="29"/>
      <c r="C75" s="29"/>
      <c r="D75" s="29"/>
      <c r="E75" s="29"/>
      <c r="F75" s="27" t="str">
        <f aca="false">IFERROR(VLOOKUP(C75,利用者名簿!$A:$B,2,FALSE()),"")</f>
        <v/>
      </c>
    </row>
    <row r="76" customFormat="false" ht="15" hidden="false" customHeight="false" outlineLevel="0" collapsed="false">
      <c r="A76" s="28"/>
      <c r="B76" s="29"/>
      <c r="C76" s="29"/>
      <c r="D76" s="29"/>
      <c r="E76" s="29"/>
      <c r="F76" s="27" t="str">
        <f aca="false">IFERROR(VLOOKUP(C76,利用者名簿!$A:$B,2,FALSE()),"")</f>
        <v/>
      </c>
    </row>
    <row r="77" customFormat="false" ht="15" hidden="false" customHeight="false" outlineLevel="0" collapsed="false">
      <c r="A77" s="28"/>
      <c r="B77" s="29"/>
      <c r="C77" s="29"/>
      <c r="D77" s="29"/>
      <c r="E77" s="29"/>
      <c r="F77" s="27" t="str">
        <f aca="false">IFERROR(VLOOKUP(C77,利用者名簿!$A:$B,2,FALSE()),"")</f>
        <v/>
      </c>
    </row>
    <row r="78" customFormat="false" ht="15" hidden="false" customHeight="false" outlineLevel="0" collapsed="false">
      <c r="A78" s="28"/>
      <c r="B78" s="29"/>
      <c r="C78" s="29"/>
      <c r="D78" s="29"/>
      <c r="E78" s="29"/>
      <c r="F78" s="27" t="str">
        <f aca="false">IFERROR(VLOOKUP(C78,利用者名簿!$A:$B,2,FALSE()),"")</f>
        <v/>
      </c>
    </row>
    <row r="79" customFormat="false" ht="15" hidden="false" customHeight="false" outlineLevel="0" collapsed="false">
      <c r="A79" s="28"/>
      <c r="B79" s="29"/>
      <c r="C79" s="29"/>
      <c r="D79" s="29"/>
      <c r="E79" s="29"/>
      <c r="F79" s="27" t="str">
        <f aca="false">IFERROR(VLOOKUP(C79,利用者名簿!$A:$B,2,FALSE()),"")</f>
        <v/>
      </c>
    </row>
    <row r="80" customFormat="false" ht="15" hidden="false" customHeight="false" outlineLevel="0" collapsed="false">
      <c r="A80" s="28"/>
      <c r="B80" s="29"/>
      <c r="C80" s="29"/>
      <c r="D80" s="29"/>
      <c r="E80" s="29"/>
      <c r="F80" s="27" t="str">
        <f aca="false">IFERROR(VLOOKUP(C80,利用者名簿!$A:$B,2,FALSE()),"")</f>
        <v/>
      </c>
    </row>
    <row r="81" customFormat="false" ht="15" hidden="false" customHeight="false" outlineLevel="0" collapsed="false">
      <c r="A81" s="28"/>
      <c r="B81" s="29"/>
      <c r="C81" s="29"/>
      <c r="D81" s="29"/>
      <c r="E81" s="29"/>
      <c r="F81" s="27" t="str">
        <f aca="false">IFERROR(VLOOKUP(C81,利用者名簿!$A:$B,2,FALSE()),"")</f>
        <v/>
      </c>
    </row>
    <row r="82" customFormat="false" ht="15" hidden="false" customHeight="false" outlineLevel="0" collapsed="false">
      <c r="A82" s="28"/>
      <c r="B82" s="29"/>
      <c r="C82" s="29"/>
      <c r="D82" s="29"/>
      <c r="E82" s="29"/>
      <c r="F82" s="27" t="str">
        <f aca="false">IFERROR(VLOOKUP(C82,利用者名簿!$A:$B,2,FALSE()),"")</f>
        <v/>
      </c>
    </row>
    <row r="83" customFormat="false" ht="15" hidden="false" customHeight="false" outlineLevel="0" collapsed="false">
      <c r="A83" s="28"/>
      <c r="B83" s="29"/>
      <c r="C83" s="29"/>
      <c r="D83" s="29"/>
      <c r="E83" s="29"/>
      <c r="F83" s="27" t="str">
        <f aca="false">IFERROR(VLOOKUP(C83,利用者名簿!$A:$B,2,FALSE()),"")</f>
        <v/>
      </c>
    </row>
    <row r="84" customFormat="false" ht="15" hidden="false" customHeight="false" outlineLevel="0" collapsed="false">
      <c r="A84" s="28"/>
      <c r="B84" s="29"/>
      <c r="C84" s="29"/>
      <c r="D84" s="29"/>
      <c r="E84" s="29"/>
      <c r="F84" s="27" t="str">
        <f aca="false">IFERROR(VLOOKUP(C84,利用者名簿!$A:$B,2,FALSE()),"")</f>
        <v/>
      </c>
    </row>
    <row r="85" customFormat="false" ht="15" hidden="false" customHeight="false" outlineLevel="0" collapsed="false">
      <c r="A85" s="28"/>
      <c r="B85" s="29"/>
      <c r="C85" s="29"/>
      <c r="D85" s="29"/>
      <c r="E85" s="29"/>
      <c r="F85" s="27" t="str">
        <f aca="false">IFERROR(VLOOKUP(C85,利用者名簿!$A:$B,2,FALSE()),"")</f>
        <v/>
      </c>
    </row>
    <row r="86" customFormat="false" ht="15" hidden="false" customHeight="false" outlineLevel="0" collapsed="false">
      <c r="A86" s="28"/>
      <c r="B86" s="29"/>
      <c r="C86" s="29"/>
      <c r="D86" s="29"/>
      <c r="E86" s="29"/>
      <c r="F86" s="27" t="str">
        <f aca="false">IFERROR(VLOOKUP(C86,利用者名簿!$A:$B,2,FALSE()),"")</f>
        <v/>
      </c>
    </row>
    <row r="87" customFormat="false" ht="15" hidden="false" customHeight="false" outlineLevel="0" collapsed="false">
      <c r="A87" s="28"/>
      <c r="B87" s="29"/>
      <c r="C87" s="29"/>
      <c r="D87" s="29"/>
      <c r="E87" s="29"/>
      <c r="F87" s="27" t="str">
        <f aca="false">IFERROR(VLOOKUP(C87,利用者名簿!$A:$B,2,FALSE()),"")</f>
        <v/>
      </c>
    </row>
    <row r="88" customFormat="false" ht="15" hidden="false" customHeight="false" outlineLevel="0" collapsed="false">
      <c r="A88" s="28"/>
      <c r="B88" s="29"/>
      <c r="C88" s="29"/>
      <c r="D88" s="29"/>
      <c r="E88" s="29"/>
      <c r="F88" s="27" t="str">
        <f aca="false">IFERROR(VLOOKUP(C88,利用者名簿!$A:$B,2,FALSE()),"")</f>
        <v/>
      </c>
    </row>
    <row r="89" customFormat="false" ht="15" hidden="false" customHeight="false" outlineLevel="0" collapsed="false">
      <c r="A89" s="28"/>
      <c r="B89" s="29"/>
      <c r="C89" s="29"/>
      <c r="D89" s="29"/>
      <c r="E89" s="29"/>
      <c r="F89" s="27" t="str">
        <f aca="false">IFERROR(VLOOKUP(C89,利用者名簿!$A:$B,2,FALSE()),"")</f>
        <v/>
      </c>
    </row>
    <row r="90" customFormat="false" ht="15" hidden="false" customHeight="false" outlineLevel="0" collapsed="false">
      <c r="A90" s="28"/>
      <c r="B90" s="29"/>
      <c r="C90" s="29"/>
      <c r="D90" s="29"/>
      <c r="E90" s="29"/>
      <c r="F90" s="27" t="str">
        <f aca="false">IFERROR(VLOOKUP(C90,利用者名簿!$A:$B,2,FALSE()),"")</f>
        <v/>
      </c>
    </row>
    <row r="91" customFormat="false" ht="15" hidden="false" customHeight="false" outlineLevel="0" collapsed="false">
      <c r="A91" s="28"/>
      <c r="B91" s="29"/>
      <c r="C91" s="29"/>
      <c r="D91" s="29"/>
      <c r="E91" s="29"/>
      <c r="F91" s="27" t="str">
        <f aca="false">IFERROR(VLOOKUP(C91,利用者名簿!$A:$B,2,FALSE()),"")</f>
        <v/>
      </c>
    </row>
    <row r="92" customFormat="false" ht="15" hidden="false" customHeight="false" outlineLevel="0" collapsed="false">
      <c r="A92" s="28"/>
      <c r="B92" s="29"/>
      <c r="C92" s="29"/>
      <c r="D92" s="29"/>
      <c r="E92" s="29"/>
      <c r="F92" s="27" t="str">
        <f aca="false">IFERROR(VLOOKUP(C92,利用者名簿!$A:$B,2,FALSE()),"")</f>
        <v/>
      </c>
    </row>
    <row r="93" customFormat="false" ht="15" hidden="false" customHeight="false" outlineLevel="0" collapsed="false">
      <c r="A93" s="28"/>
      <c r="B93" s="29"/>
      <c r="C93" s="29"/>
      <c r="D93" s="29"/>
      <c r="E93" s="29"/>
      <c r="F93" s="27" t="str">
        <f aca="false">IFERROR(VLOOKUP(C93,利用者名簿!$A:$B,2,FALSE()),"")</f>
        <v/>
      </c>
    </row>
    <row r="94" customFormat="false" ht="15" hidden="false" customHeight="false" outlineLevel="0" collapsed="false">
      <c r="A94" s="28"/>
      <c r="B94" s="29"/>
      <c r="C94" s="29"/>
      <c r="D94" s="29"/>
      <c r="E94" s="29"/>
      <c r="F94" s="27" t="str">
        <f aca="false">IFERROR(VLOOKUP(C94,利用者名簿!$A:$B,2,FALSE()),"")</f>
        <v/>
      </c>
    </row>
    <row r="95" customFormat="false" ht="15" hidden="false" customHeight="false" outlineLevel="0" collapsed="false">
      <c r="A95" s="28"/>
      <c r="B95" s="29"/>
      <c r="C95" s="29"/>
      <c r="D95" s="29"/>
      <c r="E95" s="29"/>
      <c r="F95" s="27" t="str">
        <f aca="false">IFERROR(VLOOKUP(C95,利用者名簿!$A:$B,2,FALSE()),"")</f>
        <v/>
      </c>
    </row>
    <row r="96" customFormat="false" ht="15" hidden="false" customHeight="false" outlineLevel="0" collapsed="false">
      <c r="A96" s="28"/>
      <c r="B96" s="29"/>
      <c r="C96" s="29"/>
      <c r="D96" s="29"/>
      <c r="E96" s="29"/>
      <c r="F96" s="27" t="str">
        <f aca="false">IFERROR(VLOOKUP(C96,利用者名簿!$A:$B,2,FALSE()),"")</f>
        <v/>
      </c>
    </row>
    <row r="97" customFormat="false" ht="15" hidden="false" customHeight="false" outlineLevel="0" collapsed="false">
      <c r="A97" s="28"/>
      <c r="B97" s="29"/>
      <c r="C97" s="29"/>
      <c r="D97" s="29"/>
      <c r="E97" s="29"/>
      <c r="F97" s="27" t="str">
        <f aca="false">IFERROR(VLOOKUP(C97,利用者名簿!$A:$B,2,FALSE()),"")</f>
        <v/>
      </c>
    </row>
    <row r="98" customFormat="false" ht="15" hidden="false" customHeight="false" outlineLevel="0" collapsed="false">
      <c r="A98" s="28"/>
      <c r="B98" s="29"/>
      <c r="C98" s="29"/>
      <c r="D98" s="29"/>
      <c r="E98" s="29"/>
      <c r="F98" s="27" t="str">
        <f aca="false">IFERROR(VLOOKUP(C98,利用者名簿!$A:$B,2,FALSE()),"")</f>
        <v/>
      </c>
    </row>
    <row r="99" customFormat="false" ht="15" hidden="false" customHeight="false" outlineLevel="0" collapsed="false">
      <c r="A99" s="28"/>
      <c r="B99" s="29"/>
      <c r="C99" s="29"/>
      <c r="D99" s="29"/>
      <c r="E99" s="29"/>
      <c r="F99" s="27" t="str">
        <f aca="false">IFERROR(VLOOKUP(C99,利用者名簿!$A:$B,2,FALSE()),"")</f>
        <v/>
      </c>
    </row>
    <row r="100" customFormat="false" ht="15" hidden="false" customHeight="false" outlineLevel="0" collapsed="false">
      <c r="A100" s="28"/>
      <c r="B100" s="29"/>
      <c r="C100" s="29"/>
      <c r="D100" s="29"/>
      <c r="E100" s="29"/>
      <c r="F100" s="27" t="str">
        <f aca="false">IFERROR(VLOOKUP(C100,利用者名簿!$A:$B,2,FALSE()),"")</f>
        <v/>
      </c>
    </row>
    <row r="101" customFormat="false" ht="15" hidden="false" customHeight="false" outlineLevel="0" collapsed="false">
      <c r="A101" s="28"/>
      <c r="B101" s="29"/>
      <c r="C101" s="29"/>
      <c r="D101" s="29"/>
      <c r="E101" s="29"/>
      <c r="F101" s="27" t="str">
        <f aca="false">IFERROR(VLOOKUP(C101,利用者名簿!$A:$B,2,FALSE()),"")</f>
        <v/>
      </c>
    </row>
    <row r="102" customFormat="false" ht="15" hidden="false" customHeight="false" outlineLevel="0" collapsed="false">
      <c r="A102" s="28"/>
      <c r="B102" s="29"/>
      <c r="C102" s="29"/>
      <c r="D102" s="29"/>
      <c r="E102" s="29"/>
      <c r="F102" s="27" t="str">
        <f aca="false">IFERROR(VLOOKUP(C102,利用者名簿!$A:$B,2,FALSE()),"")</f>
        <v/>
      </c>
    </row>
    <row r="103" customFormat="false" ht="15" hidden="false" customHeight="false" outlineLevel="0" collapsed="false">
      <c r="A103" s="28"/>
      <c r="B103" s="29"/>
      <c r="C103" s="29"/>
      <c r="D103" s="29"/>
      <c r="E103" s="29"/>
      <c r="F103" s="27" t="str">
        <f aca="false">IFERROR(VLOOKUP(C103,利用者名簿!$A:$B,2,FALSE()),"")</f>
        <v/>
      </c>
    </row>
    <row r="104" customFormat="false" ht="15" hidden="false" customHeight="false" outlineLevel="0" collapsed="false">
      <c r="A104" s="28"/>
      <c r="B104" s="29"/>
      <c r="C104" s="29"/>
      <c r="D104" s="29"/>
      <c r="E104" s="29"/>
      <c r="F104" s="27" t="str">
        <f aca="false">IFERROR(VLOOKUP(C104,利用者名簿!$A:$B,2,FALSE()),"")</f>
        <v/>
      </c>
    </row>
    <row r="105" customFormat="false" ht="15" hidden="false" customHeight="false" outlineLevel="0" collapsed="false">
      <c r="A105" s="28"/>
      <c r="B105" s="29"/>
      <c r="C105" s="29"/>
      <c r="D105" s="29"/>
      <c r="E105" s="29"/>
      <c r="F105" s="27" t="str">
        <f aca="false">IFERROR(VLOOKUP(C105,利用者名簿!$A:$B,2,FALSE()),"")</f>
        <v/>
      </c>
    </row>
    <row r="106" customFormat="false" ht="15" hidden="false" customHeight="false" outlineLevel="0" collapsed="false">
      <c r="A106" s="28"/>
      <c r="B106" s="29"/>
      <c r="C106" s="29"/>
      <c r="D106" s="29"/>
      <c r="E106" s="29"/>
      <c r="F106" s="27" t="str">
        <f aca="false">IFERROR(VLOOKUP(C106,利用者名簿!$A:$B,2,FALSE()),"")</f>
        <v/>
      </c>
    </row>
    <row r="107" customFormat="false" ht="15" hidden="false" customHeight="false" outlineLevel="0" collapsed="false">
      <c r="A107" s="28"/>
      <c r="B107" s="29"/>
      <c r="C107" s="29"/>
      <c r="D107" s="29"/>
      <c r="E107" s="29"/>
      <c r="F107" s="27" t="str">
        <f aca="false">IFERROR(VLOOKUP(C107,利用者名簿!$A:$B,2,FALSE()),"")</f>
        <v/>
      </c>
    </row>
    <row r="108" customFormat="false" ht="15" hidden="false" customHeight="false" outlineLevel="0" collapsed="false">
      <c r="A108" s="28"/>
      <c r="B108" s="29"/>
      <c r="C108" s="29"/>
      <c r="D108" s="29"/>
      <c r="E108" s="29"/>
      <c r="F108" s="27" t="str">
        <f aca="false">IFERROR(VLOOKUP(C108,利用者名簿!$A:$B,2,FALSE()),"")</f>
        <v/>
      </c>
    </row>
    <row r="109" customFormat="false" ht="15" hidden="false" customHeight="false" outlineLevel="0" collapsed="false">
      <c r="A109" s="28"/>
      <c r="B109" s="29"/>
      <c r="C109" s="29"/>
      <c r="D109" s="29"/>
      <c r="E109" s="29"/>
      <c r="F109" s="27" t="str">
        <f aca="false">IFERROR(VLOOKUP(C109,利用者名簿!$A:$B,2,FALSE()),"")</f>
        <v/>
      </c>
    </row>
    <row r="110" customFormat="false" ht="15" hidden="false" customHeight="false" outlineLevel="0" collapsed="false">
      <c r="A110" s="28"/>
      <c r="B110" s="29"/>
      <c r="C110" s="29"/>
      <c r="D110" s="29"/>
      <c r="E110" s="29"/>
      <c r="F110" s="27" t="str">
        <f aca="false">IFERROR(VLOOKUP(C110,利用者名簿!$A:$B,2,FALSE()),"")</f>
        <v/>
      </c>
    </row>
    <row r="111" customFormat="false" ht="15" hidden="false" customHeight="false" outlineLevel="0" collapsed="false">
      <c r="A111" s="28"/>
      <c r="B111" s="29"/>
      <c r="C111" s="29"/>
      <c r="D111" s="29"/>
      <c r="E111" s="29"/>
      <c r="F111" s="27" t="str">
        <f aca="false">IFERROR(VLOOKUP(C111,利用者名簿!$A:$B,2,FALSE()),"")</f>
        <v/>
      </c>
    </row>
    <row r="112" customFormat="false" ht="15" hidden="false" customHeight="false" outlineLevel="0" collapsed="false">
      <c r="A112" s="28"/>
      <c r="B112" s="29"/>
      <c r="C112" s="29"/>
      <c r="D112" s="29"/>
      <c r="E112" s="29"/>
      <c r="F112" s="27" t="str">
        <f aca="false">IFERROR(VLOOKUP(C112,利用者名簿!$A:$B,2,FALSE()),"")</f>
        <v/>
      </c>
    </row>
    <row r="113" customFormat="false" ht="15" hidden="false" customHeight="false" outlineLevel="0" collapsed="false">
      <c r="A113" s="28"/>
      <c r="B113" s="29"/>
      <c r="C113" s="29"/>
      <c r="D113" s="29"/>
      <c r="E113" s="29"/>
      <c r="F113" s="27" t="str">
        <f aca="false">IFERROR(VLOOKUP(C113,利用者名簿!$A:$B,2,FALSE()),"")</f>
        <v/>
      </c>
    </row>
    <row r="114" customFormat="false" ht="15" hidden="false" customHeight="false" outlineLevel="0" collapsed="false">
      <c r="A114" s="28"/>
      <c r="B114" s="29"/>
      <c r="C114" s="29"/>
      <c r="D114" s="29"/>
      <c r="E114" s="29"/>
      <c r="F114" s="27" t="str">
        <f aca="false">IFERROR(VLOOKUP(C114,利用者名簿!$A:$B,2,FALSE()),"")</f>
        <v/>
      </c>
    </row>
    <row r="115" customFormat="false" ht="15" hidden="false" customHeight="false" outlineLevel="0" collapsed="false">
      <c r="A115" s="28"/>
      <c r="B115" s="29"/>
      <c r="C115" s="29"/>
      <c r="D115" s="29"/>
      <c r="E115" s="29"/>
      <c r="F115" s="27" t="str">
        <f aca="false">IFERROR(VLOOKUP(C115,利用者名簿!$A:$B,2,FALSE()),"")</f>
        <v/>
      </c>
    </row>
    <row r="116" customFormat="false" ht="15" hidden="false" customHeight="false" outlineLevel="0" collapsed="false">
      <c r="A116" s="28"/>
      <c r="B116" s="29"/>
      <c r="C116" s="29"/>
      <c r="D116" s="29"/>
      <c r="E116" s="29"/>
      <c r="F116" s="27" t="str">
        <f aca="false">IFERROR(VLOOKUP(C116,利用者名簿!$A:$B,2,FALSE()),"")</f>
        <v/>
      </c>
    </row>
    <row r="117" customFormat="false" ht="15" hidden="false" customHeight="false" outlineLevel="0" collapsed="false">
      <c r="A117" s="28"/>
      <c r="B117" s="29"/>
      <c r="C117" s="29"/>
      <c r="D117" s="29"/>
      <c r="E117" s="29"/>
      <c r="F117" s="27" t="str">
        <f aca="false">IFERROR(VLOOKUP(C117,利用者名簿!$A:$B,2,FALSE()),"")</f>
        <v/>
      </c>
    </row>
    <row r="118" customFormat="false" ht="15" hidden="false" customHeight="false" outlineLevel="0" collapsed="false">
      <c r="A118" s="28"/>
      <c r="B118" s="29"/>
      <c r="C118" s="29"/>
      <c r="D118" s="29"/>
      <c r="E118" s="29"/>
      <c r="F118" s="27" t="str">
        <f aca="false">IFERROR(VLOOKUP(C118,利用者名簿!$A:$B,2,FALSE()),"")</f>
        <v/>
      </c>
    </row>
    <row r="119" customFormat="false" ht="15" hidden="false" customHeight="false" outlineLevel="0" collapsed="false">
      <c r="A119" s="28"/>
      <c r="B119" s="29"/>
      <c r="C119" s="29"/>
      <c r="D119" s="29"/>
      <c r="E119" s="29"/>
      <c r="F119" s="27" t="str">
        <f aca="false">IFERROR(VLOOKUP(C119,利用者名簿!$A:$B,2,FALSE()),"")</f>
        <v/>
      </c>
    </row>
    <row r="120" customFormat="false" ht="15" hidden="false" customHeight="false" outlineLevel="0" collapsed="false">
      <c r="A120" s="28"/>
      <c r="B120" s="29"/>
      <c r="C120" s="29"/>
      <c r="D120" s="29"/>
      <c r="E120" s="29"/>
      <c r="F120" s="27" t="str">
        <f aca="false">IFERROR(VLOOKUP(C120,利用者名簿!$A:$B,2,FALSE()),"")</f>
        <v/>
      </c>
    </row>
    <row r="121" customFormat="false" ht="15" hidden="false" customHeight="false" outlineLevel="0" collapsed="false">
      <c r="A121" s="28"/>
      <c r="B121" s="29"/>
      <c r="C121" s="29"/>
      <c r="D121" s="29"/>
      <c r="E121" s="29"/>
      <c r="F121" s="27" t="str">
        <f aca="false">IFERROR(VLOOKUP(C121,利用者名簿!$A:$B,2,FALSE()),"")</f>
        <v/>
      </c>
    </row>
    <row r="122" customFormat="false" ht="15" hidden="false" customHeight="false" outlineLevel="0" collapsed="false">
      <c r="A122" s="28"/>
      <c r="B122" s="29"/>
      <c r="C122" s="29"/>
      <c r="D122" s="29"/>
      <c r="E122" s="29"/>
      <c r="F122" s="27" t="str">
        <f aca="false">IFERROR(VLOOKUP(C122,利用者名簿!$A:$B,2,FALSE()),"")</f>
        <v/>
      </c>
    </row>
    <row r="123" customFormat="false" ht="15" hidden="false" customHeight="false" outlineLevel="0" collapsed="false">
      <c r="A123" s="28"/>
      <c r="B123" s="29"/>
      <c r="C123" s="29"/>
      <c r="D123" s="29"/>
      <c r="E123" s="29"/>
      <c r="F123" s="27" t="str">
        <f aca="false">IFERROR(VLOOKUP(C123,利用者名簿!$A:$B,2,FALSE()),"")</f>
        <v/>
      </c>
    </row>
    <row r="124" customFormat="false" ht="15" hidden="false" customHeight="false" outlineLevel="0" collapsed="false">
      <c r="A124" s="28"/>
      <c r="B124" s="29"/>
      <c r="C124" s="29"/>
      <c r="D124" s="29"/>
      <c r="E124" s="29"/>
      <c r="F124" s="27" t="str">
        <f aca="false">IFERROR(VLOOKUP(C124,利用者名簿!$A:$B,2,FALSE()),"")</f>
        <v/>
      </c>
    </row>
    <row r="125" customFormat="false" ht="15" hidden="false" customHeight="false" outlineLevel="0" collapsed="false">
      <c r="A125" s="28"/>
      <c r="B125" s="29"/>
      <c r="C125" s="29"/>
      <c r="D125" s="29"/>
      <c r="E125" s="29"/>
      <c r="F125" s="27" t="str">
        <f aca="false">IFERROR(VLOOKUP(C125,利用者名簿!$A:$B,2,FALSE()),"")</f>
        <v/>
      </c>
    </row>
    <row r="126" customFormat="false" ht="15" hidden="false" customHeight="false" outlineLevel="0" collapsed="false">
      <c r="A126" s="28"/>
      <c r="B126" s="29"/>
      <c r="C126" s="29"/>
      <c r="D126" s="29"/>
      <c r="E126" s="29"/>
      <c r="F126" s="27" t="str">
        <f aca="false">IFERROR(VLOOKUP(C126,利用者名簿!$A:$B,2,FALSE()),"")</f>
        <v/>
      </c>
    </row>
    <row r="127" customFormat="false" ht="15" hidden="false" customHeight="false" outlineLevel="0" collapsed="false">
      <c r="A127" s="28"/>
      <c r="B127" s="29"/>
      <c r="C127" s="29"/>
      <c r="D127" s="29"/>
      <c r="E127" s="29"/>
      <c r="F127" s="27" t="str">
        <f aca="false">IFERROR(VLOOKUP(C127,利用者名簿!$A:$B,2,FALSE()),"")</f>
        <v/>
      </c>
    </row>
    <row r="128" customFormat="false" ht="15" hidden="false" customHeight="false" outlineLevel="0" collapsed="false">
      <c r="A128" s="28"/>
      <c r="B128" s="29"/>
      <c r="C128" s="29"/>
      <c r="D128" s="29"/>
      <c r="E128" s="29"/>
      <c r="F128" s="27" t="str">
        <f aca="false">IFERROR(VLOOKUP(C128,利用者名簿!$A:$B,2,FALSE()),"")</f>
        <v/>
      </c>
    </row>
    <row r="129" customFormat="false" ht="15" hidden="false" customHeight="false" outlineLevel="0" collapsed="false">
      <c r="A129" s="28"/>
      <c r="B129" s="29"/>
      <c r="C129" s="29"/>
      <c r="D129" s="29"/>
      <c r="E129" s="29"/>
      <c r="F129" s="27" t="str">
        <f aca="false">IFERROR(VLOOKUP(C129,利用者名簿!$A:$B,2,FALSE()),"")</f>
        <v/>
      </c>
    </row>
    <row r="130" customFormat="false" ht="15" hidden="false" customHeight="false" outlineLevel="0" collapsed="false">
      <c r="A130" s="28"/>
      <c r="B130" s="29"/>
      <c r="C130" s="29"/>
      <c r="D130" s="29"/>
      <c r="E130" s="29"/>
      <c r="F130" s="27" t="str">
        <f aca="false">IFERROR(VLOOKUP(C130,利用者名簿!$A:$B,2,FALSE()),"")</f>
        <v/>
      </c>
    </row>
    <row r="131" customFormat="false" ht="15" hidden="false" customHeight="false" outlineLevel="0" collapsed="false">
      <c r="A131" s="28"/>
      <c r="B131" s="29"/>
      <c r="C131" s="29"/>
      <c r="D131" s="29"/>
      <c r="E131" s="29"/>
      <c r="F131" s="27" t="str">
        <f aca="false">IFERROR(VLOOKUP(C131,利用者名簿!$A:$B,2,FALSE()),"")</f>
        <v/>
      </c>
    </row>
    <row r="132" customFormat="false" ht="15" hidden="false" customHeight="false" outlineLevel="0" collapsed="false">
      <c r="A132" s="28"/>
      <c r="B132" s="29"/>
      <c r="C132" s="29"/>
      <c r="D132" s="29"/>
      <c r="E132" s="29"/>
      <c r="F132" s="27" t="str">
        <f aca="false">IFERROR(VLOOKUP(C132,利用者名簿!$A:$B,2,FALSE()),"")</f>
        <v/>
      </c>
    </row>
    <row r="133" customFormat="false" ht="15" hidden="false" customHeight="false" outlineLevel="0" collapsed="false">
      <c r="A133" s="28"/>
      <c r="B133" s="29"/>
      <c r="C133" s="29"/>
      <c r="D133" s="29"/>
      <c r="E133" s="29"/>
      <c r="F133" s="27" t="str">
        <f aca="false">IFERROR(VLOOKUP(C133,利用者名簿!$A:$B,2,FALSE()),"")</f>
        <v/>
      </c>
    </row>
    <row r="134" customFormat="false" ht="15" hidden="false" customHeight="false" outlineLevel="0" collapsed="false">
      <c r="A134" s="28"/>
      <c r="B134" s="29"/>
      <c r="C134" s="29"/>
      <c r="D134" s="29"/>
      <c r="E134" s="29"/>
      <c r="F134" s="27" t="str">
        <f aca="false">IFERROR(VLOOKUP(C134,利用者名簿!$A:$B,2,FALSE()),"")</f>
        <v/>
      </c>
    </row>
    <row r="135" customFormat="false" ht="15" hidden="false" customHeight="false" outlineLevel="0" collapsed="false">
      <c r="A135" s="28"/>
      <c r="B135" s="29"/>
      <c r="C135" s="29"/>
      <c r="D135" s="29"/>
      <c r="E135" s="29"/>
      <c r="F135" s="27" t="str">
        <f aca="false">IFERROR(VLOOKUP(C135,利用者名簿!$A:$B,2,FALSE()),"")</f>
        <v/>
      </c>
    </row>
    <row r="136" customFormat="false" ht="15" hidden="false" customHeight="false" outlineLevel="0" collapsed="false">
      <c r="A136" s="28"/>
      <c r="B136" s="29"/>
      <c r="C136" s="29"/>
      <c r="D136" s="29"/>
      <c r="E136" s="29"/>
      <c r="F136" s="27" t="str">
        <f aca="false">IFERROR(VLOOKUP(C136,利用者名簿!$A:$B,2,FALSE()),"")</f>
        <v/>
      </c>
    </row>
    <row r="137" customFormat="false" ht="15" hidden="false" customHeight="false" outlineLevel="0" collapsed="false">
      <c r="A137" s="28"/>
      <c r="B137" s="29"/>
      <c r="C137" s="29"/>
      <c r="D137" s="29"/>
      <c r="E137" s="29"/>
      <c r="F137" s="27" t="str">
        <f aca="false">IFERROR(VLOOKUP(C137,利用者名簿!$A:$B,2,FALSE()),"")</f>
        <v/>
      </c>
    </row>
    <row r="138" customFormat="false" ht="15" hidden="false" customHeight="false" outlineLevel="0" collapsed="false">
      <c r="A138" s="28"/>
      <c r="B138" s="29"/>
      <c r="C138" s="29"/>
      <c r="D138" s="29"/>
      <c r="E138" s="29"/>
      <c r="F138" s="27" t="str">
        <f aca="false">IFERROR(VLOOKUP(C138,利用者名簿!$A:$B,2,FALSE()),"")</f>
        <v/>
      </c>
    </row>
    <row r="139" customFormat="false" ht="15" hidden="false" customHeight="false" outlineLevel="0" collapsed="false">
      <c r="A139" s="28"/>
      <c r="B139" s="29"/>
      <c r="C139" s="29"/>
      <c r="D139" s="29"/>
      <c r="E139" s="29"/>
      <c r="F139" s="27" t="str">
        <f aca="false">IFERROR(VLOOKUP(C139,利用者名簿!$A:$B,2,FALSE()),"")</f>
        <v/>
      </c>
    </row>
    <row r="140" customFormat="false" ht="15" hidden="false" customHeight="false" outlineLevel="0" collapsed="false">
      <c r="A140" s="28"/>
      <c r="B140" s="29"/>
      <c r="C140" s="29"/>
      <c r="D140" s="29"/>
      <c r="E140" s="29"/>
      <c r="F140" s="27" t="str">
        <f aca="false">IFERROR(VLOOKUP(C140,利用者名簿!$A:$B,2,FALSE()),"")</f>
        <v/>
      </c>
    </row>
    <row r="141" customFormat="false" ht="15" hidden="false" customHeight="false" outlineLevel="0" collapsed="false">
      <c r="A141" s="28"/>
      <c r="B141" s="29"/>
      <c r="C141" s="29"/>
      <c r="D141" s="29"/>
      <c r="E141" s="29"/>
      <c r="F141" s="27" t="str">
        <f aca="false">IFERROR(VLOOKUP(C141,利用者名簿!$A:$B,2,FALSE()),"")</f>
        <v/>
      </c>
    </row>
    <row r="142" customFormat="false" ht="15" hidden="false" customHeight="false" outlineLevel="0" collapsed="false">
      <c r="A142" s="28"/>
      <c r="B142" s="29"/>
      <c r="C142" s="29"/>
      <c r="D142" s="29"/>
      <c r="E142" s="29"/>
      <c r="F142" s="27" t="str">
        <f aca="false">IFERROR(VLOOKUP(C142,利用者名簿!$A:$B,2,FALSE()),"")</f>
        <v/>
      </c>
    </row>
    <row r="143" customFormat="false" ht="15" hidden="false" customHeight="false" outlineLevel="0" collapsed="false">
      <c r="A143" s="28"/>
      <c r="B143" s="29"/>
      <c r="C143" s="29"/>
      <c r="D143" s="29"/>
      <c r="E143" s="29"/>
      <c r="F143" s="27" t="str">
        <f aca="false">IFERROR(VLOOKUP(C143,利用者名簿!$A:$B,2,FALSE()),"")</f>
        <v/>
      </c>
    </row>
    <row r="144" customFormat="false" ht="15" hidden="false" customHeight="false" outlineLevel="0" collapsed="false">
      <c r="A144" s="28"/>
      <c r="B144" s="29"/>
      <c r="C144" s="29"/>
      <c r="D144" s="29"/>
      <c r="E144" s="29"/>
      <c r="F144" s="27" t="str">
        <f aca="false">IFERROR(VLOOKUP(C144,利用者名簿!$A:$B,2,FALSE()),"")</f>
        <v/>
      </c>
    </row>
    <row r="145" customFormat="false" ht="15" hidden="false" customHeight="false" outlineLevel="0" collapsed="false">
      <c r="A145" s="28"/>
      <c r="B145" s="29"/>
      <c r="C145" s="29"/>
      <c r="D145" s="29"/>
      <c r="E145" s="29"/>
      <c r="F145" s="27" t="str">
        <f aca="false">IFERROR(VLOOKUP(C145,利用者名簿!$A:$B,2,FALSE()),"")</f>
        <v/>
      </c>
    </row>
    <row r="146" customFormat="false" ht="15" hidden="false" customHeight="false" outlineLevel="0" collapsed="false">
      <c r="A146" s="28"/>
      <c r="B146" s="29"/>
      <c r="C146" s="29"/>
      <c r="D146" s="29"/>
      <c r="E146" s="29"/>
      <c r="F146" s="27" t="str">
        <f aca="false">IFERROR(VLOOKUP(C146,利用者名簿!$A:$B,2,FALSE()),"")</f>
        <v/>
      </c>
    </row>
    <row r="147" customFormat="false" ht="15" hidden="false" customHeight="false" outlineLevel="0" collapsed="false">
      <c r="A147" s="28"/>
      <c r="B147" s="29"/>
      <c r="C147" s="29"/>
      <c r="D147" s="29"/>
      <c r="E147" s="29"/>
      <c r="F147" s="27" t="str">
        <f aca="false">IFERROR(VLOOKUP(C147,利用者名簿!$A:$B,2,FALSE()),"")</f>
        <v/>
      </c>
    </row>
    <row r="148" customFormat="false" ht="15" hidden="false" customHeight="false" outlineLevel="0" collapsed="false">
      <c r="A148" s="28"/>
      <c r="B148" s="29"/>
      <c r="C148" s="29"/>
      <c r="D148" s="29"/>
      <c r="E148" s="29"/>
      <c r="F148" s="27" t="str">
        <f aca="false">IFERROR(VLOOKUP(C148,利用者名簿!$A:$B,2,FALSE()),"")</f>
        <v/>
      </c>
    </row>
    <row r="149" customFormat="false" ht="15" hidden="false" customHeight="false" outlineLevel="0" collapsed="false">
      <c r="A149" s="28"/>
      <c r="B149" s="29"/>
      <c r="C149" s="29"/>
      <c r="D149" s="29"/>
      <c r="E149" s="29"/>
      <c r="F149" s="27" t="str">
        <f aca="false">IFERROR(VLOOKUP(C149,利用者名簿!$A:$B,2,FALSE()),"")</f>
        <v/>
      </c>
    </row>
    <row r="150" customFormat="false" ht="15" hidden="false" customHeight="false" outlineLevel="0" collapsed="false">
      <c r="A150" s="28"/>
      <c r="B150" s="29"/>
      <c r="C150" s="29"/>
      <c r="D150" s="29"/>
      <c r="E150" s="29"/>
      <c r="F150" s="27" t="str">
        <f aca="false">IFERROR(VLOOKUP(C150,利用者名簿!$A:$B,2,FALSE()),"")</f>
        <v/>
      </c>
    </row>
    <row r="151" customFormat="false" ht="15" hidden="false" customHeight="false" outlineLevel="0" collapsed="false">
      <c r="A151" s="28"/>
      <c r="B151" s="29"/>
      <c r="C151" s="29"/>
      <c r="D151" s="29"/>
      <c r="E151" s="29"/>
      <c r="F151" s="27" t="str">
        <f aca="false">IFERROR(VLOOKUP(C151,利用者名簿!$A:$B,2,FALSE()),"")</f>
        <v/>
      </c>
    </row>
    <row r="152" customFormat="false" ht="15" hidden="false" customHeight="false" outlineLevel="0" collapsed="false">
      <c r="A152" s="28"/>
      <c r="B152" s="29"/>
      <c r="C152" s="29"/>
      <c r="D152" s="29"/>
      <c r="E152" s="29"/>
      <c r="F152" s="27" t="str">
        <f aca="false">IFERROR(VLOOKUP(C152,利用者名簿!$A:$B,2,FALSE()),"")</f>
        <v/>
      </c>
    </row>
    <row r="153" customFormat="false" ht="15" hidden="false" customHeight="false" outlineLevel="0" collapsed="false">
      <c r="A153" s="28"/>
      <c r="B153" s="29"/>
      <c r="C153" s="29"/>
      <c r="D153" s="29"/>
      <c r="E153" s="29"/>
      <c r="F153" s="27" t="str">
        <f aca="false">IFERROR(VLOOKUP(C153,利用者名簿!$A:$B,2,FALSE()),"")</f>
        <v/>
      </c>
    </row>
    <row r="154" customFormat="false" ht="15" hidden="false" customHeight="false" outlineLevel="0" collapsed="false">
      <c r="A154" s="28"/>
      <c r="B154" s="29"/>
      <c r="C154" s="29"/>
      <c r="D154" s="29"/>
      <c r="E154" s="29"/>
      <c r="F154" s="27" t="str">
        <f aca="false">IFERROR(VLOOKUP(C154,利用者名簿!$A:$B,2,FALSE()),"")</f>
        <v/>
      </c>
    </row>
    <row r="155" customFormat="false" ht="15" hidden="false" customHeight="false" outlineLevel="0" collapsed="false">
      <c r="A155" s="28"/>
      <c r="B155" s="29"/>
      <c r="C155" s="29"/>
      <c r="D155" s="29"/>
      <c r="E155" s="29"/>
      <c r="F155" s="27" t="str">
        <f aca="false">IFERROR(VLOOKUP(C155,利用者名簿!$A:$B,2,FALSE()),"")</f>
        <v/>
      </c>
    </row>
    <row r="156" customFormat="false" ht="15" hidden="false" customHeight="false" outlineLevel="0" collapsed="false">
      <c r="A156" s="28"/>
      <c r="B156" s="29"/>
      <c r="C156" s="29"/>
      <c r="D156" s="29"/>
      <c r="E156" s="29"/>
      <c r="F156" s="27" t="str">
        <f aca="false">IFERROR(VLOOKUP(C156,利用者名簿!$A:$B,2,FALSE()),"")</f>
        <v/>
      </c>
    </row>
    <row r="157" customFormat="false" ht="15" hidden="false" customHeight="false" outlineLevel="0" collapsed="false">
      <c r="A157" s="28"/>
      <c r="B157" s="29"/>
      <c r="C157" s="29"/>
      <c r="D157" s="29"/>
      <c r="E157" s="29"/>
      <c r="F157" s="27" t="str">
        <f aca="false">IFERROR(VLOOKUP(C157,利用者名簿!$A:$B,2,FALSE()),"")</f>
        <v/>
      </c>
    </row>
    <row r="158" customFormat="false" ht="15" hidden="false" customHeight="false" outlineLevel="0" collapsed="false">
      <c r="A158" s="28"/>
      <c r="B158" s="29"/>
      <c r="C158" s="29"/>
      <c r="D158" s="29"/>
      <c r="E158" s="29"/>
      <c r="F158" s="27" t="str">
        <f aca="false">IFERROR(VLOOKUP(C158,利用者名簿!$A:$B,2,FALSE()),"")</f>
        <v/>
      </c>
    </row>
    <row r="159" customFormat="false" ht="15" hidden="false" customHeight="false" outlineLevel="0" collapsed="false">
      <c r="A159" s="28"/>
      <c r="B159" s="29"/>
      <c r="C159" s="29"/>
      <c r="D159" s="29"/>
      <c r="E159" s="29"/>
      <c r="F159" s="27" t="str">
        <f aca="false">IFERROR(VLOOKUP(C159,利用者名簿!$A:$B,2,FALSE()),"")</f>
        <v/>
      </c>
    </row>
    <row r="160" customFormat="false" ht="15" hidden="false" customHeight="false" outlineLevel="0" collapsed="false">
      <c r="A160" s="28"/>
      <c r="B160" s="29"/>
      <c r="C160" s="29"/>
      <c r="D160" s="29"/>
      <c r="E160" s="29"/>
      <c r="F160" s="27" t="str">
        <f aca="false">IFERROR(VLOOKUP(C160,利用者名簿!$A:$B,2,FALSE()),"")</f>
        <v/>
      </c>
    </row>
    <row r="161" customFormat="false" ht="15" hidden="false" customHeight="false" outlineLevel="0" collapsed="false">
      <c r="A161" s="28"/>
      <c r="B161" s="29"/>
      <c r="C161" s="29"/>
      <c r="D161" s="29"/>
      <c r="E161" s="29"/>
      <c r="F161" s="27" t="str">
        <f aca="false">IFERROR(VLOOKUP(C161,利用者名簿!$A:$B,2,FALSE()),"")</f>
        <v/>
      </c>
    </row>
    <row r="162" customFormat="false" ht="15" hidden="false" customHeight="false" outlineLevel="0" collapsed="false">
      <c r="A162" s="28"/>
      <c r="B162" s="29"/>
      <c r="C162" s="29"/>
      <c r="D162" s="29"/>
      <c r="E162" s="29"/>
      <c r="F162" s="27" t="str">
        <f aca="false">IFERROR(VLOOKUP(C162,利用者名簿!$A:$B,2,FALSE()),"")</f>
        <v/>
      </c>
    </row>
    <row r="163" customFormat="false" ht="15" hidden="false" customHeight="false" outlineLevel="0" collapsed="false">
      <c r="A163" s="28"/>
      <c r="B163" s="29"/>
      <c r="C163" s="29"/>
      <c r="D163" s="29"/>
      <c r="E163" s="29"/>
      <c r="F163" s="27" t="str">
        <f aca="false">IFERROR(VLOOKUP(C163,利用者名簿!$A:$B,2,FALSE()),"")</f>
        <v/>
      </c>
    </row>
    <row r="164" customFormat="false" ht="15" hidden="false" customHeight="false" outlineLevel="0" collapsed="false">
      <c r="A164" s="28"/>
      <c r="B164" s="29"/>
      <c r="C164" s="29"/>
      <c r="D164" s="29"/>
      <c r="E164" s="29"/>
      <c r="F164" s="27" t="str">
        <f aca="false">IFERROR(VLOOKUP(C164,利用者名簿!$A:$B,2,FALSE()),"")</f>
        <v/>
      </c>
    </row>
    <row r="165" customFormat="false" ht="15" hidden="false" customHeight="false" outlineLevel="0" collapsed="false">
      <c r="A165" s="28"/>
      <c r="B165" s="29"/>
      <c r="C165" s="29"/>
      <c r="D165" s="29"/>
      <c r="E165" s="29"/>
      <c r="F165" s="27" t="str">
        <f aca="false">IFERROR(VLOOKUP(C165,利用者名簿!$A:$B,2,FALSE()),"")</f>
        <v/>
      </c>
    </row>
    <row r="166" customFormat="false" ht="15" hidden="false" customHeight="false" outlineLevel="0" collapsed="false">
      <c r="A166" s="28"/>
      <c r="B166" s="29"/>
      <c r="C166" s="29"/>
      <c r="D166" s="29"/>
      <c r="E166" s="29"/>
      <c r="F166" s="27" t="str">
        <f aca="false">IFERROR(VLOOKUP(C166,利用者名簿!$A:$B,2,FALSE()),"")</f>
        <v/>
      </c>
    </row>
    <row r="167" customFormat="false" ht="15" hidden="false" customHeight="false" outlineLevel="0" collapsed="false">
      <c r="A167" s="28"/>
      <c r="B167" s="29"/>
      <c r="C167" s="29"/>
      <c r="D167" s="29"/>
      <c r="E167" s="29"/>
      <c r="F167" s="27" t="str">
        <f aca="false">IFERROR(VLOOKUP(C167,利用者名簿!$A:$B,2,FALSE()),"")</f>
        <v/>
      </c>
    </row>
    <row r="168" customFormat="false" ht="15" hidden="false" customHeight="false" outlineLevel="0" collapsed="false">
      <c r="A168" s="28"/>
      <c r="B168" s="29"/>
      <c r="C168" s="29"/>
      <c r="D168" s="29"/>
      <c r="E168" s="29"/>
      <c r="F168" s="27" t="str">
        <f aca="false">IFERROR(VLOOKUP(C168,利用者名簿!$A:$B,2,FALSE()),"")</f>
        <v/>
      </c>
    </row>
    <row r="169" customFormat="false" ht="15" hidden="false" customHeight="false" outlineLevel="0" collapsed="false">
      <c r="A169" s="28"/>
      <c r="B169" s="29"/>
      <c r="C169" s="29"/>
      <c r="D169" s="29"/>
      <c r="E169" s="29"/>
      <c r="F169" s="27" t="str">
        <f aca="false">IFERROR(VLOOKUP(C169,利用者名簿!$A:$B,2,FALSE()),"")</f>
        <v/>
      </c>
    </row>
    <row r="170" customFormat="false" ht="15" hidden="false" customHeight="false" outlineLevel="0" collapsed="false">
      <c r="A170" s="28"/>
      <c r="B170" s="29"/>
      <c r="C170" s="29"/>
      <c r="D170" s="29"/>
      <c r="E170" s="29"/>
      <c r="F170" s="27" t="str">
        <f aca="false">IFERROR(VLOOKUP(C170,利用者名簿!$A:$B,2,FALSE()),"")</f>
        <v/>
      </c>
    </row>
    <row r="171" customFormat="false" ht="15" hidden="false" customHeight="false" outlineLevel="0" collapsed="false">
      <c r="A171" s="28"/>
      <c r="B171" s="29"/>
      <c r="C171" s="29"/>
      <c r="D171" s="29"/>
      <c r="E171" s="29"/>
      <c r="F171" s="27" t="str">
        <f aca="false">IFERROR(VLOOKUP(C171,利用者名簿!$A:$B,2,FALSE()),"")</f>
        <v/>
      </c>
    </row>
    <row r="172" customFormat="false" ht="15" hidden="false" customHeight="false" outlineLevel="0" collapsed="false">
      <c r="A172" s="28"/>
      <c r="B172" s="29"/>
      <c r="C172" s="29"/>
      <c r="D172" s="29"/>
      <c r="E172" s="29"/>
      <c r="F172" s="27" t="str">
        <f aca="false">IFERROR(VLOOKUP(C172,利用者名簿!$A:$B,2,FALSE()),"")</f>
        <v/>
      </c>
    </row>
    <row r="173" customFormat="false" ht="15" hidden="false" customHeight="false" outlineLevel="0" collapsed="false">
      <c r="A173" s="28"/>
      <c r="B173" s="29"/>
      <c r="C173" s="29"/>
      <c r="D173" s="29"/>
      <c r="E173" s="29"/>
      <c r="F173" s="27" t="str">
        <f aca="false">IFERROR(VLOOKUP(C173,利用者名簿!$A:$B,2,FALSE()),"")</f>
        <v/>
      </c>
    </row>
    <row r="174" customFormat="false" ht="15" hidden="false" customHeight="false" outlineLevel="0" collapsed="false">
      <c r="A174" s="28"/>
      <c r="B174" s="29"/>
      <c r="C174" s="29"/>
      <c r="D174" s="29"/>
      <c r="E174" s="29"/>
      <c r="F174" s="27" t="str">
        <f aca="false">IFERROR(VLOOKUP(C174,利用者名簿!$A:$B,2,FALSE()),"")</f>
        <v/>
      </c>
    </row>
    <row r="175" customFormat="false" ht="15" hidden="false" customHeight="false" outlineLevel="0" collapsed="false">
      <c r="A175" s="28"/>
      <c r="B175" s="29"/>
      <c r="C175" s="29"/>
      <c r="D175" s="29"/>
      <c r="E175" s="29"/>
      <c r="F175" s="27" t="str">
        <f aca="false">IFERROR(VLOOKUP(C175,利用者名簿!$A:$B,2,FALSE()),"")</f>
        <v/>
      </c>
    </row>
    <row r="176" customFormat="false" ht="15" hidden="false" customHeight="false" outlineLevel="0" collapsed="false">
      <c r="A176" s="28"/>
      <c r="B176" s="29"/>
      <c r="C176" s="29"/>
      <c r="D176" s="29"/>
      <c r="E176" s="29"/>
      <c r="F176" s="27" t="str">
        <f aca="false">IFERROR(VLOOKUP(C176,利用者名簿!$A:$B,2,FALSE()),"")</f>
        <v/>
      </c>
    </row>
    <row r="177" customFormat="false" ht="15" hidden="false" customHeight="false" outlineLevel="0" collapsed="false">
      <c r="A177" s="28"/>
      <c r="B177" s="29"/>
      <c r="C177" s="29"/>
      <c r="D177" s="29"/>
      <c r="E177" s="29"/>
      <c r="F177" s="27" t="str">
        <f aca="false">IFERROR(VLOOKUP(C177,利用者名簿!$A:$B,2,FALSE()),"")</f>
        <v/>
      </c>
    </row>
    <row r="178" customFormat="false" ht="15" hidden="false" customHeight="false" outlineLevel="0" collapsed="false">
      <c r="A178" s="28"/>
      <c r="B178" s="29"/>
      <c r="C178" s="29"/>
      <c r="D178" s="29"/>
      <c r="E178" s="29"/>
      <c r="F178" s="27" t="str">
        <f aca="false">IFERROR(VLOOKUP(C178,利用者名簿!$A:$B,2,FALSE()),"")</f>
        <v/>
      </c>
    </row>
    <row r="179" customFormat="false" ht="15" hidden="false" customHeight="false" outlineLevel="0" collapsed="false">
      <c r="A179" s="28"/>
      <c r="B179" s="29"/>
      <c r="C179" s="29"/>
      <c r="D179" s="29"/>
      <c r="E179" s="29"/>
      <c r="F179" s="27" t="str">
        <f aca="false">IFERROR(VLOOKUP(C179,利用者名簿!$A:$B,2,FALSE()),"")</f>
        <v/>
      </c>
    </row>
    <row r="180" customFormat="false" ht="15" hidden="false" customHeight="false" outlineLevel="0" collapsed="false">
      <c r="A180" s="28"/>
      <c r="B180" s="29"/>
      <c r="C180" s="29"/>
      <c r="D180" s="29"/>
      <c r="E180" s="29"/>
      <c r="F180" s="27" t="str">
        <f aca="false">IFERROR(VLOOKUP(C180,利用者名簿!$A:$B,2,FALSE()),"")</f>
        <v/>
      </c>
    </row>
    <row r="181" customFormat="false" ht="15" hidden="false" customHeight="false" outlineLevel="0" collapsed="false">
      <c r="A181" s="28"/>
      <c r="B181" s="29"/>
      <c r="C181" s="29"/>
      <c r="D181" s="29"/>
      <c r="E181" s="29"/>
      <c r="F181" s="27" t="str">
        <f aca="false">IFERROR(VLOOKUP(C181,利用者名簿!$A:$B,2,FALSE()),"")</f>
        <v/>
      </c>
    </row>
    <row r="182" customFormat="false" ht="15" hidden="false" customHeight="false" outlineLevel="0" collapsed="false">
      <c r="A182" s="28"/>
      <c r="B182" s="29"/>
      <c r="C182" s="29"/>
      <c r="D182" s="29"/>
      <c r="E182" s="29"/>
      <c r="F182" s="27" t="str">
        <f aca="false">IFERROR(VLOOKUP(C182,利用者名簿!$A:$B,2,FALSE()),"")</f>
        <v/>
      </c>
    </row>
    <row r="183" customFormat="false" ht="15" hidden="false" customHeight="false" outlineLevel="0" collapsed="false">
      <c r="A183" s="28"/>
      <c r="B183" s="29"/>
      <c r="C183" s="29"/>
      <c r="D183" s="29"/>
      <c r="E183" s="29"/>
      <c r="F183" s="27" t="str">
        <f aca="false">IFERROR(VLOOKUP(C183,利用者名簿!$A:$B,2,FALSE()),"")</f>
        <v/>
      </c>
    </row>
    <row r="184" customFormat="false" ht="15" hidden="false" customHeight="false" outlineLevel="0" collapsed="false">
      <c r="A184" s="28"/>
      <c r="B184" s="29"/>
      <c r="C184" s="29"/>
      <c r="D184" s="29"/>
      <c r="E184" s="29"/>
      <c r="F184" s="27" t="str">
        <f aca="false">IFERROR(VLOOKUP(C184,利用者名簿!$A:$B,2,FALSE()),"")</f>
        <v/>
      </c>
    </row>
    <row r="185" customFormat="false" ht="15" hidden="false" customHeight="false" outlineLevel="0" collapsed="false">
      <c r="A185" s="28"/>
      <c r="B185" s="29"/>
      <c r="C185" s="29"/>
      <c r="D185" s="29"/>
      <c r="E185" s="29"/>
      <c r="F185" s="27" t="str">
        <f aca="false">IFERROR(VLOOKUP(C185,利用者名簿!$A:$B,2,FALSE()),"")</f>
        <v/>
      </c>
    </row>
    <row r="186" customFormat="false" ht="15" hidden="false" customHeight="false" outlineLevel="0" collapsed="false">
      <c r="A186" s="28"/>
      <c r="B186" s="29"/>
      <c r="C186" s="29"/>
      <c r="D186" s="29"/>
      <c r="E186" s="29"/>
      <c r="F186" s="27" t="str">
        <f aca="false">IFERROR(VLOOKUP(C186,利用者名簿!$A:$B,2,FALSE()),"")</f>
        <v/>
      </c>
    </row>
    <row r="187" customFormat="false" ht="15" hidden="false" customHeight="false" outlineLevel="0" collapsed="false">
      <c r="A187" s="28"/>
      <c r="B187" s="29"/>
      <c r="C187" s="29"/>
      <c r="D187" s="29"/>
      <c r="E187" s="29"/>
      <c r="F187" s="27" t="str">
        <f aca="false">IFERROR(VLOOKUP(C187,利用者名簿!$A:$B,2,FALSE()),"")</f>
        <v/>
      </c>
    </row>
    <row r="188" customFormat="false" ht="15" hidden="false" customHeight="false" outlineLevel="0" collapsed="false">
      <c r="A188" s="28"/>
      <c r="B188" s="29"/>
      <c r="C188" s="29"/>
      <c r="D188" s="29"/>
      <c r="E188" s="29"/>
      <c r="F188" s="27" t="str">
        <f aca="false">IFERROR(VLOOKUP(C188,利用者名簿!$A:$B,2,FALSE()),"")</f>
        <v/>
      </c>
    </row>
    <row r="189" customFormat="false" ht="15" hidden="false" customHeight="false" outlineLevel="0" collapsed="false">
      <c r="A189" s="28"/>
      <c r="B189" s="29"/>
      <c r="C189" s="29"/>
      <c r="D189" s="29"/>
      <c r="E189" s="29"/>
      <c r="F189" s="27" t="str">
        <f aca="false">IFERROR(VLOOKUP(C189,利用者名簿!$A:$B,2,FALSE()),"")</f>
        <v/>
      </c>
    </row>
    <row r="190" customFormat="false" ht="15" hidden="false" customHeight="false" outlineLevel="0" collapsed="false">
      <c r="A190" s="28"/>
      <c r="B190" s="29"/>
      <c r="C190" s="29"/>
      <c r="D190" s="29"/>
      <c r="E190" s="29"/>
      <c r="F190" s="27" t="str">
        <f aca="false">IFERROR(VLOOKUP(C190,利用者名簿!$A:$B,2,FALSE()),"")</f>
        <v/>
      </c>
    </row>
    <row r="191" customFormat="false" ht="15" hidden="false" customHeight="false" outlineLevel="0" collapsed="false">
      <c r="A191" s="28"/>
      <c r="B191" s="29"/>
      <c r="C191" s="29"/>
      <c r="D191" s="29"/>
      <c r="E191" s="29"/>
      <c r="F191" s="27" t="str">
        <f aca="false">IFERROR(VLOOKUP(C191,利用者名簿!$A:$B,2,FALSE()),"")</f>
        <v/>
      </c>
    </row>
    <row r="192" customFormat="false" ht="15" hidden="false" customHeight="false" outlineLevel="0" collapsed="false">
      <c r="A192" s="28"/>
      <c r="B192" s="29"/>
      <c r="C192" s="29"/>
      <c r="D192" s="29"/>
      <c r="E192" s="29"/>
      <c r="F192" s="27" t="str">
        <f aca="false">IFERROR(VLOOKUP(C192,利用者名簿!$A:$B,2,FALSE()),"")</f>
        <v/>
      </c>
    </row>
    <row r="193" customFormat="false" ht="15" hidden="false" customHeight="false" outlineLevel="0" collapsed="false">
      <c r="A193" s="28"/>
      <c r="B193" s="29"/>
      <c r="C193" s="29"/>
      <c r="D193" s="29"/>
      <c r="E193" s="29"/>
      <c r="F193" s="27" t="str">
        <f aca="false">IFERROR(VLOOKUP(C193,利用者名簿!$A:$B,2,FALSE()),"")</f>
        <v/>
      </c>
    </row>
    <row r="194" customFormat="false" ht="15" hidden="false" customHeight="false" outlineLevel="0" collapsed="false">
      <c r="A194" s="28"/>
      <c r="B194" s="29"/>
      <c r="C194" s="29"/>
      <c r="D194" s="29"/>
      <c r="E194" s="29"/>
      <c r="F194" s="27" t="str">
        <f aca="false">IFERROR(VLOOKUP(C194,利用者名簿!$A:$B,2,FALSE()),"")</f>
        <v/>
      </c>
    </row>
    <row r="195" customFormat="false" ht="15" hidden="false" customHeight="false" outlineLevel="0" collapsed="false">
      <c r="A195" s="28"/>
      <c r="B195" s="29"/>
      <c r="C195" s="29"/>
      <c r="D195" s="29"/>
      <c r="E195" s="29"/>
      <c r="F195" s="27" t="str">
        <f aca="false">IFERROR(VLOOKUP(C195,利用者名簿!$A:$B,2,FALSE()),"")</f>
        <v/>
      </c>
    </row>
    <row r="196" customFormat="false" ht="15" hidden="false" customHeight="false" outlineLevel="0" collapsed="false">
      <c r="A196" s="28"/>
      <c r="B196" s="29"/>
      <c r="C196" s="29"/>
      <c r="D196" s="29"/>
      <c r="E196" s="29"/>
      <c r="F196" s="27" t="str">
        <f aca="false">IFERROR(VLOOKUP(C196,利用者名簿!$A:$B,2,FALSE()),"")</f>
        <v/>
      </c>
    </row>
    <row r="197" customFormat="false" ht="15" hidden="false" customHeight="false" outlineLevel="0" collapsed="false">
      <c r="A197" s="28"/>
      <c r="B197" s="29"/>
      <c r="C197" s="29"/>
      <c r="D197" s="29"/>
      <c r="E197" s="29"/>
      <c r="F197" s="27" t="str">
        <f aca="false">IFERROR(VLOOKUP(C197,利用者名簿!$A:$B,2,FALSE()),"")</f>
        <v/>
      </c>
    </row>
    <row r="198" customFormat="false" ht="15" hidden="false" customHeight="false" outlineLevel="0" collapsed="false">
      <c r="A198" s="28"/>
      <c r="B198" s="29"/>
      <c r="C198" s="29"/>
      <c r="D198" s="29"/>
      <c r="E198" s="29"/>
      <c r="F198" s="27" t="str">
        <f aca="false">IFERROR(VLOOKUP(C198,利用者名簿!$A:$B,2,FALSE()),"")</f>
        <v/>
      </c>
    </row>
    <row r="199" customFormat="false" ht="15" hidden="false" customHeight="false" outlineLevel="0" collapsed="false">
      <c r="A199" s="28"/>
      <c r="B199" s="29"/>
      <c r="C199" s="29"/>
      <c r="D199" s="29"/>
      <c r="E199" s="29"/>
      <c r="F199" s="27" t="str">
        <f aca="false">IFERROR(VLOOKUP(C199,利用者名簿!$A:$B,2,FALSE()),"")</f>
        <v/>
      </c>
    </row>
    <row r="200" customFormat="false" ht="15" hidden="false" customHeight="false" outlineLevel="0" collapsed="false">
      <c r="A200" s="28"/>
      <c r="B200" s="29"/>
      <c r="C200" s="29"/>
      <c r="D200" s="29"/>
      <c r="E200" s="29"/>
      <c r="F200" s="27" t="str">
        <f aca="false">IFERROR(VLOOKUP(C200,利用者名簿!$A:$B,2,FALSE()),"")</f>
        <v/>
      </c>
    </row>
    <row r="201" customFormat="false" ht="15" hidden="false" customHeight="false" outlineLevel="0" collapsed="false">
      <c r="A201" s="28"/>
      <c r="B201" s="29"/>
      <c r="C201" s="29"/>
      <c r="D201" s="29"/>
      <c r="E201" s="29"/>
      <c r="F201" s="27" t="str">
        <f aca="false">IFERROR(VLOOKUP(C201,利用者名簿!$A:$B,2,FALSE()),"")</f>
        <v/>
      </c>
    </row>
    <row r="202" customFormat="false" ht="15" hidden="false" customHeight="false" outlineLevel="0" collapsed="false">
      <c r="A202" s="28"/>
      <c r="B202" s="29"/>
      <c r="C202" s="29"/>
      <c r="D202" s="29"/>
      <c r="E202" s="29"/>
      <c r="F202" s="27" t="str">
        <f aca="false">IFERROR(VLOOKUP(C202,利用者名簿!$A:$B,2,FALSE()),"")</f>
        <v/>
      </c>
    </row>
    <row r="203" customFormat="false" ht="15" hidden="false" customHeight="false" outlineLevel="0" collapsed="false">
      <c r="A203" s="28"/>
      <c r="B203" s="29"/>
      <c r="C203" s="29"/>
      <c r="D203" s="29"/>
      <c r="E203" s="29"/>
      <c r="F203" s="27" t="str">
        <f aca="false">IFERROR(VLOOKUP(C203,利用者名簿!$A:$B,2,FALSE()),"")</f>
        <v/>
      </c>
    </row>
    <row r="204" customFormat="false" ht="15" hidden="false" customHeight="false" outlineLevel="0" collapsed="false">
      <c r="A204" s="28"/>
      <c r="B204" s="29"/>
      <c r="C204" s="29"/>
      <c r="D204" s="29"/>
      <c r="E204" s="29"/>
      <c r="F204" s="27" t="str">
        <f aca="false">IFERROR(VLOOKUP(C204,利用者名簿!$A:$B,2,FALSE()),"")</f>
        <v/>
      </c>
    </row>
    <row r="205" customFormat="false" ht="15" hidden="false" customHeight="false" outlineLevel="0" collapsed="false">
      <c r="A205" s="28"/>
      <c r="B205" s="29"/>
      <c r="C205" s="29"/>
      <c r="D205" s="29"/>
      <c r="E205" s="29"/>
      <c r="F205" s="27" t="str">
        <f aca="false">IFERROR(VLOOKUP(C205,利用者名簿!$A:$B,2,FALSE()),"")</f>
        <v/>
      </c>
    </row>
    <row r="206" customFormat="false" ht="15" hidden="false" customHeight="false" outlineLevel="0" collapsed="false">
      <c r="A206" s="28"/>
      <c r="B206" s="29"/>
      <c r="C206" s="29"/>
      <c r="D206" s="29"/>
      <c r="E206" s="29"/>
      <c r="F206" s="27" t="str">
        <f aca="false">IFERROR(VLOOKUP(C206,利用者名簿!$A:$B,2,FALSE()),"")</f>
        <v/>
      </c>
    </row>
    <row r="207" customFormat="false" ht="15" hidden="false" customHeight="false" outlineLevel="0" collapsed="false">
      <c r="A207" s="28"/>
      <c r="B207" s="29"/>
      <c r="C207" s="29"/>
      <c r="D207" s="29"/>
      <c r="E207" s="29"/>
      <c r="F207" s="27" t="str">
        <f aca="false">IFERROR(VLOOKUP(C207,利用者名簿!$A:$B,2,FALSE()),"")</f>
        <v/>
      </c>
    </row>
    <row r="208" customFormat="false" ht="15" hidden="false" customHeight="false" outlineLevel="0" collapsed="false">
      <c r="A208" s="28"/>
      <c r="B208" s="29"/>
      <c r="C208" s="29"/>
      <c r="D208" s="29"/>
      <c r="E208" s="29"/>
      <c r="F208" s="27" t="str">
        <f aca="false">IFERROR(VLOOKUP(C208,利用者名簿!$A:$B,2,FALSE()),"")</f>
        <v/>
      </c>
    </row>
    <row r="209" customFormat="false" ht="15" hidden="false" customHeight="false" outlineLevel="0" collapsed="false">
      <c r="A209" s="28"/>
      <c r="B209" s="29"/>
      <c r="C209" s="29"/>
      <c r="D209" s="29"/>
      <c r="E209" s="29"/>
      <c r="F209" s="27" t="str">
        <f aca="false">IFERROR(VLOOKUP(C209,利用者名簿!$A:$B,2,FALSE()),"")</f>
        <v/>
      </c>
    </row>
    <row r="210" customFormat="false" ht="15" hidden="false" customHeight="false" outlineLevel="0" collapsed="false">
      <c r="A210" s="28"/>
      <c r="B210" s="29"/>
      <c r="C210" s="29"/>
      <c r="D210" s="29"/>
      <c r="E210" s="29"/>
      <c r="F210" s="27" t="str">
        <f aca="false">IFERROR(VLOOKUP(C210,利用者名簿!$A:$B,2,FALSE()),"")</f>
        <v/>
      </c>
    </row>
    <row r="211" customFormat="false" ht="15" hidden="false" customHeight="false" outlineLevel="0" collapsed="false">
      <c r="A211" s="28"/>
      <c r="B211" s="29"/>
      <c r="C211" s="29"/>
      <c r="D211" s="29"/>
      <c r="E211" s="29"/>
      <c r="F211" s="27" t="str">
        <f aca="false">IFERROR(VLOOKUP(C211,利用者名簿!$A:$B,2,FALSE()),"")</f>
        <v/>
      </c>
    </row>
    <row r="212" customFormat="false" ht="15" hidden="false" customHeight="false" outlineLevel="0" collapsed="false">
      <c r="A212" s="28"/>
      <c r="B212" s="29"/>
      <c r="C212" s="29"/>
      <c r="D212" s="29"/>
      <c r="E212" s="29"/>
      <c r="F212" s="27" t="str">
        <f aca="false">IFERROR(VLOOKUP(C212,利用者名簿!$A:$B,2,FALSE()),"")</f>
        <v/>
      </c>
    </row>
    <row r="213" customFormat="false" ht="15" hidden="false" customHeight="false" outlineLevel="0" collapsed="false">
      <c r="A213" s="28"/>
      <c r="B213" s="29"/>
      <c r="C213" s="29"/>
      <c r="D213" s="29"/>
      <c r="E213" s="29"/>
      <c r="F213" s="27" t="str">
        <f aca="false">IFERROR(VLOOKUP(C213,利用者名簿!$A:$B,2,FALSE()),"")</f>
        <v/>
      </c>
    </row>
    <row r="214" customFormat="false" ht="15" hidden="false" customHeight="false" outlineLevel="0" collapsed="false">
      <c r="A214" s="28"/>
      <c r="B214" s="29"/>
      <c r="C214" s="29"/>
      <c r="D214" s="29"/>
      <c r="E214" s="29"/>
      <c r="F214" s="27" t="str">
        <f aca="false">IFERROR(VLOOKUP(C214,利用者名簿!$A:$B,2,FALSE()),"")</f>
        <v/>
      </c>
    </row>
    <row r="215" customFormat="false" ht="15" hidden="false" customHeight="false" outlineLevel="0" collapsed="false">
      <c r="A215" s="28"/>
      <c r="B215" s="29"/>
      <c r="C215" s="29"/>
      <c r="D215" s="29"/>
      <c r="E215" s="29"/>
      <c r="F215" s="27" t="str">
        <f aca="false">IFERROR(VLOOKUP(C215,利用者名簿!$A:$B,2,FALSE()),"")</f>
        <v/>
      </c>
    </row>
    <row r="216" customFormat="false" ht="15" hidden="false" customHeight="false" outlineLevel="0" collapsed="false">
      <c r="A216" s="28"/>
      <c r="B216" s="29"/>
      <c r="C216" s="29"/>
      <c r="D216" s="29"/>
      <c r="E216" s="29"/>
      <c r="F216" s="27" t="str">
        <f aca="false">IFERROR(VLOOKUP(C216,利用者名簿!$A:$B,2,FALSE()),"")</f>
        <v/>
      </c>
    </row>
    <row r="217" customFormat="false" ht="15" hidden="false" customHeight="false" outlineLevel="0" collapsed="false">
      <c r="A217" s="28"/>
      <c r="B217" s="29"/>
      <c r="C217" s="29"/>
      <c r="D217" s="29"/>
      <c r="E217" s="29"/>
      <c r="F217" s="27" t="str">
        <f aca="false">IFERROR(VLOOKUP(C217,利用者名簿!$A:$B,2,FALSE()),"")</f>
        <v/>
      </c>
    </row>
    <row r="218" customFormat="false" ht="15" hidden="false" customHeight="false" outlineLevel="0" collapsed="false">
      <c r="A218" s="28"/>
      <c r="B218" s="29"/>
      <c r="C218" s="29"/>
      <c r="D218" s="29"/>
      <c r="E218" s="29"/>
      <c r="F218" s="27" t="str">
        <f aca="false">IFERROR(VLOOKUP(C218,利用者名簿!$A:$B,2,FALSE()),"")</f>
        <v/>
      </c>
    </row>
    <row r="219" customFormat="false" ht="15" hidden="false" customHeight="false" outlineLevel="0" collapsed="false">
      <c r="A219" s="28"/>
      <c r="B219" s="29"/>
      <c r="C219" s="29"/>
      <c r="D219" s="29"/>
      <c r="E219" s="29"/>
      <c r="F219" s="27" t="str">
        <f aca="false">IFERROR(VLOOKUP(C219,利用者名簿!$A:$B,2,FALSE()),"")</f>
        <v/>
      </c>
    </row>
    <row r="220" customFormat="false" ht="15" hidden="false" customHeight="false" outlineLevel="0" collapsed="false">
      <c r="A220" s="28"/>
      <c r="B220" s="29"/>
      <c r="C220" s="29"/>
      <c r="D220" s="29"/>
      <c r="E220" s="29"/>
      <c r="F220" s="27" t="str">
        <f aca="false">IFERROR(VLOOKUP(C220,利用者名簿!$A:$B,2,FALSE()),"")</f>
        <v/>
      </c>
    </row>
    <row r="221" customFormat="false" ht="15" hidden="false" customHeight="false" outlineLevel="0" collapsed="false">
      <c r="A221" s="28"/>
      <c r="B221" s="29"/>
      <c r="C221" s="29"/>
      <c r="D221" s="29"/>
      <c r="E221" s="29"/>
      <c r="F221" s="27" t="str">
        <f aca="false">IFERROR(VLOOKUP(C221,利用者名簿!$A:$B,2,FALSE()),"")</f>
        <v/>
      </c>
    </row>
    <row r="222" customFormat="false" ht="15" hidden="false" customHeight="false" outlineLevel="0" collapsed="false">
      <c r="A222" s="28"/>
      <c r="B222" s="29"/>
      <c r="C222" s="29"/>
      <c r="D222" s="29"/>
      <c r="E222" s="29"/>
      <c r="F222" s="27" t="str">
        <f aca="false">IFERROR(VLOOKUP(C222,利用者名簿!$A:$B,2,FALSE()),"")</f>
        <v/>
      </c>
    </row>
    <row r="223" customFormat="false" ht="15" hidden="false" customHeight="false" outlineLevel="0" collapsed="false">
      <c r="A223" s="28"/>
      <c r="B223" s="29"/>
      <c r="C223" s="29"/>
      <c r="D223" s="29"/>
      <c r="E223" s="29"/>
      <c r="F223" s="27" t="str">
        <f aca="false">IFERROR(VLOOKUP(C223,利用者名簿!$A:$B,2,FALSE()),"")</f>
        <v/>
      </c>
    </row>
    <row r="224" customFormat="false" ht="15" hidden="false" customHeight="false" outlineLevel="0" collapsed="false">
      <c r="A224" s="28"/>
      <c r="B224" s="29"/>
      <c r="C224" s="29"/>
      <c r="D224" s="29"/>
      <c r="E224" s="29"/>
      <c r="F224" s="27" t="str">
        <f aca="false">IFERROR(VLOOKUP(C224,利用者名簿!$A:$B,2,FALSE()),"")</f>
        <v/>
      </c>
    </row>
    <row r="225" customFormat="false" ht="15" hidden="false" customHeight="false" outlineLevel="0" collapsed="false">
      <c r="A225" s="28"/>
      <c r="B225" s="29"/>
      <c r="C225" s="29"/>
      <c r="D225" s="29"/>
      <c r="E225" s="29"/>
      <c r="F225" s="27" t="str">
        <f aca="false">IFERROR(VLOOKUP(C225,利用者名簿!$A:$B,2,FALSE()),"")</f>
        <v/>
      </c>
    </row>
    <row r="226" customFormat="false" ht="15" hidden="false" customHeight="false" outlineLevel="0" collapsed="false">
      <c r="A226" s="28"/>
      <c r="B226" s="29"/>
      <c r="C226" s="29"/>
      <c r="D226" s="29"/>
      <c r="E226" s="29"/>
      <c r="F226" s="27" t="str">
        <f aca="false">IFERROR(VLOOKUP(C226,利用者名簿!$A:$B,2,FALSE()),"")</f>
        <v/>
      </c>
    </row>
    <row r="227" customFormat="false" ht="15" hidden="false" customHeight="false" outlineLevel="0" collapsed="false">
      <c r="A227" s="28"/>
      <c r="B227" s="29"/>
      <c r="C227" s="29"/>
      <c r="D227" s="29"/>
      <c r="E227" s="29"/>
      <c r="F227" s="27" t="str">
        <f aca="false">IFERROR(VLOOKUP(C227,利用者名簿!$A:$B,2,FALSE()),"")</f>
        <v/>
      </c>
    </row>
    <row r="228" customFormat="false" ht="15" hidden="false" customHeight="false" outlineLevel="0" collapsed="false">
      <c r="A228" s="28"/>
      <c r="B228" s="29"/>
      <c r="C228" s="29"/>
      <c r="D228" s="29"/>
      <c r="E228" s="29"/>
      <c r="F228" s="27" t="str">
        <f aca="false">IFERROR(VLOOKUP(C228,利用者名簿!$A:$B,2,FALSE()),"")</f>
        <v/>
      </c>
    </row>
    <row r="229" customFormat="false" ht="15" hidden="false" customHeight="false" outlineLevel="0" collapsed="false">
      <c r="A229" s="28"/>
      <c r="B229" s="29"/>
      <c r="C229" s="29"/>
      <c r="D229" s="29"/>
      <c r="E229" s="29"/>
      <c r="F229" s="27" t="str">
        <f aca="false">IFERROR(VLOOKUP(C229,利用者名簿!$A:$B,2,FALSE()),"")</f>
        <v/>
      </c>
    </row>
    <row r="230" customFormat="false" ht="15" hidden="false" customHeight="false" outlineLevel="0" collapsed="false">
      <c r="A230" s="28"/>
      <c r="B230" s="29"/>
      <c r="C230" s="29"/>
      <c r="D230" s="29"/>
      <c r="E230" s="29"/>
      <c r="F230" s="27" t="str">
        <f aca="false">IFERROR(VLOOKUP(C230,利用者名簿!$A:$B,2,FALSE()),"")</f>
        <v/>
      </c>
    </row>
    <row r="231" customFormat="false" ht="15" hidden="false" customHeight="false" outlineLevel="0" collapsed="false">
      <c r="A231" s="28"/>
      <c r="B231" s="29"/>
      <c r="C231" s="29"/>
      <c r="D231" s="29"/>
      <c r="E231" s="29"/>
      <c r="F231" s="27" t="str">
        <f aca="false">IFERROR(VLOOKUP(C231,利用者名簿!$A:$B,2,FALSE()),"")</f>
        <v/>
      </c>
    </row>
    <row r="232" customFormat="false" ht="15" hidden="false" customHeight="false" outlineLevel="0" collapsed="false">
      <c r="A232" s="28"/>
      <c r="B232" s="29"/>
      <c r="C232" s="29"/>
      <c r="D232" s="29"/>
      <c r="E232" s="29"/>
      <c r="F232" s="27" t="str">
        <f aca="false">IFERROR(VLOOKUP(C232,利用者名簿!$A:$B,2,FALSE()),"")</f>
        <v/>
      </c>
    </row>
    <row r="233" customFormat="false" ht="15" hidden="false" customHeight="false" outlineLevel="0" collapsed="false">
      <c r="A233" s="28"/>
      <c r="B233" s="29"/>
      <c r="C233" s="29"/>
      <c r="D233" s="29"/>
      <c r="E233" s="29"/>
      <c r="F233" s="27" t="str">
        <f aca="false">IFERROR(VLOOKUP(C233,利用者名簿!$A:$B,2,FALSE()),"")</f>
        <v/>
      </c>
    </row>
    <row r="234" customFormat="false" ht="15" hidden="false" customHeight="false" outlineLevel="0" collapsed="false">
      <c r="A234" s="28"/>
      <c r="B234" s="29"/>
      <c r="C234" s="29"/>
      <c r="D234" s="29"/>
      <c r="E234" s="29"/>
      <c r="F234" s="27" t="str">
        <f aca="false">IFERROR(VLOOKUP(C234,利用者名簿!$A:$B,2,FALSE()),"")</f>
        <v/>
      </c>
    </row>
    <row r="235" customFormat="false" ht="15" hidden="false" customHeight="false" outlineLevel="0" collapsed="false">
      <c r="A235" s="28"/>
      <c r="B235" s="29"/>
      <c r="C235" s="29"/>
      <c r="D235" s="29"/>
      <c r="E235" s="29"/>
      <c r="F235" s="27" t="str">
        <f aca="false">IFERROR(VLOOKUP(C235,利用者名簿!$A:$B,2,FALSE()),"")</f>
        <v/>
      </c>
    </row>
    <row r="236" customFormat="false" ht="15" hidden="false" customHeight="false" outlineLevel="0" collapsed="false">
      <c r="A236" s="28"/>
      <c r="B236" s="29"/>
      <c r="C236" s="29"/>
      <c r="D236" s="29"/>
      <c r="E236" s="29"/>
      <c r="F236" s="27" t="str">
        <f aca="false">IFERROR(VLOOKUP(C236,利用者名簿!$A:$B,2,FALSE()),"")</f>
        <v/>
      </c>
    </row>
    <row r="237" customFormat="false" ht="15" hidden="false" customHeight="false" outlineLevel="0" collapsed="false">
      <c r="A237" s="28"/>
      <c r="B237" s="29"/>
      <c r="C237" s="29"/>
      <c r="D237" s="29"/>
      <c r="E237" s="29"/>
      <c r="F237" s="27" t="str">
        <f aca="false">IFERROR(VLOOKUP(C237,利用者名簿!$A:$B,2,FALSE()),"")</f>
        <v/>
      </c>
    </row>
    <row r="238" customFormat="false" ht="15" hidden="false" customHeight="false" outlineLevel="0" collapsed="false">
      <c r="A238" s="28"/>
      <c r="B238" s="29"/>
      <c r="C238" s="29"/>
      <c r="D238" s="29"/>
      <c r="E238" s="29"/>
      <c r="F238" s="27" t="str">
        <f aca="false">IFERROR(VLOOKUP(C238,利用者名簿!$A:$B,2,FALSE()),"")</f>
        <v/>
      </c>
    </row>
    <row r="239" customFormat="false" ht="15" hidden="false" customHeight="false" outlineLevel="0" collapsed="false">
      <c r="A239" s="28"/>
      <c r="B239" s="29"/>
      <c r="C239" s="29"/>
      <c r="D239" s="29"/>
      <c r="E239" s="29"/>
      <c r="F239" s="27" t="str">
        <f aca="false">IFERROR(VLOOKUP(C239,利用者名簿!$A:$B,2,FALSE()),"")</f>
        <v/>
      </c>
    </row>
    <row r="240" customFormat="false" ht="15" hidden="false" customHeight="false" outlineLevel="0" collapsed="false">
      <c r="A240" s="28"/>
      <c r="B240" s="29"/>
      <c r="C240" s="29"/>
      <c r="D240" s="29"/>
      <c r="E240" s="29"/>
      <c r="F240" s="27" t="str">
        <f aca="false">IFERROR(VLOOKUP(C240,利用者名簿!$A:$B,2,FALSE()),"")</f>
        <v/>
      </c>
    </row>
    <row r="241" customFormat="false" ht="15" hidden="false" customHeight="false" outlineLevel="0" collapsed="false">
      <c r="A241" s="28"/>
      <c r="B241" s="29"/>
      <c r="C241" s="29"/>
      <c r="D241" s="29"/>
      <c r="E241" s="29"/>
      <c r="F241" s="27" t="str">
        <f aca="false">IFERROR(VLOOKUP(C241,利用者名簿!$A:$B,2,FALSE()),"")</f>
        <v/>
      </c>
    </row>
    <row r="242" customFormat="false" ht="15" hidden="false" customHeight="false" outlineLevel="0" collapsed="false">
      <c r="A242" s="28"/>
      <c r="B242" s="29"/>
      <c r="C242" s="29"/>
      <c r="D242" s="29"/>
      <c r="E242" s="29"/>
      <c r="F242" s="27" t="str">
        <f aca="false">IFERROR(VLOOKUP(C242,利用者名簿!$A:$B,2,FALSE()),"")</f>
        <v/>
      </c>
    </row>
    <row r="243" customFormat="false" ht="15" hidden="false" customHeight="false" outlineLevel="0" collapsed="false">
      <c r="A243" s="28"/>
      <c r="B243" s="29"/>
      <c r="C243" s="29"/>
      <c r="D243" s="29"/>
      <c r="E243" s="29"/>
      <c r="F243" s="27" t="str">
        <f aca="false">IFERROR(VLOOKUP(C243,利用者名簿!$A:$B,2,FALSE()),"")</f>
        <v/>
      </c>
    </row>
    <row r="244" customFormat="false" ht="15" hidden="false" customHeight="false" outlineLevel="0" collapsed="false">
      <c r="A244" s="28"/>
      <c r="B244" s="29"/>
      <c r="C244" s="29"/>
      <c r="D244" s="29"/>
      <c r="E244" s="29"/>
      <c r="F244" s="27" t="str">
        <f aca="false">IFERROR(VLOOKUP(C244,利用者名簿!$A:$B,2,FALSE()),"")</f>
        <v/>
      </c>
    </row>
    <row r="245" customFormat="false" ht="15" hidden="false" customHeight="false" outlineLevel="0" collapsed="false">
      <c r="A245" s="28"/>
      <c r="B245" s="29"/>
      <c r="C245" s="29"/>
      <c r="D245" s="29"/>
      <c r="E245" s="29"/>
      <c r="F245" s="27" t="str">
        <f aca="false">IFERROR(VLOOKUP(C245,利用者名簿!$A:$B,2,FALSE()),"")</f>
        <v/>
      </c>
    </row>
    <row r="246" customFormat="false" ht="15" hidden="false" customHeight="false" outlineLevel="0" collapsed="false">
      <c r="A246" s="28"/>
      <c r="B246" s="29"/>
      <c r="C246" s="29"/>
      <c r="D246" s="29"/>
      <c r="E246" s="29"/>
      <c r="F246" s="27" t="str">
        <f aca="false">IFERROR(VLOOKUP(C246,利用者名簿!$A:$B,2,FALSE()),"")</f>
        <v/>
      </c>
    </row>
    <row r="247" customFormat="false" ht="15" hidden="false" customHeight="false" outlineLevel="0" collapsed="false">
      <c r="A247" s="28"/>
      <c r="B247" s="29"/>
      <c r="C247" s="29"/>
      <c r="D247" s="29"/>
      <c r="E247" s="29"/>
      <c r="F247" s="27" t="str">
        <f aca="false">IFERROR(VLOOKUP(C247,利用者名簿!$A:$B,2,FALSE()),"")</f>
        <v/>
      </c>
    </row>
    <row r="248" customFormat="false" ht="15" hidden="false" customHeight="false" outlineLevel="0" collapsed="false">
      <c r="A248" s="28"/>
      <c r="B248" s="29"/>
      <c r="C248" s="29"/>
      <c r="D248" s="29"/>
      <c r="E248" s="29"/>
      <c r="F248" s="27" t="str">
        <f aca="false">IFERROR(VLOOKUP(C248,利用者名簿!$A:$B,2,FALSE()),"")</f>
        <v/>
      </c>
    </row>
    <row r="249" customFormat="false" ht="15" hidden="false" customHeight="false" outlineLevel="0" collapsed="false">
      <c r="A249" s="28"/>
      <c r="B249" s="29"/>
      <c r="C249" s="29"/>
      <c r="D249" s="29"/>
      <c r="E249" s="29"/>
      <c r="F249" s="27" t="str">
        <f aca="false">IFERROR(VLOOKUP(C249,利用者名簿!$A:$B,2,FALSE()),"")</f>
        <v/>
      </c>
    </row>
    <row r="250" customFormat="false" ht="15" hidden="false" customHeight="false" outlineLevel="0" collapsed="false">
      <c r="A250" s="28"/>
      <c r="B250" s="29"/>
      <c r="C250" s="29"/>
      <c r="D250" s="29"/>
      <c r="E250" s="29"/>
      <c r="F250" s="27" t="str">
        <f aca="false">IFERROR(VLOOKUP(C250,利用者名簿!$A:$B,2,FALSE()),"")</f>
        <v/>
      </c>
    </row>
    <row r="251" customFormat="false" ht="15" hidden="false" customHeight="false" outlineLevel="0" collapsed="false">
      <c r="A251" s="28"/>
      <c r="B251" s="29"/>
      <c r="C251" s="29"/>
      <c r="D251" s="29"/>
      <c r="E251" s="29"/>
      <c r="F251" s="27" t="str">
        <f aca="false">IFERROR(VLOOKUP(C251,利用者名簿!$A:$B,2,FALSE()),"")</f>
        <v/>
      </c>
    </row>
    <row r="252" customFormat="false" ht="15" hidden="false" customHeight="false" outlineLevel="0" collapsed="false">
      <c r="A252" s="28"/>
      <c r="B252" s="29"/>
      <c r="C252" s="29"/>
      <c r="D252" s="29"/>
      <c r="E252" s="29"/>
      <c r="F252" s="27" t="str">
        <f aca="false">IFERROR(VLOOKUP(C252,利用者名簿!$A:$B,2,FALSE()),"")</f>
        <v/>
      </c>
    </row>
    <row r="253" customFormat="false" ht="15" hidden="false" customHeight="false" outlineLevel="0" collapsed="false">
      <c r="A253" s="28"/>
      <c r="B253" s="29"/>
      <c r="C253" s="29"/>
      <c r="D253" s="29"/>
      <c r="E253" s="29"/>
      <c r="F253" s="27" t="str">
        <f aca="false">IFERROR(VLOOKUP(C253,利用者名簿!$A:$B,2,FALSE()),"")</f>
        <v/>
      </c>
    </row>
    <row r="254" customFormat="false" ht="15" hidden="false" customHeight="false" outlineLevel="0" collapsed="false">
      <c r="A254" s="28"/>
      <c r="B254" s="29"/>
      <c r="C254" s="29"/>
      <c r="D254" s="29"/>
      <c r="E254" s="29"/>
      <c r="F254" s="27" t="str">
        <f aca="false">IFERROR(VLOOKUP(C254,利用者名簿!$A:$B,2,FALSE()),"")</f>
        <v/>
      </c>
    </row>
    <row r="255" customFormat="false" ht="15" hidden="false" customHeight="false" outlineLevel="0" collapsed="false">
      <c r="A255" s="28"/>
      <c r="B255" s="29"/>
      <c r="C255" s="29"/>
      <c r="D255" s="29"/>
      <c r="E255" s="29"/>
      <c r="F255" s="27" t="str">
        <f aca="false">IFERROR(VLOOKUP(C255,利用者名簿!$A:$B,2,FALSE()),"")</f>
        <v/>
      </c>
    </row>
    <row r="256" customFormat="false" ht="15" hidden="false" customHeight="false" outlineLevel="0" collapsed="false">
      <c r="A256" s="28"/>
      <c r="B256" s="29"/>
      <c r="C256" s="29"/>
      <c r="D256" s="29"/>
      <c r="E256" s="29"/>
      <c r="F256" s="27" t="str">
        <f aca="false">IFERROR(VLOOKUP(C256,利用者名簿!$A:$B,2,FALSE()),"")</f>
        <v/>
      </c>
    </row>
    <row r="257" customFormat="false" ht="15" hidden="false" customHeight="false" outlineLevel="0" collapsed="false">
      <c r="A257" s="28"/>
      <c r="B257" s="29"/>
      <c r="C257" s="29"/>
      <c r="D257" s="29"/>
      <c r="E257" s="29"/>
      <c r="F257" s="27" t="str">
        <f aca="false">IFERROR(VLOOKUP(C257,利用者名簿!$A:$B,2,FALSE()),"")</f>
        <v/>
      </c>
    </row>
    <row r="258" customFormat="false" ht="15" hidden="false" customHeight="false" outlineLevel="0" collapsed="false">
      <c r="A258" s="28"/>
      <c r="B258" s="29"/>
      <c r="C258" s="29"/>
      <c r="D258" s="29"/>
      <c r="E258" s="29"/>
      <c r="F258" s="27" t="str">
        <f aca="false">IFERROR(VLOOKUP(C258,利用者名簿!$A:$B,2,FALSE()),"")</f>
        <v/>
      </c>
    </row>
    <row r="259" customFormat="false" ht="15" hidden="false" customHeight="false" outlineLevel="0" collapsed="false">
      <c r="A259" s="28"/>
      <c r="B259" s="29"/>
      <c r="C259" s="29"/>
      <c r="D259" s="29"/>
      <c r="E259" s="29"/>
      <c r="F259" s="27" t="str">
        <f aca="false">IFERROR(VLOOKUP(C259,利用者名簿!$A:$B,2,FALSE()),"")</f>
        <v/>
      </c>
    </row>
    <row r="260" customFormat="false" ht="15" hidden="false" customHeight="false" outlineLevel="0" collapsed="false">
      <c r="A260" s="28"/>
      <c r="B260" s="29"/>
      <c r="C260" s="29"/>
      <c r="D260" s="29"/>
      <c r="E260" s="29"/>
      <c r="F260" s="27" t="str">
        <f aca="false">IFERROR(VLOOKUP(C260,利用者名簿!$A:$B,2,FALSE()),"")</f>
        <v/>
      </c>
    </row>
    <row r="261" customFormat="false" ht="15" hidden="false" customHeight="false" outlineLevel="0" collapsed="false">
      <c r="A261" s="28"/>
      <c r="B261" s="29"/>
      <c r="C261" s="29"/>
      <c r="D261" s="29"/>
      <c r="E261" s="29"/>
      <c r="F261" s="27" t="str">
        <f aca="false">IFERROR(VLOOKUP(C261,利用者名簿!$A:$B,2,FALSE()),"")</f>
        <v/>
      </c>
    </row>
    <row r="262" customFormat="false" ht="15" hidden="false" customHeight="false" outlineLevel="0" collapsed="false">
      <c r="A262" s="28"/>
      <c r="B262" s="29"/>
      <c r="C262" s="29"/>
      <c r="D262" s="29"/>
      <c r="E262" s="29"/>
      <c r="F262" s="27" t="str">
        <f aca="false">IFERROR(VLOOKUP(C262,利用者名簿!$A:$B,2,FALSE()),"")</f>
        <v/>
      </c>
    </row>
    <row r="263" customFormat="false" ht="15" hidden="false" customHeight="false" outlineLevel="0" collapsed="false">
      <c r="A263" s="28"/>
      <c r="B263" s="29"/>
      <c r="C263" s="29"/>
      <c r="D263" s="29"/>
      <c r="E263" s="29"/>
      <c r="F263" s="27" t="str">
        <f aca="false">IFERROR(VLOOKUP(C263,利用者名簿!$A:$B,2,FALSE()),"")</f>
        <v/>
      </c>
    </row>
    <row r="264" customFormat="false" ht="15" hidden="false" customHeight="false" outlineLevel="0" collapsed="false">
      <c r="A264" s="28"/>
      <c r="B264" s="29"/>
      <c r="C264" s="29"/>
      <c r="D264" s="29"/>
      <c r="E264" s="29"/>
      <c r="F264" s="27" t="str">
        <f aca="false">IFERROR(VLOOKUP(C264,利用者名簿!$A:$B,2,FALSE()),"")</f>
        <v/>
      </c>
    </row>
    <row r="265" customFormat="false" ht="15" hidden="false" customHeight="false" outlineLevel="0" collapsed="false">
      <c r="A265" s="28"/>
      <c r="B265" s="29"/>
      <c r="C265" s="29"/>
      <c r="D265" s="29"/>
      <c r="E265" s="29"/>
      <c r="F265" s="27" t="str">
        <f aca="false">IFERROR(VLOOKUP(C265,利用者名簿!$A:$B,2,FALSE()),"")</f>
        <v/>
      </c>
    </row>
    <row r="266" customFormat="false" ht="15" hidden="false" customHeight="false" outlineLevel="0" collapsed="false">
      <c r="A266" s="28"/>
      <c r="B266" s="29"/>
      <c r="C266" s="29"/>
      <c r="D266" s="29"/>
      <c r="E266" s="29"/>
      <c r="F266" s="27" t="str">
        <f aca="false">IFERROR(VLOOKUP(C266,利用者名簿!$A:$B,2,FALSE()),"")</f>
        <v/>
      </c>
    </row>
    <row r="267" customFormat="false" ht="15" hidden="false" customHeight="false" outlineLevel="0" collapsed="false">
      <c r="A267" s="28"/>
      <c r="B267" s="29"/>
      <c r="C267" s="29"/>
      <c r="D267" s="29"/>
      <c r="E267" s="29"/>
      <c r="F267" s="27" t="str">
        <f aca="false">IFERROR(VLOOKUP(C267,利用者名簿!$A:$B,2,FALSE()),"")</f>
        <v/>
      </c>
    </row>
    <row r="268" customFormat="false" ht="15" hidden="false" customHeight="false" outlineLevel="0" collapsed="false">
      <c r="A268" s="28"/>
      <c r="B268" s="29"/>
      <c r="C268" s="29"/>
      <c r="D268" s="29"/>
      <c r="E268" s="29"/>
      <c r="F268" s="27" t="str">
        <f aca="false">IFERROR(VLOOKUP(C268,利用者名簿!$A:$B,2,FALSE()),"")</f>
        <v/>
      </c>
    </row>
    <row r="269" customFormat="false" ht="15" hidden="false" customHeight="false" outlineLevel="0" collapsed="false">
      <c r="A269" s="28"/>
      <c r="B269" s="29"/>
      <c r="C269" s="29"/>
      <c r="D269" s="29"/>
      <c r="E269" s="29"/>
      <c r="F269" s="27" t="str">
        <f aca="false">IFERROR(VLOOKUP(C269,利用者名簿!$A:$B,2,FALSE()),"")</f>
        <v/>
      </c>
    </row>
    <row r="270" customFormat="false" ht="15" hidden="false" customHeight="false" outlineLevel="0" collapsed="false">
      <c r="A270" s="28"/>
      <c r="B270" s="29"/>
      <c r="C270" s="29"/>
      <c r="D270" s="29"/>
      <c r="E270" s="29"/>
      <c r="F270" s="27" t="str">
        <f aca="false">IFERROR(VLOOKUP(C270,利用者名簿!$A:$B,2,FALSE()),"")</f>
        <v/>
      </c>
    </row>
    <row r="271" customFormat="false" ht="15" hidden="false" customHeight="false" outlineLevel="0" collapsed="false">
      <c r="A271" s="28"/>
      <c r="B271" s="29"/>
      <c r="C271" s="29"/>
      <c r="D271" s="29"/>
      <c r="E271" s="29"/>
      <c r="F271" s="27" t="str">
        <f aca="false">IFERROR(VLOOKUP(C271,利用者名簿!$A:$B,2,FALSE()),"")</f>
        <v/>
      </c>
    </row>
    <row r="272" customFormat="false" ht="15" hidden="false" customHeight="false" outlineLevel="0" collapsed="false">
      <c r="A272" s="28"/>
      <c r="B272" s="29"/>
      <c r="C272" s="29"/>
      <c r="D272" s="29"/>
      <c r="E272" s="29"/>
      <c r="F272" s="27" t="str">
        <f aca="false">IFERROR(VLOOKUP(C272,利用者名簿!$A:$B,2,FALSE()),"")</f>
        <v/>
      </c>
    </row>
    <row r="273" customFormat="false" ht="15" hidden="false" customHeight="false" outlineLevel="0" collapsed="false">
      <c r="A273" s="28"/>
      <c r="B273" s="29"/>
      <c r="C273" s="29"/>
      <c r="D273" s="29"/>
      <c r="E273" s="29"/>
      <c r="F273" s="27" t="str">
        <f aca="false">IFERROR(VLOOKUP(C273,利用者名簿!$A:$B,2,FALSE()),"")</f>
        <v/>
      </c>
    </row>
    <row r="274" customFormat="false" ht="15" hidden="false" customHeight="false" outlineLevel="0" collapsed="false">
      <c r="A274" s="28"/>
      <c r="B274" s="29"/>
      <c r="C274" s="29"/>
      <c r="D274" s="29"/>
      <c r="E274" s="29"/>
      <c r="F274" s="27" t="str">
        <f aca="false">IFERROR(VLOOKUP(C274,利用者名簿!$A:$B,2,FALSE()),"")</f>
        <v/>
      </c>
    </row>
    <row r="275" customFormat="false" ht="15" hidden="false" customHeight="false" outlineLevel="0" collapsed="false">
      <c r="A275" s="28"/>
      <c r="B275" s="29"/>
      <c r="C275" s="29"/>
      <c r="D275" s="29"/>
      <c r="E275" s="29"/>
      <c r="F275" s="27" t="str">
        <f aca="false">IFERROR(VLOOKUP(C275,利用者名簿!$A:$B,2,FALSE()),"")</f>
        <v/>
      </c>
    </row>
    <row r="276" customFormat="false" ht="15" hidden="false" customHeight="false" outlineLevel="0" collapsed="false">
      <c r="A276" s="28"/>
      <c r="B276" s="29"/>
      <c r="C276" s="29"/>
      <c r="D276" s="29"/>
      <c r="E276" s="29"/>
      <c r="F276" s="27" t="str">
        <f aca="false">IFERROR(VLOOKUP(C276,利用者名簿!$A:$B,2,FALSE()),"")</f>
        <v/>
      </c>
    </row>
    <row r="277" customFormat="false" ht="15" hidden="false" customHeight="false" outlineLevel="0" collapsed="false">
      <c r="A277" s="28"/>
      <c r="B277" s="29"/>
      <c r="C277" s="29"/>
      <c r="D277" s="29"/>
      <c r="E277" s="29"/>
      <c r="F277" s="27" t="str">
        <f aca="false">IFERROR(VLOOKUP(C277,利用者名簿!$A:$B,2,FALSE()),"")</f>
        <v/>
      </c>
    </row>
    <row r="278" customFormat="false" ht="15" hidden="false" customHeight="false" outlineLevel="0" collapsed="false">
      <c r="A278" s="28"/>
      <c r="B278" s="29"/>
      <c r="C278" s="29"/>
      <c r="D278" s="29"/>
      <c r="E278" s="29"/>
      <c r="F278" s="27" t="str">
        <f aca="false">IFERROR(VLOOKUP(C278,利用者名簿!$A:$B,2,FALSE()),"")</f>
        <v/>
      </c>
    </row>
    <row r="279" customFormat="false" ht="15" hidden="false" customHeight="false" outlineLevel="0" collapsed="false">
      <c r="A279" s="28"/>
      <c r="B279" s="29"/>
      <c r="C279" s="29"/>
      <c r="D279" s="29"/>
      <c r="E279" s="29"/>
      <c r="F279" s="27" t="str">
        <f aca="false">IFERROR(VLOOKUP(C279,利用者名簿!$A:$B,2,FALSE()),"")</f>
        <v/>
      </c>
    </row>
    <row r="280" customFormat="false" ht="15" hidden="false" customHeight="false" outlineLevel="0" collapsed="false">
      <c r="A280" s="28"/>
      <c r="B280" s="29"/>
      <c r="C280" s="29"/>
      <c r="D280" s="29"/>
      <c r="E280" s="29"/>
      <c r="F280" s="27" t="str">
        <f aca="false">IFERROR(VLOOKUP(C280,利用者名簿!$A:$B,2,FALSE()),"")</f>
        <v/>
      </c>
    </row>
    <row r="281" customFormat="false" ht="15" hidden="false" customHeight="false" outlineLevel="0" collapsed="false">
      <c r="A281" s="28"/>
      <c r="B281" s="29"/>
      <c r="C281" s="29"/>
      <c r="D281" s="29"/>
      <c r="E281" s="29"/>
      <c r="F281" s="27" t="str">
        <f aca="false">IFERROR(VLOOKUP(C281,利用者名簿!$A:$B,2,FALSE()),"")</f>
        <v/>
      </c>
    </row>
    <row r="282" customFormat="false" ht="15" hidden="false" customHeight="false" outlineLevel="0" collapsed="false">
      <c r="A282" s="28"/>
      <c r="B282" s="29"/>
      <c r="C282" s="29"/>
      <c r="D282" s="29"/>
      <c r="E282" s="29"/>
      <c r="F282" s="27" t="str">
        <f aca="false">IFERROR(VLOOKUP(C282,利用者名簿!$A:$B,2,FALSE()),"")</f>
        <v/>
      </c>
    </row>
    <row r="283" customFormat="false" ht="15" hidden="false" customHeight="false" outlineLevel="0" collapsed="false">
      <c r="A283" s="28"/>
      <c r="B283" s="29"/>
      <c r="C283" s="29"/>
      <c r="D283" s="29"/>
      <c r="E283" s="29"/>
      <c r="F283" s="27" t="str">
        <f aca="false">IFERROR(VLOOKUP(C283,利用者名簿!$A:$B,2,FALSE()),"")</f>
        <v/>
      </c>
    </row>
    <row r="284" customFormat="false" ht="15" hidden="false" customHeight="false" outlineLevel="0" collapsed="false">
      <c r="A284" s="28"/>
      <c r="B284" s="29"/>
      <c r="C284" s="29"/>
      <c r="D284" s="29"/>
      <c r="E284" s="29"/>
      <c r="F284" s="27" t="str">
        <f aca="false">IFERROR(VLOOKUP(C284,利用者名簿!$A:$B,2,FALSE()),"")</f>
        <v/>
      </c>
    </row>
    <row r="285" customFormat="false" ht="15" hidden="false" customHeight="false" outlineLevel="0" collapsed="false">
      <c r="A285" s="28"/>
      <c r="B285" s="29"/>
      <c r="C285" s="29"/>
      <c r="D285" s="29"/>
      <c r="E285" s="29"/>
      <c r="F285" s="27" t="str">
        <f aca="false">IFERROR(VLOOKUP(C285,利用者名簿!$A:$B,2,FALSE()),"")</f>
        <v/>
      </c>
    </row>
    <row r="286" customFormat="false" ht="15" hidden="false" customHeight="false" outlineLevel="0" collapsed="false">
      <c r="A286" s="28"/>
      <c r="B286" s="29"/>
      <c r="C286" s="29"/>
      <c r="D286" s="29"/>
      <c r="E286" s="29"/>
      <c r="F286" s="27" t="str">
        <f aca="false">IFERROR(VLOOKUP(C286,利用者名簿!$A:$B,2,FALSE()),"")</f>
        <v/>
      </c>
    </row>
    <row r="287" customFormat="false" ht="15" hidden="false" customHeight="false" outlineLevel="0" collapsed="false">
      <c r="A287" s="28"/>
      <c r="B287" s="29"/>
      <c r="C287" s="29"/>
      <c r="D287" s="29"/>
      <c r="E287" s="29"/>
      <c r="F287" s="27" t="str">
        <f aca="false">IFERROR(VLOOKUP(C287,利用者名簿!$A:$B,2,FALSE()),"")</f>
        <v/>
      </c>
    </row>
    <row r="288" customFormat="false" ht="15" hidden="false" customHeight="false" outlineLevel="0" collapsed="false">
      <c r="A288" s="28"/>
      <c r="B288" s="29"/>
      <c r="C288" s="29"/>
      <c r="D288" s="29"/>
      <c r="E288" s="29"/>
      <c r="F288" s="27" t="str">
        <f aca="false">IFERROR(VLOOKUP(C288,利用者名簿!$A:$B,2,FALSE()),"")</f>
        <v/>
      </c>
    </row>
    <row r="289" customFormat="false" ht="15" hidden="false" customHeight="false" outlineLevel="0" collapsed="false">
      <c r="A289" s="28"/>
      <c r="B289" s="29"/>
      <c r="C289" s="29"/>
      <c r="D289" s="29"/>
      <c r="E289" s="29"/>
      <c r="F289" s="27" t="str">
        <f aca="false">IFERROR(VLOOKUP(C289,利用者名簿!$A:$B,2,FALSE()),"")</f>
        <v/>
      </c>
    </row>
    <row r="290" customFormat="false" ht="15" hidden="false" customHeight="false" outlineLevel="0" collapsed="false">
      <c r="A290" s="28"/>
      <c r="B290" s="29"/>
      <c r="C290" s="29"/>
      <c r="D290" s="29"/>
      <c r="E290" s="29"/>
      <c r="F290" s="27" t="str">
        <f aca="false">IFERROR(VLOOKUP(C290,利用者名簿!$A:$B,2,FALSE()),"")</f>
        <v/>
      </c>
    </row>
    <row r="291" customFormat="false" ht="15" hidden="false" customHeight="false" outlineLevel="0" collapsed="false">
      <c r="A291" s="28"/>
      <c r="B291" s="29"/>
      <c r="C291" s="29"/>
      <c r="D291" s="29"/>
      <c r="E291" s="29"/>
      <c r="F291" s="27" t="str">
        <f aca="false">IFERROR(VLOOKUP(C291,利用者名簿!$A:$B,2,FALSE()),"")</f>
        <v/>
      </c>
    </row>
    <row r="292" customFormat="false" ht="15" hidden="false" customHeight="false" outlineLevel="0" collapsed="false">
      <c r="A292" s="28"/>
      <c r="B292" s="29"/>
      <c r="C292" s="29"/>
      <c r="D292" s="29"/>
      <c r="E292" s="29"/>
      <c r="F292" s="27" t="str">
        <f aca="false">IFERROR(VLOOKUP(C292,利用者名簿!$A:$B,2,FALSE()),"")</f>
        <v/>
      </c>
    </row>
    <row r="293" customFormat="false" ht="15" hidden="false" customHeight="false" outlineLevel="0" collapsed="false">
      <c r="A293" s="28"/>
      <c r="B293" s="29"/>
      <c r="C293" s="29"/>
      <c r="D293" s="29"/>
      <c r="E293" s="29"/>
      <c r="F293" s="27" t="str">
        <f aca="false">IFERROR(VLOOKUP(C293,利用者名簿!$A:$B,2,FALSE()),"")</f>
        <v/>
      </c>
    </row>
    <row r="294" customFormat="false" ht="15" hidden="false" customHeight="false" outlineLevel="0" collapsed="false">
      <c r="A294" s="28"/>
      <c r="B294" s="29"/>
      <c r="C294" s="29"/>
      <c r="D294" s="29"/>
      <c r="E294" s="29"/>
      <c r="F294" s="27" t="str">
        <f aca="false">IFERROR(VLOOKUP(C294,利用者名簿!$A:$B,2,FALSE()),"")</f>
        <v/>
      </c>
    </row>
    <row r="295" customFormat="false" ht="15" hidden="false" customHeight="false" outlineLevel="0" collapsed="false">
      <c r="A295" s="28"/>
      <c r="B295" s="29"/>
      <c r="C295" s="29"/>
      <c r="D295" s="29"/>
      <c r="E295" s="29"/>
      <c r="F295" s="27" t="str">
        <f aca="false">IFERROR(VLOOKUP(C295,利用者名簿!$A:$B,2,FALSE()),"")</f>
        <v/>
      </c>
    </row>
    <row r="296" customFormat="false" ht="15" hidden="false" customHeight="false" outlineLevel="0" collapsed="false">
      <c r="A296" s="28"/>
      <c r="B296" s="29"/>
      <c r="C296" s="29"/>
      <c r="D296" s="29"/>
      <c r="E296" s="29"/>
      <c r="F296" s="27" t="str">
        <f aca="false">IFERROR(VLOOKUP(C296,利用者名簿!$A:$B,2,FALSE()),"")</f>
        <v/>
      </c>
    </row>
    <row r="297" customFormat="false" ht="15" hidden="false" customHeight="false" outlineLevel="0" collapsed="false">
      <c r="A297" s="28"/>
      <c r="B297" s="29"/>
      <c r="C297" s="29"/>
      <c r="D297" s="29"/>
      <c r="E297" s="29"/>
      <c r="F297" s="27" t="str">
        <f aca="false">IFERROR(VLOOKUP(C297,利用者名簿!$A:$B,2,FALSE()),"")</f>
        <v/>
      </c>
    </row>
    <row r="298" customFormat="false" ht="15" hidden="false" customHeight="false" outlineLevel="0" collapsed="false">
      <c r="A298" s="28"/>
      <c r="B298" s="29"/>
      <c r="C298" s="29"/>
      <c r="D298" s="29"/>
      <c r="E298" s="29"/>
      <c r="F298" s="27" t="str">
        <f aca="false">IFERROR(VLOOKUP(C298,利用者名簿!$A:$B,2,FALSE()),"")</f>
        <v/>
      </c>
    </row>
    <row r="299" customFormat="false" ht="15" hidden="false" customHeight="false" outlineLevel="0" collapsed="false">
      <c r="A299" s="28"/>
      <c r="B299" s="29"/>
      <c r="C299" s="29"/>
      <c r="D299" s="29"/>
      <c r="E299" s="29"/>
      <c r="F299" s="27" t="str">
        <f aca="false">IFERROR(VLOOKUP(C299,利用者名簿!$A:$B,2,FALSE()),"")</f>
        <v/>
      </c>
    </row>
    <row r="300" customFormat="false" ht="15" hidden="false" customHeight="false" outlineLevel="0" collapsed="false">
      <c r="A300" s="28"/>
      <c r="B300" s="29"/>
      <c r="C300" s="29"/>
      <c r="D300" s="29"/>
      <c r="E300" s="29"/>
      <c r="F300" s="27" t="str">
        <f aca="false">IFERROR(VLOOKUP(C300,利用者名簿!$A:$B,2,FALSE()),"")</f>
        <v/>
      </c>
    </row>
    <row r="301" customFormat="false" ht="15" hidden="false" customHeight="false" outlineLevel="0" collapsed="false">
      <c r="A301" s="28"/>
      <c r="B301" s="29"/>
      <c r="C301" s="29"/>
      <c r="D301" s="29"/>
      <c r="E301" s="29"/>
      <c r="F301" s="27" t="str">
        <f aca="false">IFERROR(VLOOKUP(C301,利用者名簿!$A:$B,2,FALSE()),"")</f>
        <v/>
      </c>
    </row>
    <row r="302" customFormat="false" ht="15" hidden="false" customHeight="false" outlineLevel="0" collapsed="false">
      <c r="A302" s="28"/>
      <c r="B302" s="29"/>
      <c r="C302" s="29"/>
      <c r="D302" s="29"/>
      <c r="E302" s="29"/>
      <c r="F302" s="27" t="str">
        <f aca="false">IFERROR(VLOOKUP(C302,利用者名簿!$A:$B,2,FALSE()),"")</f>
        <v/>
      </c>
    </row>
    <row r="303" customFormat="false" ht="15" hidden="false" customHeight="false" outlineLevel="0" collapsed="false">
      <c r="A303" s="28"/>
      <c r="B303" s="29"/>
      <c r="C303" s="29"/>
      <c r="D303" s="29"/>
      <c r="E303" s="29"/>
      <c r="F303" s="27" t="str">
        <f aca="false">IFERROR(VLOOKUP(C303,利用者名簿!$A:$B,2,FALSE()),"")</f>
        <v/>
      </c>
    </row>
    <row r="304" customFormat="false" ht="15" hidden="false" customHeight="false" outlineLevel="0" collapsed="false">
      <c r="A304" s="28"/>
      <c r="B304" s="29"/>
      <c r="C304" s="29"/>
      <c r="D304" s="29"/>
      <c r="E304" s="29"/>
      <c r="F304" s="27" t="str">
        <f aca="false">IFERROR(VLOOKUP(C304,利用者名簿!$A:$B,2,FALSE()),"")</f>
        <v/>
      </c>
    </row>
    <row r="305" customFormat="false" ht="15" hidden="false" customHeight="false" outlineLevel="0" collapsed="false">
      <c r="A305" s="28"/>
      <c r="B305" s="29"/>
      <c r="C305" s="29"/>
      <c r="D305" s="29"/>
      <c r="E305" s="29"/>
      <c r="F305" s="27" t="str">
        <f aca="false">IFERROR(VLOOKUP(C305,利用者名簿!$A:$B,2,FALSE()),"")</f>
        <v/>
      </c>
    </row>
    <row r="306" customFormat="false" ht="15" hidden="false" customHeight="false" outlineLevel="0" collapsed="false">
      <c r="A306" s="28"/>
      <c r="B306" s="29"/>
      <c r="C306" s="29"/>
      <c r="D306" s="29"/>
      <c r="E306" s="29"/>
      <c r="F306" s="27" t="str">
        <f aca="false">IFERROR(VLOOKUP(C306,利用者名簿!$A:$B,2,FALSE()),"")</f>
        <v/>
      </c>
    </row>
    <row r="307" customFormat="false" ht="15" hidden="false" customHeight="false" outlineLevel="0" collapsed="false">
      <c r="A307" s="28"/>
      <c r="B307" s="29"/>
      <c r="C307" s="29"/>
      <c r="D307" s="29"/>
      <c r="E307" s="29"/>
      <c r="F307" s="27" t="str">
        <f aca="false">IFERROR(VLOOKUP(C307,利用者名簿!$A:$B,2,FALSE()),"")</f>
        <v/>
      </c>
    </row>
    <row r="308" customFormat="false" ht="15" hidden="false" customHeight="false" outlineLevel="0" collapsed="false">
      <c r="A308" s="28"/>
      <c r="B308" s="29"/>
      <c r="C308" s="29"/>
      <c r="D308" s="29"/>
      <c r="E308" s="29"/>
      <c r="F308" s="27" t="str">
        <f aca="false">IFERROR(VLOOKUP(C308,利用者名簿!$A:$B,2,FALSE()),"")</f>
        <v/>
      </c>
    </row>
    <row r="309" customFormat="false" ht="15" hidden="false" customHeight="false" outlineLevel="0" collapsed="false">
      <c r="A309" s="28"/>
      <c r="B309" s="29"/>
      <c r="C309" s="29"/>
      <c r="D309" s="29"/>
      <c r="E309" s="29"/>
      <c r="F309" s="27" t="str">
        <f aca="false">IFERROR(VLOOKUP(C309,利用者名簿!$A:$B,2,FALSE()),"")</f>
        <v/>
      </c>
    </row>
    <row r="310" customFormat="false" ht="15" hidden="false" customHeight="false" outlineLevel="0" collapsed="false">
      <c r="A310" s="28"/>
      <c r="B310" s="29"/>
      <c r="C310" s="29"/>
      <c r="D310" s="29"/>
      <c r="E310" s="29"/>
      <c r="F310" s="27" t="str">
        <f aca="false">IFERROR(VLOOKUP(C310,利用者名簿!$A:$B,2,FALSE()),"")</f>
        <v/>
      </c>
    </row>
    <row r="311" customFormat="false" ht="15" hidden="false" customHeight="false" outlineLevel="0" collapsed="false">
      <c r="A311" s="28"/>
      <c r="B311" s="29"/>
      <c r="C311" s="29"/>
      <c r="D311" s="29"/>
      <c r="E311" s="29"/>
      <c r="F311" s="27" t="str">
        <f aca="false">IFERROR(VLOOKUP(C311,利用者名簿!$A:$B,2,FALSE()),"")</f>
        <v/>
      </c>
    </row>
    <row r="312" customFormat="false" ht="15" hidden="false" customHeight="false" outlineLevel="0" collapsed="false">
      <c r="A312" s="28"/>
      <c r="B312" s="29"/>
      <c r="C312" s="29"/>
      <c r="D312" s="29"/>
      <c r="E312" s="29"/>
      <c r="F312" s="27" t="str">
        <f aca="false">IFERROR(VLOOKUP(C312,利用者名簿!$A:$B,2,FALSE()),"")</f>
        <v/>
      </c>
    </row>
    <row r="313" customFormat="false" ht="15" hidden="false" customHeight="false" outlineLevel="0" collapsed="false">
      <c r="A313" s="28"/>
      <c r="B313" s="29"/>
      <c r="C313" s="29"/>
      <c r="D313" s="29"/>
      <c r="E313" s="29"/>
      <c r="F313" s="27" t="str">
        <f aca="false">IFERROR(VLOOKUP(C313,利用者名簿!$A:$B,2,FALSE()),"")</f>
        <v/>
      </c>
    </row>
    <row r="314" customFormat="false" ht="15" hidden="false" customHeight="false" outlineLevel="0" collapsed="false">
      <c r="A314" s="28"/>
      <c r="B314" s="29"/>
      <c r="C314" s="29"/>
      <c r="D314" s="29"/>
      <c r="E314" s="29"/>
      <c r="F314" s="27" t="str">
        <f aca="false">IFERROR(VLOOKUP(C314,利用者名簿!$A:$B,2,FALSE()),"")</f>
        <v/>
      </c>
    </row>
    <row r="315" customFormat="false" ht="15" hidden="false" customHeight="false" outlineLevel="0" collapsed="false">
      <c r="A315" s="28"/>
      <c r="B315" s="29"/>
      <c r="C315" s="29"/>
      <c r="D315" s="29"/>
      <c r="E315" s="29"/>
      <c r="F315" s="27" t="str">
        <f aca="false">IFERROR(VLOOKUP(C315,利用者名簿!$A:$B,2,FALSE()),"")</f>
        <v/>
      </c>
    </row>
    <row r="316" customFormat="false" ht="15" hidden="false" customHeight="false" outlineLevel="0" collapsed="false">
      <c r="A316" s="28"/>
      <c r="B316" s="29"/>
      <c r="C316" s="29"/>
      <c r="D316" s="29"/>
      <c r="E316" s="29"/>
      <c r="F316" s="27" t="str">
        <f aca="false">IFERROR(VLOOKUP(C316,利用者名簿!$A:$B,2,FALSE()),"")</f>
        <v/>
      </c>
    </row>
    <row r="317" customFormat="false" ht="15" hidden="false" customHeight="false" outlineLevel="0" collapsed="false">
      <c r="A317" s="28"/>
      <c r="B317" s="29"/>
      <c r="C317" s="29"/>
      <c r="D317" s="29"/>
      <c r="E317" s="29"/>
      <c r="F317" s="27" t="str">
        <f aca="false">IFERROR(VLOOKUP(C317,利用者名簿!$A:$B,2,FALSE()),"")</f>
        <v/>
      </c>
    </row>
    <row r="318" customFormat="false" ht="15" hidden="false" customHeight="false" outlineLevel="0" collapsed="false">
      <c r="A318" s="28"/>
      <c r="B318" s="29"/>
      <c r="C318" s="29"/>
      <c r="D318" s="29"/>
      <c r="E318" s="29"/>
      <c r="F318" s="27" t="str">
        <f aca="false">IFERROR(VLOOKUP(C318,利用者名簿!$A:$B,2,FALSE()),"")</f>
        <v/>
      </c>
    </row>
    <row r="319" customFormat="false" ht="15" hidden="false" customHeight="false" outlineLevel="0" collapsed="false">
      <c r="A319" s="28"/>
      <c r="B319" s="29"/>
      <c r="C319" s="29"/>
      <c r="D319" s="29"/>
      <c r="E319" s="29"/>
      <c r="F319" s="27" t="str">
        <f aca="false">IFERROR(VLOOKUP(C319,利用者名簿!$A:$B,2,FALSE()),"")</f>
        <v/>
      </c>
    </row>
    <row r="320" customFormat="false" ht="15" hidden="false" customHeight="false" outlineLevel="0" collapsed="false">
      <c r="A320" s="28"/>
      <c r="B320" s="29"/>
      <c r="C320" s="29"/>
      <c r="D320" s="29"/>
      <c r="E320" s="29"/>
      <c r="F320" s="27" t="str">
        <f aca="false">IFERROR(VLOOKUP(C320,利用者名簿!$A:$B,2,FALSE()),"")</f>
        <v/>
      </c>
    </row>
    <row r="321" customFormat="false" ht="15" hidden="false" customHeight="false" outlineLevel="0" collapsed="false">
      <c r="A321" s="28"/>
      <c r="B321" s="29"/>
      <c r="C321" s="29"/>
      <c r="D321" s="29"/>
      <c r="E321" s="29"/>
      <c r="F321" s="27" t="str">
        <f aca="false">IFERROR(VLOOKUP(C321,利用者名簿!$A:$B,2,FALSE()),"")</f>
        <v/>
      </c>
    </row>
    <row r="322" customFormat="false" ht="15" hidden="false" customHeight="false" outlineLevel="0" collapsed="false">
      <c r="A322" s="28"/>
      <c r="B322" s="29"/>
      <c r="C322" s="29"/>
      <c r="D322" s="29"/>
      <c r="E322" s="29"/>
      <c r="F322" s="27" t="str">
        <f aca="false">IFERROR(VLOOKUP(C322,利用者名簿!$A:$B,2,FALSE()),"")</f>
        <v/>
      </c>
    </row>
    <row r="323" customFormat="false" ht="15" hidden="false" customHeight="false" outlineLevel="0" collapsed="false">
      <c r="A323" s="28"/>
      <c r="B323" s="29"/>
      <c r="C323" s="29"/>
      <c r="D323" s="29"/>
      <c r="E323" s="29"/>
      <c r="F323" s="27" t="str">
        <f aca="false">IFERROR(VLOOKUP(C323,利用者名簿!$A:$B,2,FALSE()),"")</f>
        <v/>
      </c>
    </row>
    <row r="324" customFormat="false" ht="15" hidden="false" customHeight="false" outlineLevel="0" collapsed="false">
      <c r="A324" s="28"/>
      <c r="B324" s="29"/>
      <c r="C324" s="29"/>
      <c r="D324" s="29"/>
      <c r="E324" s="29"/>
      <c r="F324" s="27" t="str">
        <f aca="false">IFERROR(VLOOKUP(C324,利用者名簿!$A:$B,2,FALSE()),"")</f>
        <v/>
      </c>
    </row>
    <row r="325" customFormat="false" ht="15" hidden="false" customHeight="false" outlineLevel="0" collapsed="false">
      <c r="A325" s="28"/>
      <c r="B325" s="29"/>
      <c r="C325" s="29"/>
      <c r="D325" s="29"/>
      <c r="E325" s="29"/>
      <c r="F325" s="27" t="str">
        <f aca="false">IFERROR(VLOOKUP(C325,利用者名簿!$A:$B,2,FALSE()),"")</f>
        <v/>
      </c>
    </row>
    <row r="326" customFormat="false" ht="15" hidden="false" customHeight="false" outlineLevel="0" collapsed="false">
      <c r="A326" s="28"/>
      <c r="B326" s="29"/>
      <c r="C326" s="29"/>
      <c r="D326" s="29"/>
      <c r="E326" s="29"/>
      <c r="F326" s="27" t="str">
        <f aca="false">IFERROR(VLOOKUP(C326,利用者名簿!$A:$B,2,FALSE()),"")</f>
        <v/>
      </c>
    </row>
    <row r="327" customFormat="false" ht="15" hidden="false" customHeight="false" outlineLevel="0" collapsed="false">
      <c r="A327" s="28"/>
      <c r="B327" s="29"/>
      <c r="C327" s="29"/>
      <c r="D327" s="29"/>
      <c r="E327" s="29"/>
      <c r="F327" s="27" t="str">
        <f aca="false">IFERROR(VLOOKUP(C327,利用者名簿!$A:$B,2,FALSE()),"")</f>
        <v/>
      </c>
    </row>
    <row r="328" customFormat="false" ht="15" hidden="false" customHeight="false" outlineLevel="0" collapsed="false">
      <c r="A328" s="28"/>
      <c r="B328" s="29"/>
      <c r="C328" s="29"/>
      <c r="D328" s="29"/>
      <c r="E328" s="29"/>
      <c r="F328" s="27" t="str">
        <f aca="false">IFERROR(VLOOKUP(C328,利用者名簿!$A:$B,2,FALSE()),"")</f>
        <v/>
      </c>
    </row>
    <row r="329" customFormat="false" ht="15" hidden="false" customHeight="false" outlineLevel="0" collapsed="false">
      <c r="A329" s="28"/>
      <c r="B329" s="29"/>
      <c r="C329" s="29"/>
      <c r="D329" s="29"/>
      <c r="E329" s="29"/>
      <c r="F329" s="27" t="str">
        <f aca="false">IFERROR(VLOOKUP(C329,利用者名簿!$A:$B,2,FALSE()),"")</f>
        <v/>
      </c>
    </row>
    <row r="330" customFormat="false" ht="15" hidden="false" customHeight="false" outlineLevel="0" collapsed="false">
      <c r="A330" s="28"/>
      <c r="B330" s="29"/>
      <c r="C330" s="29"/>
      <c r="D330" s="29"/>
      <c r="E330" s="29"/>
      <c r="F330" s="27" t="str">
        <f aca="false">IFERROR(VLOOKUP(C330,利用者名簿!$A:$B,2,FALSE()),"")</f>
        <v/>
      </c>
    </row>
    <row r="331" customFormat="false" ht="15" hidden="false" customHeight="false" outlineLevel="0" collapsed="false">
      <c r="A331" s="28"/>
      <c r="B331" s="29"/>
      <c r="C331" s="29"/>
      <c r="D331" s="29"/>
      <c r="E331" s="29"/>
      <c r="F331" s="27" t="str">
        <f aca="false">IFERROR(VLOOKUP(C331,利用者名簿!$A:$B,2,FALSE()),"")</f>
        <v/>
      </c>
    </row>
    <row r="332" customFormat="false" ht="15" hidden="false" customHeight="false" outlineLevel="0" collapsed="false">
      <c r="A332" s="28"/>
      <c r="B332" s="29"/>
      <c r="C332" s="29"/>
      <c r="D332" s="29"/>
      <c r="E332" s="29"/>
      <c r="F332" s="27" t="str">
        <f aca="false">IFERROR(VLOOKUP(C332,利用者名簿!$A:$B,2,FALSE()),"")</f>
        <v/>
      </c>
    </row>
    <row r="333" customFormat="false" ht="15" hidden="false" customHeight="false" outlineLevel="0" collapsed="false">
      <c r="A333" s="28"/>
      <c r="B333" s="29"/>
      <c r="C333" s="29"/>
      <c r="D333" s="29"/>
      <c r="E333" s="29"/>
      <c r="F333" s="27" t="str">
        <f aca="false">IFERROR(VLOOKUP(C333,利用者名簿!$A:$B,2,FALSE()),"")</f>
        <v/>
      </c>
    </row>
    <row r="334" customFormat="false" ht="15" hidden="false" customHeight="false" outlineLevel="0" collapsed="false">
      <c r="A334" s="28"/>
      <c r="B334" s="29"/>
      <c r="C334" s="29"/>
      <c r="D334" s="29"/>
      <c r="E334" s="29"/>
      <c r="F334" s="27" t="str">
        <f aca="false">IFERROR(VLOOKUP(C334,利用者名簿!$A:$B,2,FALSE()),"")</f>
        <v/>
      </c>
    </row>
    <row r="335" customFormat="false" ht="15" hidden="false" customHeight="false" outlineLevel="0" collapsed="false">
      <c r="A335" s="28"/>
      <c r="B335" s="29"/>
      <c r="C335" s="29"/>
      <c r="D335" s="29"/>
      <c r="E335" s="29"/>
      <c r="F335" s="27" t="str">
        <f aca="false">IFERROR(VLOOKUP(C335,利用者名簿!$A:$B,2,FALSE()),"")</f>
        <v/>
      </c>
    </row>
    <row r="336" customFormat="false" ht="15" hidden="false" customHeight="false" outlineLevel="0" collapsed="false">
      <c r="A336" s="28"/>
      <c r="B336" s="29"/>
      <c r="C336" s="29"/>
      <c r="D336" s="29"/>
      <c r="E336" s="29"/>
      <c r="F336" s="27" t="str">
        <f aca="false">IFERROR(VLOOKUP(C336,利用者名簿!$A:$B,2,FALSE()),"")</f>
        <v/>
      </c>
    </row>
    <row r="337" customFormat="false" ht="15" hidden="false" customHeight="false" outlineLevel="0" collapsed="false">
      <c r="A337" s="28"/>
      <c r="B337" s="29"/>
      <c r="C337" s="29"/>
      <c r="D337" s="29"/>
      <c r="E337" s="29"/>
      <c r="F337" s="27" t="str">
        <f aca="false">IFERROR(VLOOKUP(C337,利用者名簿!$A:$B,2,FALSE()),"")</f>
        <v/>
      </c>
    </row>
    <row r="338" customFormat="false" ht="15" hidden="false" customHeight="false" outlineLevel="0" collapsed="false">
      <c r="A338" s="28"/>
      <c r="B338" s="29"/>
      <c r="C338" s="29"/>
      <c r="D338" s="29"/>
      <c r="E338" s="29"/>
      <c r="F338" s="27" t="str">
        <f aca="false">IFERROR(VLOOKUP(C338,利用者名簿!$A:$B,2,FALSE()),"")</f>
        <v/>
      </c>
    </row>
    <row r="339" customFormat="false" ht="15" hidden="false" customHeight="false" outlineLevel="0" collapsed="false">
      <c r="A339" s="28"/>
      <c r="B339" s="29"/>
      <c r="C339" s="29"/>
      <c r="D339" s="29"/>
      <c r="E339" s="29"/>
      <c r="F339" s="27" t="str">
        <f aca="false">IFERROR(VLOOKUP(C339,利用者名簿!$A:$B,2,FALSE()),"")</f>
        <v/>
      </c>
    </row>
    <row r="340" customFormat="false" ht="15" hidden="false" customHeight="false" outlineLevel="0" collapsed="false">
      <c r="A340" s="28"/>
      <c r="B340" s="29"/>
      <c r="C340" s="29"/>
      <c r="D340" s="29"/>
      <c r="E340" s="29"/>
      <c r="F340" s="27" t="str">
        <f aca="false">IFERROR(VLOOKUP(C340,利用者名簿!$A:$B,2,FALSE()),"")</f>
        <v/>
      </c>
    </row>
    <row r="341" customFormat="false" ht="15" hidden="false" customHeight="false" outlineLevel="0" collapsed="false">
      <c r="A341" s="28"/>
      <c r="B341" s="29"/>
      <c r="C341" s="29"/>
      <c r="D341" s="29"/>
      <c r="E341" s="29"/>
      <c r="F341" s="27" t="str">
        <f aca="false">IFERROR(VLOOKUP(C341,利用者名簿!$A:$B,2,FALSE()),"")</f>
        <v/>
      </c>
    </row>
    <row r="342" customFormat="false" ht="15" hidden="false" customHeight="false" outlineLevel="0" collapsed="false">
      <c r="A342" s="28"/>
      <c r="B342" s="29"/>
      <c r="C342" s="29"/>
      <c r="D342" s="29"/>
      <c r="E342" s="29"/>
      <c r="F342" s="27" t="str">
        <f aca="false">IFERROR(VLOOKUP(C342,利用者名簿!$A:$B,2,FALSE()),"")</f>
        <v/>
      </c>
    </row>
    <row r="343" customFormat="false" ht="15" hidden="false" customHeight="false" outlineLevel="0" collapsed="false">
      <c r="A343" s="28"/>
      <c r="B343" s="29"/>
      <c r="C343" s="29"/>
      <c r="D343" s="29"/>
      <c r="E343" s="29"/>
      <c r="F343" s="27" t="str">
        <f aca="false">IFERROR(VLOOKUP(C343,利用者名簿!$A:$B,2,FALSE()),"")</f>
        <v/>
      </c>
    </row>
    <row r="344" customFormat="false" ht="15" hidden="false" customHeight="false" outlineLevel="0" collapsed="false">
      <c r="A344" s="28"/>
      <c r="B344" s="29"/>
      <c r="C344" s="29"/>
      <c r="D344" s="29"/>
      <c r="E344" s="29"/>
      <c r="F344" s="27" t="str">
        <f aca="false">IFERROR(VLOOKUP(C344,利用者名簿!$A:$B,2,FALSE()),"")</f>
        <v/>
      </c>
    </row>
    <row r="345" customFormat="false" ht="15" hidden="false" customHeight="false" outlineLevel="0" collapsed="false">
      <c r="A345" s="28"/>
      <c r="B345" s="29"/>
      <c r="C345" s="29"/>
      <c r="D345" s="29"/>
      <c r="E345" s="29"/>
      <c r="F345" s="27" t="str">
        <f aca="false">IFERROR(VLOOKUP(C345,利用者名簿!$A:$B,2,FALSE()),"")</f>
        <v/>
      </c>
    </row>
    <row r="346" customFormat="false" ht="15" hidden="false" customHeight="false" outlineLevel="0" collapsed="false">
      <c r="A346" s="28"/>
      <c r="B346" s="29"/>
      <c r="C346" s="29"/>
      <c r="D346" s="29"/>
      <c r="E346" s="29"/>
      <c r="F346" s="27" t="str">
        <f aca="false">IFERROR(VLOOKUP(C346,利用者名簿!$A:$B,2,FALSE()),"")</f>
        <v/>
      </c>
    </row>
    <row r="347" customFormat="false" ht="15" hidden="false" customHeight="false" outlineLevel="0" collapsed="false">
      <c r="A347" s="28"/>
      <c r="B347" s="29"/>
      <c r="C347" s="29"/>
      <c r="D347" s="29"/>
      <c r="E347" s="29"/>
      <c r="F347" s="27" t="str">
        <f aca="false">IFERROR(VLOOKUP(C347,利用者名簿!$A:$B,2,FALSE()),"")</f>
        <v/>
      </c>
    </row>
    <row r="348" customFormat="false" ht="15" hidden="false" customHeight="false" outlineLevel="0" collapsed="false">
      <c r="A348" s="28"/>
      <c r="B348" s="29"/>
      <c r="C348" s="29"/>
      <c r="D348" s="29"/>
      <c r="E348" s="29"/>
      <c r="F348" s="27" t="str">
        <f aca="false">IFERROR(VLOOKUP(C348,利用者名簿!$A:$B,2,FALSE()),"")</f>
        <v/>
      </c>
    </row>
    <row r="349" customFormat="false" ht="15" hidden="false" customHeight="false" outlineLevel="0" collapsed="false">
      <c r="A349" s="28"/>
      <c r="B349" s="29"/>
      <c r="C349" s="29"/>
      <c r="D349" s="29"/>
      <c r="E349" s="29"/>
      <c r="F349" s="27" t="str">
        <f aca="false">IFERROR(VLOOKUP(C349,利用者名簿!$A:$B,2,FALSE()),"")</f>
        <v/>
      </c>
    </row>
    <row r="350" customFormat="false" ht="15" hidden="false" customHeight="false" outlineLevel="0" collapsed="false">
      <c r="A350" s="28"/>
      <c r="B350" s="29"/>
      <c r="C350" s="29"/>
      <c r="D350" s="29"/>
      <c r="E350" s="29"/>
      <c r="F350" s="27" t="str">
        <f aca="false">IFERROR(VLOOKUP(C350,利用者名簿!$A:$B,2,FALSE()),"")</f>
        <v/>
      </c>
    </row>
    <row r="351" customFormat="false" ht="15" hidden="false" customHeight="false" outlineLevel="0" collapsed="false">
      <c r="A351" s="28"/>
      <c r="B351" s="29"/>
      <c r="C351" s="29"/>
      <c r="D351" s="29"/>
      <c r="E351" s="29"/>
      <c r="F351" s="27" t="str">
        <f aca="false">IFERROR(VLOOKUP(C351,利用者名簿!$A:$B,2,FALSE()),"")</f>
        <v/>
      </c>
    </row>
    <row r="352" customFormat="false" ht="15" hidden="false" customHeight="false" outlineLevel="0" collapsed="false">
      <c r="A352" s="28"/>
      <c r="B352" s="29"/>
      <c r="C352" s="29"/>
      <c r="D352" s="29"/>
      <c r="E352" s="29"/>
      <c r="F352" s="27" t="str">
        <f aca="false">IFERROR(VLOOKUP(C352,利用者名簿!$A:$B,2,FALSE()),"")</f>
        <v/>
      </c>
    </row>
    <row r="353" customFormat="false" ht="15" hidden="false" customHeight="false" outlineLevel="0" collapsed="false">
      <c r="A353" s="28"/>
      <c r="B353" s="29"/>
      <c r="C353" s="29"/>
      <c r="D353" s="29"/>
      <c r="E353" s="29"/>
      <c r="F353" s="27" t="str">
        <f aca="false">IFERROR(VLOOKUP(C353,利用者名簿!$A:$B,2,FALSE()),"")</f>
        <v/>
      </c>
    </row>
    <row r="354" customFormat="false" ht="15" hidden="false" customHeight="false" outlineLevel="0" collapsed="false">
      <c r="A354" s="28"/>
      <c r="B354" s="29"/>
      <c r="C354" s="29"/>
      <c r="D354" s="29"/>
      <c r="E354" s="29"/>
      <c r="F354" s="27" t="str">
        <f aca="false">IFERROR(VLOOKUP(C354,利用者名簿!$A:$B,2,FALSE()),"")</f>
        <v/>
      </c>
    </row>
    <row r="355" customFormat="false" ht="15" hidden="false" customHeight="false" outlineLevel="0" collapsed="false">
      <c r="A355" s="28"/>
      <c r="B355" s="29"/>
      <c r="C355" s="29"/>
      <c r="D355" s="29"/>
      <c r="E355" s="29"/>
      <c r="F355" s="27" t="str">
        <f aca="false">IFERROR(VLOOKUP(C355,利用者名簿!$A:$B,2,FALSE()),"")</f>
        <v/>
      </c>
    </row>
    <row r="356" customFormat="false" ht="15" hidden="false" customHeight="false" outlineLevel="0" collapsed="false">
      <c r="A356" s="28"/>
      <c r="B356" s="29"/>
      <c r="C356" s="29"/>
      <c r="D356" s="29"/>
      <c r="E356" s="29"/>
      <c r="F356" s="27" t="str">
        <f aca="false">IFERROR(VLOOKUP(C356,利用者名簿!$A:$B,2,FALSE()),"")</f>
        <v/>
      </c>
    </row>
    <row r="357" customFormat="false" ht="15" hidden="false" customHeight="false" outlineLevel="0" collapsed="false">
      <c r="A357" s="28"/>
      <c r="B357" s="29"/>
      <c r="C357" s="29"/>
      <c r="D357" s="29"/>
      <c r="E357" s="29"/>
      <c r="F357" s="27" t="str">
        <f aca="false">IFERROR(VLOOKUP(C357,利用者名簿!$A:$B,2,FALSE()),"")</f>
        <v/>
      </c>
    </row>
    <row r="358" customFormat="false" ht="15" hidden="false" customHeight="false" outlineLevel="0" collapsed="false">
      <c r="A358" s="28"/>
      <c r="B358" s="29"/>
      <c r="C358" s="29"/>
      <c r="D358" s="29"/>
      <c r="E358" s="29"/>
      <c r="F358" s="27" t="str">
        <f aca="false">IFERROR(VLOOKUP(C358,利用者名簿!$A:$B,2,FALSE()),"")</f>
        <v/>
      </c>
    </row>
    <row r="359" customFormat="false" ht="15" hidden="false" customHeight="false" outlineLevel="0" collapsed="false">
      <c r="A359" s="28"/>
      <c r="B359" s="29"/>
      <c r="C359" s="29"/>
      <c r="D359" s="29"/>
      <c r="E359" s="29"/>
      <c r="F359" s="27" t="str">
        <f aca="false">IFERROR(VLOOKUP(C359,利用者名簿!$A:$B,2,FALSE()),"")</f>
        <v/>
      </c>
    </row>
    <row r="360" customFormat="false" ht="15" hidden="false" customHeight="false" outlineLevel="0" collapsed="false">
      <c r="A360" s="28"/>
      <c r="B360" s="29"/>
      <c r="C360" s="29"/>
      <c r="D360" s="29"/>
      <c r="E360" s="29"/>
      <c r="F360" s="27" t="str">
        <f aca="false">IFERROR(VLOOKUP(C360,利用者名簿!$A:$B,2,FALSE()),"")</f>
        <v/>
      </c>
    </row>
    <row r="361" customFormat="false" ht="15" hidden="false" customHeight="false" outlineLevel="0" collapsed="false">
      <c r="A361" s="28"/>
      <c r="B361" s="29"/>
      <c r="C361" s="29"/>
      <c r="D361" s="29"/>
      <c r="E361" s="29"/>
      <c r="F361" s="27" t="str">
        <f aca="false">IFERROR(VLOOKUP(C361,利用者名簿!$A:$B,2,FALSE()),"")</f>
        <v/>
      </c>
    </row>
    <row r="362" customFormat="false" ht="15" hidden="false" customHeight="false" outlineLevel="0" collapsed="false">
      <c r="A362" s="28"/>
      <c r="B362" s="29"/>
      <c r="C362" s="29"/>
      <c r="D362" s="29"/>
      <c r="E362" s="29"/>
      <c r="F362" s="27" t="str">
        <f aca="false">IFERROR(VLOOKUP(C362,利用者名簿!$A:$B,2,FALSE()),"")</f>
        <v/>
      </c>
    </row>
    <row r="363" customFormat="false" ht="15" hidden="false" customHeight="false" outlineLevel="0" collapsed="false">
      <c r="A363" s="28"/>
      <c r="B363" s="29"/>
      <c r="C363" s="29"/>
      <c r="D363" s="29"/>
      <c r="E363" s="29"/>
      <c r="F363" s="27" t="str">
        <f aca="false">IFERROR(VLOOKUP(C363,利用者名簿!$A:$B,2,FALSE()),"")</f>
        <v/>
      </c>
    </row>
    <row r="364" customFormat="false" ht="15" hidden="false" customHeight="false" outlineLevel="0" collapsed="false">
      <c r="A364" s="28"/>
      <c r="B364" s="29"/>
      <c r="C364" s="29"/>
      <c r="D364" s="29"/>
      <c r="E364" s="29"/>
      <c r="F364" s="27" t="str">
        <f aca="false">IFERROR(VLOOKUP(C364,利用者名簿!$A:$B,2,FALSE()),"")</f>
        <v/>
      </c>
    </row>
    <row r="365" customFormat="false" ht="15" hidden="false" customHeight="false" outlineLevel="0" collapsed="false">
      <c r="A365" s="28"/>
      <c r="B365" s="29"/>
      <c r="C365" s="29"/>
      <c r="D365" s="29"/>
      <c r="E365" s="29"/>
      <c r="F365" s="27" t="str">
        <f aca="false">IFERROR(VLOOKUP(C365,利用者名簿!$A:$B,2,FALSE()),"")</f>
        <v/>
      </c>
    </row>
    <row r="366" customFormat="false" ht="15" hidden="false" customHeight="false" outlineLevel="0" collapsed="false">
      <c r="A366" s="28"/>
      <c r="B366" s="29"/>
      <c r="C366" s="29"/>
      <c r="D366" s="29"/>
      <c r="E366" s="29"/>
      <c r="F366" s="27" t="str">
        <f aca="false">IFERROR(VLOOKUP(C366,利用者名簿!$A:$B,2,FALSE()),"")</f>
        <v/>
      </c>
    </row>
    <row r="367" customFormat="false" ht="15" hidden="false" customHeight="false" outlineLevel="0" collapsed="false">
      <c r="A367" s="28"/>
      <c r="B367" s="29"/>
      <c r="C367" s="29"/>
      <c r="D367" s="29"/>
      <c r="E367" s="29"/>
      <c r="F367" s="27" t="str">
        <f aca="false">IFERROR(VLOOKUP(C367,利用者名簿!$A:$B,2,FALSE()),"")</f>
        <v/>
      </c>
    </row>
    <row r="368" customFormat="false" ht="15" hidden="false" customHeight="false" outlineLevel="0" collapsed="false">
      <c r="A368" s="28"/>
      <c r="B368" s="29"/>
      <c r="C368" s="29"/>
      <c r="D368" s="29"/>
      <c r="E368" s="29"/>
      <c r="F368" s="27" t="str">
        <f aca="false">IFERROR(VLOOKUP(C368,利用者名簿!$A:$B,2,FALSE()),"")</f>
        <v/>
      </c>
    </row>
    <row r="369" customFormat="false" ht="15" hidden="false" customHeight="false" outlineLevel="0" collapsed="false">
      <c r="A369" s="28"/>
      <c r="B369" s="29"/>
      <c r="C369" s="29"/>
      <c r="D369" s="29"/>
      <c r="E369" s="29"/>
      <c r="F369" s="27" t="str">
        <f aca="false">IFERROR(VLOOKUP(C369,利用者名簿!$A:$B,2,FALSE()),"")</f>
        <v/>
      </c>
    </row>
    <row r="370" customFormat="false" ht="15" hidden="false" customHeight="false" outlineLevel="0" collapsed="false">
      <c r="A370" s="28"/>
      <c r="B370" s="29"/>
      <c r="C370" s="29"/>
      <c r="D370" s="29"/>
      <c r="E370" s="29"/>
      <c r="F370" s="27" t="str">
        <f aca="false">IFERROR(VLOOKUP(C370,利用者名簿!$A:$B,2,FALSE()),"")</f>
        <v/>
      </c>
    </row>
    <row r="371" customFormat="false" ht="15" hidden="false" customHeight="false" outlineLevel="0" collapsed="false">
      <c r="A371" s="28"/>
      <c r="B371" s="29"/>
      <c r="C371" s="29"/>
      <c r="D371" s="29"/>
      <c r="E371" s="29"/>
      <c r="F371" s="27" t="str">
        <f aca="false">IFERROR(VLOOKUP(C371,利用者名簿!$A:$B,2,FALSE()),"")</f>
        <v/>
      </c>
    </row>
    <row r="372" customFormat="false" ht="15" hidden="false" customHeight="false" outlineLevel="0" collapsed="false">
      <c r="A372" s="28"/>
      <c r="B372" s="29"/>
      <c r="C372" s="29"/>
      <c r="D372" s="29"/>
      <c r="E372" s="29"/>
      <c r="F372" s="27" t="str">
        <f aca="false">IFERROR(VLOOKUP(C372,利用者名簿!$A:$B,2,FALSE()),"")</f>
        <v/>
      </c>
    </row>
    <row r="373" customFormat="false" ht="15" hidden="false" customHeight="false" outlineLevel="0" collapsed="false">
      <c r="A373" s="28"/>
      <c r="B373" s="29"/>
      <c r="C373" s="29"/>
      <c r="D373" s="29"/>
      <c r="E373" s="29"/>
      <c r="F373" s="27" t="str">
        <f aca="false">IFERROR(VLOOKUP(C373,利用者名簿!$A:$B,2,FALSE()),"")</f>
        <v/>
      </c>
    </row>
    <row r="374" customFormat="false" ht="15" hidden="false" customHeight="false" outlineLevel="0" collapsed="false">
      <c r="A374" s="28"/>
      <c r="B374" s="29"/>
      <c r="C374" s="29"/>
      <c r="D374" s="29"/>
      <c r="E374" s="29"/>
      <c r="F374" s="27" t="str">
        <f aca="false">IFERROR(VLOOKUP(C374,利用者名簿!$A:$B,2,FALSE()),"")</f>
        <v/>
      </c>
    </row>
    <row r="375" customFormat="false" ht="15" hidden="false" customHeight="false" outlineLevel="0" collapsed="false">
      <c r="A375" s="28"/>
      <c r="B375" s="29"/>
      <c r="C375" s="29"/>
      <c r="D375" s="29"/>
      <c r="E375" s="29"/>
      <c r="F375" s="27" t="str">
        <f aca="false">IFERROR(VLOOKUP(C375,利用者名簿!$A:$B,2,FALSE()),"")</f>
        <v/>
      </c>
    </row>
    <row r="376" customFormat="false" ht="15" hidden="false" customHeight="false" outlineLevel="0" collapsed="false">
      <c r="A376" s="28"/>
      <c r="B376" s="29"/>
      <c r="C376" s="29"/>
      <c r="D376" s="29"/>
      <c r="E376" s="29"/>
      <c r="F376" s="27" t="str">
        <f aca="false">IFERROR(VLOOKUP(C376,利用者名簿!$A:$B,2,FALSE()),"")</f>
        <v/>
      </c>
    </row>
    <row r="377" customFormat="false" ht="15" hidden="false" customHeight="false" outlineLevel="0" collapsed="false">
      <c r="A377" s="28"/>
      <c r="B377" s="29"/>
      <c r="C377" s="29"/>
      <c r="D377" s="29"/>
      <c r="E377" s="29"/>
      <c r="F377" s="27" t="str">
        <f aca="false">IFERROR(VLOOKUP(C377,利用者名簿!$A:$B,2,FALSE()),"")</f>
        <v/>
      </c>
    </row>
    <row r="378" customFormat="false" ht="15" hidden="false" customHeight="false" outlineLevel="0" collapsed="false">
      <c r="A378" s="28"/>
      <c r="B378" s="29"/>
      <c r="C378" s="29"/>
      <c r="D378" s="29"/>
      <c r="E378" s="29"/>
      <c r="F378" s="27" t="str">
        <f aca="false">IFERROR(VLOOKUP(C378,利用者名簿!$A:$B,2,FALSE()),"")</f>
        <v/>
      </c>
    </row>
    <row r="379" customFormat="false" ht="15" hidden="false" customHeight="false" outlineLevel="0" collapsed="false">
      <c r="A379" s="28"/>
      <c r="B379" s="29"/>
      <c r="C379" s="29"/>
      <c r="D379" s="29"/>
      <c r="E379" s="29"/>
      <c r="F379" s="27" t="str">
        <f aca="false">IFERROR(VLOOKUP(C379,利用者名簿!$A:$B,2,FALSE()),"")</f>
        <v/>
      </c>
    </row>
    <row r="380" customFormat="false" ht="15" hidden="false" customHeight="false" outlineLevel="0" collapsed="false">
      <c r="A380" s="28"/>
      <c r="B380" s="29"/>
      <c r="C380" s="29"/>
      <c r="D380" s="29"/>
      <c r="E380" s="29"/>
      <c r="F380" s="27" t="str">
        <f aca="false">IFERROR(VLOOKUP(C380,利用者名簿!$A:$B,2,FALSE()),"")</f>
        <v/>
      </c>
    </row>
    <row r="381" customFormat="false" ht="15" hidden="false" customHeight="false" outlineLevel="0" collapsed="false">
      <c r="A381" s="28"/>
      <c r="B381" s="29"/>
      <c r="C381" s="29"/>
      <c r="D381" s="29"/>
      <c r="E381" s="29"/>
      <c r="F381" s="27" t="str">
        <f aca="false">IFERROR(VLOOKUP(C381,利用者名簿!$A:$B,2,FALSE()),"")</f>
        <v/>
      </c>
    </row>
    <row r="382" customFormat="false" ht="15" hidden="false" customHeight="false" outlineLevel="0" collapsed="false">
      <c r="A382" s="28"/>
      <c r="B382" s="29"/>
      <c r="C382" s="29"/>
      <c r="D382" s="29"/>
      <c r="E382" s="29"/>
      <c r="F382" s="27" t="str">
        <f aca="false">IFERROR(VLOOKUP(C382,利用者名簿!$A:$B,2,FALSE()),"")</f>
        <v/>
      </c>
    </row>
    <row r="383" customFormat="false" ht="15" hidden="false" customHeight="false" outlineLevel="0" collapsed="false">
      <c r="A383" s="28"/>
      <c r="B383" s="29"/>
      <c r="C383" s="29"/>
      <c r="D383" s="29"/>
      <c r="E383" s="29"/>
      <c r="F383" s="27" t="str">
        <f aca="false">IFERROR(VLOOKUP(C383,利用者名簿!$A:$B,2,FALSE()),"")</f>
        <v/>
      </c>
    </row>
    <row r="384" customFormat="false" ht="15" hidden="false" customHeight="false" outlineLevel="0" collapsed="false">
      <c r="A384" s="28"/>
      <c r="B384" s="29"/>
      <c r="C384" s="29"/>
      <c r="D384" s="29"/>
      <c r="E384" s="29"/>
      <c r="F384" s="27" t="str">
        <f aca="false">IFERROR(VLOOKUP(C384,利用者名簿!$A:$B,2,FALSE()),"")</f>
        <v/>
      </c>
    </row>
    <row r="385" customFormat="false" ht="15" hidden="false" customHeight="false" outlineLevel="0" collapsed="false">
      <c r="A385" s="28"/>
      <c r="B385" s="29"/>
      <c r="C385" s="29"/>
      <c r="D385" s="29"/>
      <c r="E385" s="29"/>
      <c r="F385" s="27" t="str">
        <f aca="false">IFERROR(VLOOKUP(C385,利用者名簿!$A:$B,2,FALSE()),"")</f>
        <v/>
      </c>
    </row>
    <row r="386" customFormat="false" ht="15" hidden="false" customHeight="false" outlineLevel="0" collapsed="false">
      <c r="A386" s="28"/>
      <c r="B386" s="29"/>
      <c r="C386" s="29"/>
      <c r="D386" s="29"/>
      <c r="E386" s="29"/>
      <c r="F386" s="27" t="str">
        <f aca="false">IFERROR(VLOOKUP(C386,利用者名簿!$A:$B,2,FALSE()),"")</f>
        <v/>
      </c>
    </row>
    <row r="387" customFormat="false" ht="15" hidden="false" customHeight="false" outlineLevel="0" collapsed="false">
      <c r="A387" s="28"/>
      <c r="B387" s="29"/>
      <c r="C387" s="29"/>
      <c r="D387" s="29"/>
      <c r="E387" s="29"/>
      <c r="F387" s="27" t="str">
        <f aca="false">IFERROR(VLOOKUP(C387,利用者名簿!$A:$B,2,FALSE()),"")</f>
        <v/>
      </c>
    </row>
    <row r="388" customFormat="false" ht="15" hidden="false" customHeight="false" outlineLevel="0" collapsed="false">
      <c r="A388" s="28"/>
      <c r="B388" s="29"/>
      <c r="C388" s="29"/>
      <c r="D388" s="29"/>
      <c r="E388" s="29"/>
      <c r="F388" s="27" t="str">
        <f aca="false">IFERROR(VLOOKUP(C388,利用者名簿!$A:$B,2,FALSE()),"")</f>
        <v/>
      </c>
    </row>
    <row r="389" customFormat="false" ht="15" hidden="false" customHeight="false" outlineLevel="0" collapsed="false">
      <c r="A389" s="28"/>
      <c r="B389" s="29"/>
      <c r="C389" s="29"/>
      <c r="D389" s="29"/>
      <c r="E389" s="29"/>
      <c r="F389" s="27" t="str">
        <f aca="false">IFERROR(VLOOKUP(C389,利用者名簿!$A:$B,2,FALSE()),"")</f>
        <v/>
      </c>
    </row>
    <row r="390" customFormat="false" ht="15" hidden="false" customHeight="false" outlineLevel="0" collapsed="false">
      <c r="A390" s="28"/>
      <c r="B390" s="29"/>
      <c r="C390" s="29"/>
      <c r="D390" s="29"/>
      <c r="E390" s="29"/>
      <c r="F390" s="27" t="str">
        <f aca="false">IFERROR(VLOOKUP(C390,利用者名簿!$A:$B,2,FALSE()),"")</f>
        <v/>
      </c>
    </row>
    <row r="391" customFormat="false" ht="15" hidden="false" customHeight="false" outlineLevel="0" collapsed="false">
      <c r="A391" s="28"/>
      <c r="B391" s="29"/>
      <c r="C391" s="29"/>
      <c r="D391" s="29"/>
      <c r="E391" s="29"/>
      <c r="F391" s="27" t="str">
        <f aca="false">IFERROR(VLOOKUP(C391,利用者名簿!$A:$B,2,FALSE()),"")</f>
        <v/>
      </c>
    </row>
    <row r="392" customFormat="false" ht="15" hidden="false" customHeight="false" outlineLevel="0" collapsed="false">
      <c r="A392" s="28"/>
      <c r="B392" s="29"/>
      <c r="C392" s="29"/>
      <c r="D392" s="29"/>
      <c r="E392" s="29"/>
      <c r="F392" s="27" t="str">
        <f aca="false">IFERROR(VLOOKUP(C392,利用者名簿!$A:$B,2,FALSE()),"")</f>
        <v/>
      </c>
    </row>
    <row r="393" customFormat="false" ht="15" hidden="false" customHeight="false" outlineLevel="0" collapsed="false">
      <c r="A393" s="28"/>
      <c r="B393" s="29"/>
      <c r="C393" s="29"/>
      <c r="D393" s="29"/>
      <c r="E393" s="29"/>
      <c r="F393" s="27" t="str">
        <f aca="false">IFERROR(VLOOKUP(C393,利用者名簿!$A:$B,2,FALSE()),"")</f>
        <v/>
      </c>
    </row>
    <row r="394" customFormat="false" ht="15" hidden="false" customHeight="false" outlineLevel="0" collapsed="false">
      <c r="A394" s="28"/>
      <c r="B394" s="29"/>
      <c r="C394" s="29"/>
      <c r="D394" s="29"/>
      <c r="E394" s="29"/>
      <c r="F394" s="27" t="str">
        <f aca="false">IFERROR(VLOOKUP(C394,利用者名簿!$A:$B,2,FALSE()),"")</f>
        <v/>
      </c>
    </row>
    <row r="395" customFormat="false" ht="15" hidden="false" customHeight="false" outlineLevel="0" collapsed="false">
      <c r="A395" s="28"/>
      <c r="B395" s="29"/>
      <c r="C395" s="29"/>
      <c r="D395" s="29"/>
      <c r="E395" s="29"/>
      <c r="F395" s="27" t="str">
        <f aca="false">IFERROR(VLOOKUP(C395,利用者名簿!$A:$B,2,FALSE()),"")</f>
        <v/>
      </c>
    </row>
    <row r="396" customFormat="false" ht="15" hidden="false" customHeight="false" outlineLevel="0" collapsed="false">
      <c r="A396" s="28"/>
      <c r="B396" s="29"/>
      <c r="C396" s="29"/>
      <c r="D396" s="29"/>
      <c r="E396" s="29"/>
      <c r="F396" s="27" t="str">
        <f aca="false">IFERROR(VLOOKUP(C396,利用者名簿!$A:$B,2,FALSE()),"")</f>
        <v/>
      </c>
    </row>
    <row r="397" customFormat="false" ht="15" hidden="false" customHeight="false" outlineLevel="0" collapsed="false">
      <c r="A397" s="28"/>
      <c r="B397" s="29"/>
      <c r="C397" s="29"/>
      <c r="D397" s="29"/>
      <c r="E397" s="29"/>
      <c r="F397" s="27" t="str">
        <f aca="false">IFERROR(VLOOKUP(C397,利用者名簿!$A:$B,2,FALSE()),"")</f>
        <v/>
      </c>
    </row>
    <row r="398" customFormat="false" ht="15" hidden="false" customHeight="false" outlineLevel="0" collapsed="false">
      <c r="A398" s="28"/>
      <c r="B398" s="29"/>
      <c r="C398" s="29"/>
      <c r="D398" s="29"/>
      <c r="E398" s="29"/>
      <c r="F398" s="27" t="str">
        <f aca="false">IFERROR(VLOOKUP(C398,利用者名簿!$A:$B,2,FALSE()),"")</f>
        <v/>
      </c>
    </row>
    <row r="399" customFormat="false" ht="15" hidden="false" customHeight="false" outlineLevel="0" collapsed="false">
      <c r="A399" s="28"/>
      <c r="B399" s="29"/>
      <c r="C399" s="29"/>
      <c r="D399" s="29"/>
      <c r="E399" s="29"/>
      <c r="F399" s="27" t="str">
        <f aca="false">IFERROR(VLOOKUP(C399,利用者名簿!$A:$B,2,FALSE()),"")</f>
        <v/>
      </c>
    </row>
    <row r="400" customFormat="false" ht="15" hidden="false" customHeight="false" outlineLevel="0" collapsed="false">
      <c r="A400" s="28"/>
      <c r="B400" s="29"/>
      <c r="C400" s="29"/>
      <c r="D400" s="29"/>
      <c r="E400" s="29"/>
      <c r="F400" s="27" t="str">
        <f aca="false">IFERROR(VLOOKUP(C400,利用者名簿!$A:$B,2,FALSE()),"")</f>
        <v/>
      </c>
    </row>
    <row r="401" customFormat="false" ht="15" hidden="false" customHeight="false" outlineLevel="0" collapsed="false">
      <c r="A401" s="28"/>
      <c r="B401" s="29"/>
      <c r="C401" s="29"/>
      <c r="D401" s="29"/>
      <c r="E401" s="29"/>
      <c r="F401" s="27" t="str">
        <f aca="false">IFERROR(VLOOKUP(C401,利用者名簿!$A:$B,2,FALSE()),"")</f>
        <v/>
      </c>
    </row>
    <row r="402" customFormat="false" ht="15" hidden="false" customHeight="false" outlineLevel="0" collapsed="false">
      <c r="A402" s="28"/>
      <c r="B402" s="29"/>
      <c r="C402" s="29"/>
      <c r="D402" s="29"/>
      <c r="E402" s="29"/>
      <c r="F402" s="27" t="str">
        <f aca="false">IFERROR(VLOOKUP(C402,利用者名簿!$A:$B,2,FALSE()),"")</f>
        <v/>
      </c>
    </row>
    <row r="403" customFormat="false" ht="15" hidden="false" customHeight="false" outlineLevel="0" collapsed="false">
      <c r="A403" s="28"/>
      <c r="B403" s="29"/>
      <c r="C403" s="29"/>
      <c r="D403" s="29"/>
      <c r="E403" s="29"/>
      <c r="F403" s="27" t="str">
        <f aca="false">IFERROR(VLOOKUP(C403,利用者名簿!$A:$B,2,FALSE()),"")</f>
        <v/>
      </c>
    </row>
    <row r="404" customFormat="false" ht="15" hidden="false" customHeight="false" outlineLevel="0" collapsed="false">
      <c r="A404" s="28"/>
      <c r="B404" s="29"/>
      <c r="C404" s="29"/>
      <c r="D404" s="29"/>
      <c r="E404" s="29"/>
      <c r="F404" s="27" t="str">
        <f aca="false">IFERROR(VLOOKUP(C404,利用者名簿!$A:$B,2,FALSE()),"")</f>
        <v/>
      </c>
    </row>
    <row r="405" customFormat="false" ht="15" hidden="false" customHeight="false" outlineLevel="0" collapsed="false">
      <c r="A405" s="28"/>
      <c r="B405" s="29"/>
      <c r="C405" s="29"/>
      <c r="D405" s="29"/>
      <c r="E405" s="29"/>
      <c r="F405" s="27" t="str">
        <f aca="false">IFERROR(VLOOKUP(C405,利用者名簿!$A:$B,2,FALSE()),"")</f>
        <v/>
      </c>
    </row>
    <row r="406" customFormat="false" ht="15" hidden="false" customHeight="false" outlineLevel="0" collapsed="false">
      <c r="A406" s="28"/>
      <c r="B406" s="29"/>
      <c r="C406" s="29"/>
      <c r="D406" s="29"/>
      <c r="E406" s="29"/>
      <c r="F406" s="27" t="str">
        <f aca="false">IFERROR(VLOOKUP(C406,利用者名簿!$A:$B,2,FALSE()),"")</f>
        <v/>
      </c>
    </row>
    <row r="407" customFormat="false" ht="15" hidden="false" customHeight="false" outlineLevel="0" collapsed="false">
      <c r="A407" s="28"/>
      <c r="B407" s="29"/>
      <c r="C407" s="29"/>
      <c r="D407" s="29"/>
      <c r="E407" s="29"/>
      <c r="F407" s="27" t="str">
        <f aca="false">IFERROR(VLOOKUP(C407,利用者名簿!$A:$B,2,FALSE()),"")</f>
        <v/>
      </c>
    </row>
    <row r="408" customFormat="false" ht="15" hidden="false" customHeight="false" outlineLevel="0" collapsed="false">
      <c r="A408" s="28"/>
      <c r="B408" s="29"/>
      <c r="C408" s="29"/>
      <c r="D408" s="29"/>
      <c r="E408" s="29"/>
      <c r="F408" s="27" t="str">
        <f aca="false">IFERROR(VLOOKUP(C408,利用者名簿!$A:$B,2,FALSE()),"")</f>
        <v/>
      </c>
    </row>
    <row r="409" customFormat="false" ht="15" hidden="false" customHeight="false" outlineLevel="0" collapsed="false">
      <c r="A409" s="28"/>
      <c r="B409" s="29"/>
      <c r="C409" s="29"/>
      <c r="D409" s="29"/>
      <c r="E409" s="29"/>
      <c r="F409" s="27" t="str">
        <f aca="false">IFERROR(VLOOKUP(C409,利用者名簿!$A:$B,2,FALSE()),"")</f>
        <v/>
      </c>
    </row>
    <row r="410" customFormat="false" ht="15" hidden="false" customHeight="false" outlineLevel="0" collapsed="false">
      <c r="A410" s="28"/>
      <c r="B410" s="29"/>
      <c r="C410" s="29"/>
      <c r="D410" s="29"/>
      <c r="E410" s="29"/>
      <c r="F410" s="27" t="str">
        <f aca="false">IFERROR(VLOOKUP(C410,利用者名簿!$A:$B,2,FALSE()),"")</f>
        <v/>
      </c>
    </row>
    <row r="411" customFormat="false" ht="15" hidden="false" customHeight="false" outlineLevel="0" collapsed="false">
      <c r="A411" s="28"/>
      <c r="B411" s="29"/>
      <c r="C411" s="29"/>
      <c r="D411" s="29"/>
      <c r="E411" s="29"/>
      <c r="F411" s="27" t="str">
        <f aca="false">IFERROR(VLOOKUP(C411,利用者名簿!$A:$B,2,FALSE()),"")</f>
        <v/>
      </c>
    </row>
    <row r="412" customFormat="false" ht="15" hidden="false" customHeight="false" outlineLevel="0" collapsed="false">
      <c r="A412" s="28"/>
      <c r="B412" s="29"/>
      <c r="C412" s="29"/>
      <c r="D412" s="29"/>
      <c r="E412" s="29"/>
      <c r="F412" s="27" t="str">
        <f aca="false">IFERROR(VLOOKUP(C412,利用者名簿!$A:$B,2,FALSE()),"")</f>
        <v/>
      </c>
    </row>
    <row r="413" customFormat="false" ht="15" hidden="false" customHeight="false" outlineLevel="0" collapsed="false">
      <c r="A413" s="28"/>
      <c r="B413" s="29"/>
      <c r="C413" s="29"/>
      <c r="D413" s="29"/>
      <c r="E413" s="29"/>
      <c r="F413" s="27" t="str">
        <f aca="false">IFERROR(VLOOKUP(C413,利用者名簿!$A:$B,2,FALSE()),"")</f>
        <v/>
      </c>
    </row>
    <row r="414" customFormat="false" ht="15" hidden="false" customHeight="false" outlineLevel="0" collapsed="false">
      <c r="A414" s="28"/>
      <c r="B414" s="29"/>
      <c r="C414" s="29"/>
      <c r="D414" s="29"/>
      <c r="E414" s="29"/>
      <c r="F414" s="27" t="str">
        <f aca="false">IFERROR(VLOOKUP(C414,利用者名簿!$A:$B,2,FALSE()),"")</f>
        <v/>
      </c>
    </row>
    <row r="415" customFormat="false" ht="15" hidden="false" customHeight="false" outlineLevel="0" collapsed="false">
      <c r="A415" s="28"/>
      <c r="B415" s="29"/>
      <c r="C415" s="29"/>
      <c r="D415" s="29"/>
      <c r="E415" s="29"/>
      <c r="F415" s="27" t="str">
        <f aca="false">IFERROR(VLOOKUP(C415,利用者名簿!$A:$B,2,FALSE()),"")</f>
        <v/>
      </c>
    </row>
    <row r="416" customFormat="false" ht="15" hidden="false" customHeight="false" outlineLevel="0" collapsed="false">
      <c r="A416" s="28"/>
      <c r="B416" s="29"/>
      <c r="C416" s="29"/>
      <c r="D416" s="29"/>
      <c r="E416" s="29"/>
      <c r="F416" s="27" t="str">
        <f aca="false">IFERROR(VLOOKUP(C416,利用者名簿!$A:$B,2,FALSE()),"")</f>
        <v/>
      </c>
    </row>
    <row r="417" customFormat="false" ht="15" hidden="false" customHeight="false" outlineLevel="0" collapsed="false">
      <c r="A417" s="28"/>
      <c r="B417" s="29"/>
      <c r="C417" s="29"/>
      <c r="D417" s="29"/>
      <c r="E417" s="29"/>
      <c r="F417" s="27" t="str">
        <f aca="false">IFERROR(VLOOKUP(C417,利用者名簿!$A:$B,2,FALSE()),"")</f>
        <v/>
      </c>
    </row>
    <row r="418" customFormat="false" ht="15" hidden="false" customHeight="false" outlineLevel="0" collapsed="false">
      <c r="A418" s="28"/>
      <c r="B418" s="29"/>
      <c r="C418" s="29"/>
      <c r="D418" s="29"/>
      <c r="E418" s="29"/>
      <c r="F418" s="27" t="str">
        <f aca="false">IFERROR(VLOOKUP(C418,利用者名簿!$A:$B,2,FALSE()),"")</f>
        <v/>
      </c>
    </row>
    <row r="419" customFormat="false" ht="15" hidden="false" customHeight="false" outlineLevel="0" collapsed="false">
      <c r="A419" s="28"/>
      <c r="B419" s="29"/>
      <c r="C419" s="29"/>
      <c r="D419" s="29"/>
      <c r="E419" s="29"/>
      <c r="F419" s="27" t="str">
        <f aca="false">IFERROR(VLOOKUP(C419,利用者名簿!$A:$B,2,FALSE()),"")</f>
        <v/>
      </c>
    </row>
    <row r="420" customFormat="false" ht="15" hidden="false" customHeight="false" outlineLevel="0" collapsed="false">
      <c r="A420" s="28"/>
      <c r="B420" s="29"/>
      <c r="C420" s="29"/>
      <c r="D420" s="29"/>
      <c r="E420" s="29"/>
      <c r="F420" s="27" t="str">
        <f aca="false">IFERROR(VLOOKUP(C420,利用者名簿!$A:$B,2,FALSE()),"")</f>
        <v/>
      </c>
    </row>
    <row r="421" customFormat="false" ht="15" hidden="false" customHeight="false" outlineLevel="0" collapsed="false">
      <c r="A421" s="28"/>
      <c r="B421" s="29"/>
      <c r="C421" s="29"/>
      <c r="D421" s="29"/>
      <c r="E421" s="29"/>
      <c r="F421" s="27" t="str">
        <f aca="false">IFERROR(VLOOKUP(C421,利用者名簿!$A:$B,2,FALSE()),"")</f>
        <v/>
      </c>
    </row>
    <row r="422" customFormat="false" ht="15" hidden="false" customHeight="false" outlineLevel="0" collapsed="false">
      <c r="A422" s="28"/>
      <c r="B422" s="29"/>
      <c r="C422" s="29"/>
      <c r="D422" s="29"/>
      <c r="E422" s="29"/>
      <c r="F422" s="27" t="str">
        <f aca="false">IFERROR(VLOOKUP(C422,利用者名簿!$A:$B,2,FALSE()),"")</f>
        <v/>
      </c>
    </row>
    <row r="423" customFormat="false" ht="15" hidden="false" customHeight="false" outlineLevel="0" collapsed="false">
      <c r="A423" s="28"/>
      <c r="B423" s="29"/>
      <c r="C423" s="29"/>
      <c r="D423" s="29"/>
      <c r="E423" s="29"/>
      <c r="F423" s="27" t="str">
        <f aca="false">IFERROR(VLOOKUP(C423,利用者名簿!$A:$B,2,FALSE()),"")</f>
        <v/>
      </c>
    </row>
    <row r="424" customFormat="false" ht="15" hidden="false" customHeight="false" outlineLevel="0" collapsed="false">
      <c r="A424" s="28"/>
      <c r="B424" s="29"/>
      <c r="C424" s="29"/>
      <c r="D424" s="29"/>
      <c r="E424" s="29"/>
      <c r="F424" s="27" t="str">
        <f aca="false">IFERROR(VLOOKUP(C424,利用者名簿!$A:$B,2,FALSE()),"")</f>
        <v/>
      </c>
    </row>
    <row r="425" customFormat="false" ht="15" hidden="false" customHeight="false" outlineLevel="0" collapsed="false">
      <c r="A425" s="28"/>
      <c r="B425" s="29"/>
      <c r="C425" s="29"/>
      <c r="D425" s="29"/>
      <c r="E425" s="29"/>
      <c r="F425" s="27" t="str">
        <f aca="false">IFERROR(VLOOKUP(C425,利用者名簿!$A:$B,2,FALSE()),"")</f>
        <v/>
      </c>
    </row>
    <row r="426" customFormat="false" ht="15" hidden="false" customHeight="false" outlineLevel="0" collapsed="false">
      <c r="A426" s="28"/>
      <c r="B426" s="29"/>
      <c r="C426" s="29"/>
      <c r="D426" s="29"/>
      <c r="E426" s="29"/>
      <c r="F426" s="27" t="str">
        <f aca="false">IFERROR(VLOOKUP(C426,利用者名簿!$A:$B,2,FALSE()),"")</f>
        <v/>
      </c>
    </row>
    <row r="427" customFormat="false" ht="15" hidden="false" customHeight="false" outlineLevel="0" collapsed="false">
      <c r="A427" s="28"/>
      <c r="B427" s="29"/>
      <c r="C427" s="29"/>
      <c r="D427" s="29"/>
      <c r="E427" s="29"/>
      <c r="F427" s="27" t="str">
        <f aca="false">IFERROR(VLOOKUP(C427,利用者名簿!$A:$B,2,FALSE()),"")</f>
        <v/>
      </c>
    </row>
    <row r="428" customFormat="false" ht="15" hidden="false" customHeight="false" outlineLevel="0" collapsed="false">
      <c r="A428" s="28"/>
      <c r="B428" s="29"/>
      <c r="C428" s="29"/>
      <c r="D428" s="29"/>
      <c r="E428" s="29"/>
      <c r="F428" s="27" t="str">
        <f aca="false">IFERROR(VLOOKUP(C428,利用者名簿!$A:$B,2,FALSE()),"")</f>
        <v/>
      </c>
    </row>
    <row r="429" customFormat="false" ht="15" hidden="false" customHeight="false" outlineLevel="0" collapsed="false">
      <c r="A429" s="28"/>
      <c r="B429" s="29"/>
      <c r="C429" s="29"/>
      <c r="D429" s="29"/>
      <c r="E429" s="29"/>
      <c r="F429" s="27" t="str">
        <f aca="false">IFERROR(VLOOKUP(C429,利用者名簿!$A:$B,2,FALSE()),"")</f>
        <v/>
      </c>
    </row>
    <row r="430" customFormat="false" ht="15" hidden="false" customHeight="false" outlineLevel="0" collapsed="false">
      <c r="A430" s="28"/>
      <c r="B430" s="29"/>
      <c r="C430" s="29"/>
      <c r="D430" s="29"/>
      <c r="E430" s="29"/>
      <c r="F430" s="27" t="str">
        <f aca="false">IFERROR(VLOOKUP(C430,利用者名簿!$A:$B,2,FALSE()),"")</f>
        <v/>
      </c>
    </row>
    <row r="431" customFormat="false" ht="15" hidden="false" customHeight="false" outlineLevel="0" collapsed="false">
      <c r="A431" s="28"/>
      <c r="B431" s="29"/>
      <c r="C431" s="29"/>
      <c r="D431" s="29"/>
      <c r="E431" s="29"/>
      <c r="F431" s="27" t="str">
        <f aca="false">IFERROR(VLOOKUP(C431,利用者名簿!$A:$B,2,FALSE()),"")</f>
        <v/>
      </c>
    </row>
    <row r="432" customFormat="false" ht="15" hidden="false" customHeight="false" outlineLevel="0" collapsed="false">
      <c r="A432" s="28"/>
      <c r="B432" s="29"/>
      <c r="C432" s="29"/>
      <c r="D432" s="29"/>
      <c r="E432" s="29"/>
      <c r="F432" s="27" t="str">
        <f aca="false">IFERROR(VLOOKUP(C432,利用者名簿!$A:$B,2,FALSE()),"")</f>
        <v/>
      </c>
    </row>
    <row r="433" customFormat="false" ht="15" hidden="false" customHeight="false" outlineLevel="0" collapsed="false">
      <c r="A433" s="28"/>
      <c r="B433" s="29"/>
      <c r="C433" s="29"/>
      <c r="D433" s="29"/>
      <c r="E433" s="29"/>
      <c r="F433" s="27" t="str">
        <f aca="false">IFERROR(VLOOKUP(C433,利用者名簿!$A:$B,2,FALSE()),"")</f>
        <v/>
      </c>
    </row>
    <row r="434" customFormat="false" ht="15" hidden="false" customHeight="false" outlineLevel="0" collapsed="false">
      <c r="A434" s="28"/>
      <c r="B434" s="29"/>
      <c r="C434" s="29"/>
      <c r="D434" s="29"/>
      <c r="E434" s="29"/>
      <c r="F434" s="27" t="str">
        <f aca="false">IFERROR(VLOOKUP(C434,利用者名簿!$A:$B,2,FALSE()),"")</f>
        <v/>
      </c>
    </row>
    <row r="435" customFormat="false" ht="15" hidden="false" customHeight="false" outlineLevel="0" collapsed="false">
      <c r="A435" s="28"/>
      <c r="B435" s="29"/>
      <c r="C435" s="29"/>
      <c r="D435" s="29"/>
      <c r="E435" s="29"/>
      <c r="F435" s="27" t="str">
        <f aca="false">IFERROR(VLOOKUP(C435,利用者名簿!$A:$B,2,FALSE()),"")</f>
        <v/>
      </c>
    </row>
    <row r="436" customFormat="false" ht="15" hidden="false" customHeight="false" outlineLevel="0" collapsed="false">
      <c r="A436" s="28"/>
      <c r="B436" s="29"/>
      <c r="C436" s="29"/>
      <c r="D436" s="29"/>
      <c r="E436" s="29"/>
      <c r="F436" s="27" t="str">
        <f aca="false">IFERROR(VLOOKUP(C436,利用者名簿!$A:$B,2,FALSE()),"")</f>
        <v/>
      </c>
    </row>
    <row r="437" customFormat="false" ht="15" hidden="false" customHeight="false" outlineLevel="0" collapsed="false">
      <c r="A437" s="28"/>
      <c r="B437" s="29"/>
      <c r="C437" s="29"/>
      <c r="D437" s="29"/>
      <c r="E437" s="29"/>
      <c r="F437" s="27" t="str">
        <f aca="false">IFERROR(VLOOKUP(C437,利用者名簿!$A:$B,2,FALSE()),"")</f>
        <v/>
      </c>
    </row>
    <row r="438" customFormat="false" ht="15" hidden="false" customHeight="false" outlineLevel="0" collapsed="false">
      <c r="A438" s="28"/>
      <c r="B438" s="29"/>
      <c r="C438" s="29"/>
      <c r="D438" s="29"/>
      <c r="E438" s="29"/>
      <c r="F438" s="27" t="str">
        <f aca="false">IFERROR(VLOOKUP(C438,利用者名簿!$A:$B,2,FALSE()),"")</f>
        <v/>
      </c>
    </row>
    <row r="439" customFormat="false" ht="15" hidden="false" customHeight="false" outlineLevel="0" collapsed="false">
      <c r="A439" s="28"/>
      <c r="B439" s="29"/>
      <c r="C439" s="29"/>
      <c r="D439" s="29"/>
      <c r="E439" s="29"/>
      <c r="F439" s="27" t="str">
        <f aca="false">IFERROR(VLOOKUP(C439,利用者名簿!$A:$B,2,FALSE()),"")</f>
        <v/>
      </c>
    </row>
    <row r="440" customFormat="false" ht="15" hidden="false" customHeight="false" outlineLevel="0" collapsed="false">
      <c r="A440" s="28"/>
      <c r="B440" s="29"/>
      <c r="C440" s="29"/>
      <c r="D440" s="29"/>
      <c r="E440" s="29"/>
      <c r="F440" s="27" t="str">
        <f aca="false">IFERROR(VLOOKUP(C440,利用者名簿!$A:$B,2,FALSE()),"")</f>
        <v/>
      </c>
    </row>
    <row r="441" customFormat="false" ht="15" hidden="false" customHeight="false" outlineLevel="0" collapsed="false">
      <c r="A441" s="28"/>
      <c r="B441" s="29"/>
      <c r="C441" s="29"/>
      <c r="D441" s="29"/>
      <c r="E441" s="29"/>
      <c r="F441" s="27" t="str">
        <f aca="false">IFERROR(VLOOKUP(C441,利用者名簿!$A:$B,2,FALSE()),"")</f>
        <v/>
      </c>
    </row>
    <row r="442" customFormat="false" ht="15" hidden="false" customHeight="false" outlineLevel="0" collapsed="false">
      <c r="A442" s="28"/>
      <c r="B442" s="29"/>
      <c r="C442" s="29"/>
      <c r="D442" s="29"/>
      <c r="E442" s="29"/>
      <c r="F442" s="27" t="str">
        <f aca="false">IFERROR(VLOOKUP(C442,利用者名簿!$A:$B,2,FALSE()),"")</f>
        <v/>
      </c>
    </row>
    <row r="443" customFormat="false" ht="15" hidden="false" customHeight="false" outlineLevel="0" collapsed="false">
      <c r="A443" s="28"/>
      <c r="B443" s="29"/>
      <c r="C443" s="29"/>
      <c r="D443" s="29"/>
      <c r="E443" s="29"/>
      <c r="F443" s="27" t="str">
        <f aca="false">IFERROR(VLOOKUP(C443,利用者名簿!$A:$B,2,FALSE()),"")</f>
        <v/>
      </c>
    </row>
    <row r="444" customFormat="false" ht="15" hidden="false" customHeight="false" outlineLevel="0" collapsed="false">
      <c r="A444" s="28"/>
      <c r="B444" s="29"/>
      <c r="C444" s="29"/>
      <c r="D444" s="29"/>
      <c r="E444" s="29"/>
      <c r="F444" s="27" t="str">
        <f aca="false">IFERROR(VLOOKUP(C444,利用者名簿!$A:$B,2,FALSE()),"")</f>
        <v/>
      </c>
    </row>
    <row r="445" customFormat="false" ht="15" hidden="false" customHeight="false" outlineLevel="0" collapsed="false">
      <c r="A445" s="28"/>
      <c r="B445" s="29"/>
      <c r="C445" s="29"/>
      <c r="D445" s="29"/>
      <c r="E445" s="29"/>
      <c r="F445" s="27" t="str">
        <f aca="false">IFERROR(VLOOKUP(C445,利用者名簿!$A:$B,2,FALSE()),"")</f>
        <v/>
      </c>
    </row>
    <row r="446" customFormat="false" ht="15" hidden="false" customHeight="false" outlineLevel="0" collapsed="false">
      <c r="A446" s="28"/>
      <c r="B446" s="29"/>
      <c r="C446" s="29"/>
      <c r="D446" s="29"/>
      <c r="E446" s="29"/>
      <c r="F446" s="27" t="str">
        <f aca="false">IFERROR(VLOOKUP(C446,利用者名簿!$A:$B,2,FALSE()),"")</f>
        <v/>
      </c>
    </row>
    <row r="447" customFormat="false" ht="15" hidden="false" customHeight="false" outlineLevel="0" collapsed="false">
      <c r="A447" s="28"/>
      <c r="B447" s="29"/>
      <c r="C447" s="29"/>
      <c r="D447" s="29"/>
      <c r="E447" s="29"/>
      <c r="F447" s="27" t="str">
        <f aca="false">IFERROR(VLOOKUP(C447,利用者名簿!$A:$B,2,FALSE()),"")</f>
        <v/>
      </c>
    </row>
    <row r="448" customFormat="false" ht="15" hidden="false" customHeight="false" outlineLevel="0" collapsed="false">
      <c r="A448" s="28"/>
      <c r="B448" s="29"/>
      <c r="C448" s="29"/>
      <c r="D448" s="29"/>
      <c r="E448" s="29"/>
      <c r="F448" s="27" t="str">
        <f aca="false">IFERROR(VLOOKUP(C448,利用者名簿!$A:$B,2,FALSE()),"")</f>
        <v/>
      </c>
    </row>
    <row r="449" customFormat="false" ht="15" hidden="false" customHeight="false" outlineLevel="0" collapsed="false">
      <c r="A449" s="28"/>
      <c r="B449" s="29"/>
      <c r="C449" s="29"/>
      <c r="D449" s="29"/>
      <c r="E449" s="29"/>
      <c r="F449" s="27" t="str">
        <f aca="false">IFERROR(VLOOKUP(C449,利用者名簿!$A:$B,2,FALSE()),"")</f>
        <v/>
      </c>
    </row>
    <row r="450" customFormat="false" ht="15" hidden="false" customHeight="false" outlineLevel="0" collapsed="false">
      <c r="A450" s="28"/>
      <c r="B450" s="29"/>
      <c r="C450" s="29"/>
      <c r="D450" s="29"/>
      <c r="E450" s="29"/>
      <c r="F450" s="27" t="str">
        <f aca="false">IFERROR(VLOOKUP(C450,利用者名簿!$A:$B,2,FALSE()),"")</f>
        <v/>
      </c>
    </row>
    <row r="451" customFormat="false" ht="15" hidden="false" customHeight="false" outlineLevel="0" collapsed="false">
      <c r="A451" s="28"/>
      <c r="B451" s="29"/>
      <c r="C451" s="29"/>
      <c r="D451" s="29"/>
      <c r="E451" s="29"/>
      <c r="F451" s="27" t="str">
        <f aca="false">IFERROR(VLOOKUP(C451,利用者名簿!$A:$B,2,FALSE()),"")</f>
        <v/>
      </c>
    </row>
    <row r="452" customFormat="false" ht="15" hidden="false" customHeight="false" outlineLevel="0" collapsed="false">
      <c r="A452" s="28"/>
      <c r="B452" s="29"/>
      <c r="C452" s="29"/>
      <c r="D452" s="29"/>
      <c r="E452" s="29"/>
      <c r="F452" s="27" t="str">
        <f aca="false">IFERROR(VLOOKUP(C452,利用者名簿!$A:$B,2,FALSE()),"")</f>
        <v/>
      </c>
    </row>
    <row r="453" customFormat="false" ht="15" hidden="false" customHeight="false" outlineLevel="0" collapsed="false">
      <c r="A453" s="28"/>
      <c r="B453" s="29"/>
      <c r="C453" s="29"/>
      <c r="D453" s="29"/>
      <c r="E453" s="29"/>
      <c r="F453" s="27" t="str">
        <f aca="false">IFERROR(VLOOKUP(C453,利用者名簿!$A:$B,2,FALSE()),"")</f>
        <v/>
      </c>
    </row>
    <row r="454" customFormat="false" ht="15" hidden="false" customHeight="false" outlineLevel="0" collapsed="false">
      <c r="A454" s="28"/>
      <c r="B454" s="29"/>
      <c r="C454" s="29"/>
      <c r="D454" s="29"/>
      <c r="E454" s="29"/>
      <c r="F454" s="27" t="str">
        <f aca="false">IFERROR(VLOOKUP(C454,利用者名簿!$A:$B,2,FALSE()),"")</f>
        <v/>
      </c>
    </row>
    <row r="455" customFormat="false" ht="15" hidden="false" customHeight="false" outlineLevel="0" collapsed="false">
      <c r="A455" s="28"/>
      <c r="B455" s="29"/>
      <c r="C455" s="29"/>
      <c r="D455" s="29"/>
      <c r="E455" s="29"/>
      <c r="F455" s="27" t="str">
        <f aca="false">IFERROR(VLOOKUP(C455,利用者名簿!$A:$B,2,FALSE()),"")</f>
        <v/>
      </c>
    </row>
    <row r="456" customFormat="false" ht="15" hidden="false" customHeight="false" outlineLevel="0" collapsed="false">
      <c r="A456" s="28"/>
      <c r="B456" s="29"/>
      <c r="C456" s="29"/>
      <c r="D456" s="29"/>
      <c r="E456" s="29"/>
      <c r="F456" s="27" t="str">
        <f aca="false">IFERROR(VLOOKUP(C456,利用者名簿!$A:$B,2,FALSE()),"")</f>
        <v/>
      </c>
    </row>
    <row r="457" customFormat="false" ht="15" hidden="false" customHeight="false" outlineLevel="0" collapsed="false">
      <c r="A457" s="28"/>
      <c r="B457" s="29"/>
      <c r="C457" s="29"/>
      <c r="D457" s="29"/>
      <c r="E457" s="29"/>
      <c r="F457" s="27" t="str">
        <f aca="false">IFERROR(VLOOKUP(C457,利用者名簿!$A:$B,2,FALSE()),"")</f>
        <v/>
      </c>
    </row>
    <row r="458" customFormat="false" ht="15" hidden="false" customHeight="false" outlineLevel="0" collapsed="false">
      <c r="A458" s="28"/>
      <c r="B458" s="29"/>
      <c r="C458" s="29"/>
      <c r="D458" s="29"/>
      <c r="E458" s="29"/>
      <c r="F458" s="27" t="str">
        <f aca="false">IFERROR(VLOOKUP(C458,利用者名簿!$A:$B,2,FALSE()),"")</f>
        <v/>
      </c>
    </row>
    <row r="459" customFormat="false" ht="15" hidden="false" customHeight="false" outlineLevel="0" collapsed="false">
      <c r="A459" s="28"/>
      <c r="B459" s="29"/>
      <c r="C459" s="29"/>
      <c r="D459" s="29"/>
      <c r="E459" s="29"/>
      <c r="F459" s="27" t="str">
        <f aca="false">IFERROR(VLOOKUP(C459,利用者名簿!$A:$B,2,FALSE()),"")</f>
        <v/>
      </c>
    </row>
    <row r="460" customFormat="false" ht="15" hidden="false" customHeight="false" outlineLevel="0" collapsed="false">
      <c r="A460" s="28"/>
      <c r="B460" s="29"/>
      <c r="C460" s="29"/>
      <c r="D460" s="29"/>
      <c r="E460" s="29"/>
      <c r="F460" s="27" t="str">
        <f aca="false">IFERROR(VLOOKUP(C460,利用者名簿!$A:$B,2,FALSE()),"")</f>
        <v/>
      </c>
    </row>
    <row r="461" customFormat="false" ht="15" hidden="false" customHeight="false" outlineLevel="0" collapsed="false">
      <c r="A461" s="28"/>
      <c r="B461" s="29"/>
      <c r="C461" s="29"/>
      <c r="D461" s="29"/>
      <c r="E461" s="29"/>
      <c r="F461" s="27" t="str">
        <f aca="false">IFERROR(VLOOKUP(C461,利用者名簿!$A:$B,2,FALSE()),"")</f>
        <v/>
      </c>
    </row>
    <row r="462" customFormat="false" ht="15" hidden="false" customHeight="false" outlineLevel="0" collapsed="false">
      <c r="A462" s="28"/>
      <c r="B462" s="29"/>
      <c r="C462" s="29"/>
      <c r="D462" s="29"/>
      <c r="E462" s="29"/>
      <c r="F462" s="27" t="str">
        <f aca="false">IFERROR(VLOOKUP(C462,利用者名簿!$A:$B,2,FALSE()),"")</f>
        <v/>
      </c>
    </row>
    <row r="463" customFormat="false" ht="15" hidden="false" customHeight="false" outlineLevel="0" collapsed="false">
      <c r="A463" s="28"/>
      <c r="B463" s="29"/>
      <c r="C463" s="29"/>
      <c r="D463" s="29"/>
      <c r="E463" s="29"/>
      <c r="F463" s="27" t="str">
        <f aca="false">IFERROR(VLOOKUP(C463,利用者名簿!$A:$B,2,FALSE()),"")</f>
        <v/>
      </c>
    </row>
    <row r="464" customFormat="false" ht="15" hidden="false" customHeight="false" outlineLevel="0" collapsed="false">
      <c r="A464" s="28"/>
      <c r="B464" s="29"/>
      <c r="C464" s="29"/>
      <c r="D464" s="29"/>
      <c r="E464" s="29"/>
      <c r="F464" s="27" t="str">
        <f aca="false">IFERROR(VLOOKUP(C464,利用者名簿!$A:$B,2,FALSE()),"")</f>
        <v/>
      </c>
    </row>
    <row r="465" customFormat="false" ht="15" hidden="false" customHeight="false" outlineLevel="0" collapsed="false">
      <c r="A465" s="28"/>
      <c r="B465" s="29"/>
      <c r="C465" s="29"/>
      <c r="D465" s="29"/>
      <c r="E465" s="29"/>
      <c r="F465" s="27" t="str">
        <f aca="false">IFERROR(VLOOKUP(C465,利用者名簿!$A:$B,2,FALSE()),"")</f>
        <v/>
      </c>
    </row>
    <row r="466" customFormat="false" ht="15" hidden="false" customHeight="false" outlineLevel="0" collapsed="false">
      <c r="A466" s="28"/>
      <c r="B466" s="29"/>
      <c r="C466" s="29"/>
      <c r="D466" s="29"/>
      <c r="E466" s="29"/>
      <c r="F466" s="27" t="str">
        <f aca="false">IFERROR(VLOOKUP(C466,利用者名簿!$A:$B,2,FALSE()),"")</f>
        <v/>
      </c>
    </row>
    <row r="467" customFormat="false" ht="15" hidden="false" customHeight="false" outlineLevel="0" collapsed="false">
      <c r="A467" s="28"/>
      <c r="B467" s="29"/>
      <c r="C467" s="29"/>
      <c r="D467" s="29"/>
      <c r="E467" s="29"/>
      <c r="F467" s="27" t="str">
        <f aca="false">IFERROR(VLOOKUP(C467,利用者名簿!$A:$B,2,FALSE()),"")</f>
        <v/>
      </c>
    </row>
    <row r="468" customFormat="false" ht="15" hidden="false" customHeight="false" outlineLevel="0" collapsed="false">
      <c r="A468" s="28"/>
      <c r="B468" s="29"/>
      <c r="C468" s="29"/>
      <c r="D468" s="29"/>
      <c r="E468" s="29"/>
      <c r="F468" s="27" t="str">
        <f aca="false">IFERROR(VLOOKUP(C468,利用者名簿!$A:$B,2,FALSE()),"")</f>
        <v/>
      </c>
    </row>
    <row r="469" customFormat="false" ht="15" hidden="false" customHeight="false" outlineLevel="0" collapsed="false">
      <c r="A469" s="28"/>
      <c r="B469" s="29"/>
      <c r="C469" s="29"/>
      <c r="D469" s="29"/>
      <c r="E469" s="29"/>
      <c r="F469" s="27" t="str">
        <f aca="false">IFERROR(VLOOKUP(C469,利用者名簿!$A:$B,2,FALSE()),"")</f>
        <v/>
      </c>
    </row>
    <row r="470" customFormat="false" ht="15" hidden="false" customHeight="false" outlineLevel="0" collapsed="false">
      <c r="A470" s="28"/>
      <c r="B470" s="29"/>
      <c r="C470" s="29"/>
      <c r="D470" s="29"/>
      <c r="E470" s="29"/>
      <c r="F470" s="27" t="str">
        <f aca="false">IFERROR(VLOOKUP(C470,利用者名簿!$A:$B,2,FALSE()),"")</f>
        <v/>
      </c>
    </row>
    <row r="471" customFormat="false" ht="15" hidden="false" customHeight="false" outlineLevel="0" collapsed="false">
      <c r="A471" s="28"/>
      <c r="B471" s="29"/>
      <c r="C471" s="29"/>
      <c r="D471" s="29"/>
      <c r="E471" s="29"/>
      <c r="F471" s="27" t="str">
        <f aca="false">IFERROR(VLOOKUP(C471,利用者名簿!$A:$B,2,FALSE()),"")</f>
        <v/>
      </c>
    </row>
    <row r="472" customFormat="false" ht="15" hidden="false" customHeight="false" outlineLevel="0" collapsed="false">
      <c r="A472" s="28"/>
      <c r="B472" s="29"/>
      <c r="C472" s="29"/>
      <c r="D472" s="29"/>
      <c r="E472" s="29"/>
      <c r="F472" s="27" t="str">
        <f aca="false">IFERROR(VLOOKUP(C472,利用者名簿!$A:$B,2,FALSE()),"")</f>
        <v/>
      </c>
    </row>
    <row r="473" customFormat="false" ht="15" hidden="false" customHeight="false" outlineLevel="0" collapsed="false">
      <c r="A473" s="28"/>
      <c r="B473" s="29"/>
      <c r="C473" s="29"/>
      <c r="D473" s="29"/>
      <c r="E473" s="29"/>
      <c r="F473" s="27" t="str">
        <f aca="false">IFERROR(VLOOKUP(C473,利用者名簿!$A:$B,2,FALSE()),"")</f>
        <v/>
      </c>
    </row>
    <row r="474" customFormat="false" ht="15" hidden="false" customHeight="false" outlineLevel="0" collapsed="false">
      <c r="A474" s="28"/>
      <c r="B474" s="29"/>
      <c r="C474" s="29"/>
      <c r="D474" s="29"/>
      <c r="E474" s="29"/>
      <c r="F474" s="27" t="str">
        <f aca="false">IFERROR(VLOOKUP(C474,利用者名簿!$A:$B,2,FALSE()),"")</f>
        <v/>
      </c>
    </row>
    <row r="475" customFormat="false" ht="15" hidden="false" customHeight="false" outlineLevel="0" collapsed="false">
      <c r="A475" s="28"/>
      <c r="B475" s="29"/>
      <c r="C475" s="29"/>
      <c r="D475" s="29"/>
      <c r="E475" s="29"/>
      <c r="F475" s="27" t="str">
        <f aca="false">IFERROR(VLOOKUP(C475,利用者名簿!$A:$B,2,FALSE()),"")</f>
        <v/>
      </c>
    </row>
    <row r="476" customFormat="false" ht="15" hidden="false" customHeight="false" outlineLevel="0" collapsed="false">
      <c r="A476" s="28"/>
      <c r="B476" s="29"/>
      <c r="C476" s="29"/>
      <c r="D476" s="29"/>
      <c r="E476" s="29"/>
      <c r="F476" s="27" t="str">
        <f aca="false">IFERROR(VLOOKUP(C476,利用者名簿!$A:$B,2,FALSE()),"")</f>
        <v/>
      </c>
    </row>
    <row r="477" customFormat="false" ht="15" hidden="false" customHeight="false" outlineLevel="0" collapsed="false">
      <c r="A477" s="28"/>
      <c r="B477" s="29"/>
      <c r="C477" s="29"/>
      <c r="D477" s="29"/>
      <c r="E477" s="29"/>
      <c r="F477" s="27" t="str">
        <f aca="false">IFERROR(VLOOKUP(C477,利用者名簿!$A:$B,2,FALSE()),"")</f>
        <v/>
      </c>
    </row>
    <row r="478" customFormat="false" ht="15" hidden="false" customHeight="false" outlineLevel="0" collapsed="false">
      <c r="A478" s="28"/>
      <c r="B478" s="29"/>
      <c r="C478" s="29"/>
      <c r="D478" s="29"/>
      <c r="E478" s="29"/>
      <c r="F478" s="27" t="str">
        <f aca="false">IFERROR(VLOOKUP(C478,利用者名簿!$A:$B,2,FALSE()),"")</f>
        <v/>
      </c>
    </row>
    <row r="479" customFormat="false" ht="15" hidden="false" customHeight="false" outlineLevel="0" collapsed="false">
      <c r="A479" s="28"/>
      <c r="B479" s="29"/>
      <c r="C479" s="29"/>
      <c r="D479" s="29"/>
      <c r="E479" s="29"/>
      <c r="F479" s="27" t="str">
        <f aca="false">IFERROR(VLOOKUP(C479,利用者名簿!$A:$B,2,FALSE()),"")</f>
        <v/>
      </c>
    </row>
    <row r="480" customFormat="false" ht="15" hidden="false" customHeight="false" outlineLevel="0" collapsed="false">
      <c r="A480" s="28"/>
      <c r="B480" s="29"/>
      <c r="C480" s="29"/>
      <c r="D480" s="29"/>
      <c r="E480" s="29"/>
      <c r="F480" s="27" t="str">
        <f aca="false">IFERROR(VLOOKUP(C480,利用者名簿!$A:$B,2,FALSE()),"")</f>
        <v/>
      </c>
    </row>
    <row r="481" customFormat="false" ht="15" hidden="false" customHeight="false" outlineLevel="0" collapsed="false">
      <c r="A481" s="28"/>
      <c r="B481" s="29"/>
      <c r="C481" s="29"/>
      <c r="D481" s="29"/>
      <c r="E481" s="29"/>
      <c r="F481" s="27" t="str">
        <f aca="false">IFERROR(VLOOKUP(C481,利用者名簿!$A:$B,2,FALSE()),"")</f>
        <v/>
      </c>
    </row>
    <row r="482" customFormat="false" ht="15" hidden="false" customHeight="false" outlineLevel="0" collapsed="false">
      <c r="A482" s="28"/>
      <c r="B482" s="29"/>
      <c r="C482" s="29"/>
      <c r="D482" s="29"/>
      <c r="E482" s="29"/>
      <c r="F482" s="27" t="str">
        <f aca="false">IFERROR(VLOOKUP(C482,利用者名簿!$A:$B,2,FALSE()),"")</f>
        <v/>
      </c>
    </row>
    <row r="483" customFormat="false" ht="15" hidden="false" customHeight="false" outlineLevel="0" collapsed="false">
      <c r="A483" s="28"/>
      <c r="B483" s="29"/>
      <c r="C483" s="29"/>
      <c r="D483" s="29"/>
      <c r="E483" s="29"/>
      <c r="F483" s="27" t="str">
        <f aca="false">IFERROR(VLOOKUP(C483,利用者名簿!$A:$B,2,FALSE()),"")</f>
        <v/>
      </c>
    </row>
    <row r="484" customFormat="false" ht="15" hidden="false" customHeight="false" outlineLevel="0" collapsed="false">
      <c r="A484" s="28"/>
      <c r="B484" s="29"/>
      <c r="C484" s="29"/>
      <c r="D484" s="29"/>
      <c r="E484" s="29"/>
      <c r="F484" s="27" t="str">
        <f aca="false">IFERROR(VLOOKUP(C484,利用者名簿!$A:$B,2,FALSE()),"")</f>
        <v/>
      </c>
    </row>
    <row r="485" customFormat="false" ht="15" hidden="false" customHeight="false" outlineLevel="0" collapsed="false">
      <c r="A485" s="28"/>
      <c r="B485" s="29"/>
      <c r="C485" s="29"/>
      <c r="D485" s="29"/>
      <c r="E485" s="29"/>
      <c r="F485" s="27" t="str">
        <f aca="false">IFERROR(VLOOKUP(C485,利用者名簿!$A:$B,2,FALSE()),"")</f>
        <v/>
      </c>
    </row>
    <row r="486" customFormat="false" ht="15" hidden="false" customHeight="false" outlineLevel="0" collapsed="false">
      <c r="A486" s="28"/>
      <c r="B486" s="29"/>
      <c r="C486" s="29"/>
      <c r="D486" s="29"/>
      <c r="E486" s="29"/>
      <c r="F486" s="27" t="str">
        <f aca="false">IFERROR(VLOOKUP(C486,利用者名簿!$A:$B,2,FALSE()),"")</f>
        <v/>
      </c>
    </row>
    <row r="487" customFormat="false" ht="15" hidden="false" customHeight="false" outlineLevel="0" collapsed="false">
      <c r="A487" s="28"/>
      <c r="B487" s="29"/>
      <c r="C487" s="29"/>
      <c r="D487" s="29"/>
      <c r="E487" s="29"/>
      <c r="F487" s="27" t="str">
        <f aca="false">IFERROR(VLOOKUP(C487,利用者名簿!$A:$B,2,FALSE()),"")</f>
        <v/>
      </c>
    </row>
    <row r="488" customFormat="false" ht="15" hidden="false" customHeight="false" outlineLevel="0" collapsed="false">
      <c r="A488" s="28"/>
      <c r="B488" s="29"/>
      <c r="C488" s="29"/>
      <c r="D488" s="29"/>
      <c r="E488" s="29"/>
      <c r="F488" s="27" t="str">
        <f aca="false">IFERROR(VLOOKUP(C488,利用者名簿!$A:$B,2,FALSE()),"")</f>
        <v/>
      </c>
    </row>
    <row r="489" customFormat="false" ht="15" hidden="false" customHeight="false" outlineLevel="0" collapsed="false">
      <c r="A489" s="28"/>
      <c r="B489" s="29"/>
      <c r="C489" s="29"/>
      <c r="D489" s="29"/>
      <c r="E489" s="29"/>
      <c r="F489" s="27" t="str">
        <f aca="false">IFERROR(VLOOKUP(C489,利用者名簿!$A:$B,2,FALSE()),"")</f>
        <v/>
      </c>
    </row>
    <row r="490" customFormat="false" ht="15" hidden="false" customHeight="false" outlineLevel="0" collapsed="false">
      <c r="A490" s="28"/>
      <c r="B490" s="29"/>
      <c r="C490" s="29"/>
      <c r="D490" s="29"/>
      <c r="E490" s="29"/>
      <c r="F490" s="27" t="str">
        <f aca="false">IFERROR(VLOOKUP(C490,利用者名簿!$A:$B,2,FALSE()),"")</f>
        <v/>
      </c>
    </row>
    <row r="491" customFormat="false" ht="15" hidden="false" customHeight="false" outlineLevel="0" collapsed="false">
      <c r="A491" s="28"/>
      <c r="B491" s="29"/>
      <c r="C491" s="29"/>
      <c r="D491" s="29"/>
      <c r="E491" s="29"/>
      <c r="F491" s="27" t="str">
        <f aca="false">IFERROR(VLOOKUP(C491,利用者名簿!$A:$B,2,FALSE()),"")</f>
        <v/>
      </c>
    </row>
    <row r="492" customFormat="false" ht="15" hidden="false" customHeight="false" outlineLevel="0" collapsed="false">
      <c r="A492" s="28"/>
      <c r="B492" s="29"/>
      <c r="C492" s="29"/>
      <c r="D492" s="29"/>
      <c r="E492" s="29"/>
      <c r="F492" s="27" t="str">
        <f aca="false">IFERROR(VLOOKUP(C492,利用者名簿!$A:$B,2,FALSE()),"")</f>
        <v/>
      </c>
    </row>
    <row r="493" customFormat="false" ht="15" hidden="false" customHeight="false" outlineLevel="0" collapsed="false">
      <c r="A493" s="28"/>
      <c r="B493" s="29"/>
      <c r="C493" s="29"/>
      <c r="D493" s="29"/>
      <c r="E493" s="29"/>
      <c r="F493" s="27" t="str">
        <f aca="false">IFERROR(VLOOKUP(C493,利用者名簿!$A:$B,2,FALSE()),"")</f>
        <v/>
      </c>
    </row>
    <row r="494" customFormat="false" ht="15" hidden="false" customHeight="false" outlineLevel="0" collapsed="false">
      <c r="A494" s="28"/>
      <c r="B494" s="29"/>
      <c r="C494" s="29"/>
      <c r="D494" s="29"/>
      <c r="E494" s="29"/>
      <c r="F494" s="27" t="str">
        <f aca="false">IFERROR(VLOOKUP(C494,利用者名簿!$A:$B,2,FALSE()),"")</f>
        <v/>
      </c>
    </row>
    <row r="495" customFormat="false" ht="15" hidden="false" customHeight="false" outlineLevel="0" collapsed="false">
      <c r="A495" s="28"/>
      <c r="B495" s="29"/>
      <c r="C495" s="29"/>
      <c r="D495" s="29"/>
      <c r="E495" s="29"/>
      <c r="F495" s="27" t="str">
        <f aca="false">IFERROR(VLOOKUP(C495,利用者名簿!$A:$B,2,FALSE()),"")</f>
        <v/>
      </c>
    </row>
    <row r="496" customFormat="false" ht="15" hidden="false" customHeight="false" outlineLevel="0" collapsed="false">
      <c r="A496" s="28"/>
      <c r="B496" s="29"/>
      <c r="C496" s="29"/>
      <c r="D496" s="29"/>
      <c r="E496" s="29"/>
      <c r="F496" s="27" t="str">
        <f aca="false">IFERROR(VLOOKUP(C496,利用者名簿!$A:$B,2,FALSE()),"")</f>
        <v/>
      </c>
    </row>
    <row r="497" customFormat="false" ht="15" hidden="false" customHeight="false" outlineLevel="0" collapsed="false">
      <c r="A497" s="28"/>
      <c r="B497" s="29"/>
      <c r="C497" s="29"/>
      <c r="D497" s="29"/>
      <c r="E497" s="29"/>
      <c r="F497" s="27" t="str">
        <f aca="false">IFERROR(VLOOKUP(C497,利用者名簿!$A:$B,2,FALSE()),"")</f>
        <v/>
      </c>
    </row>
    <row r="498" customFormat="false" ht="15" hidden="false" customHeight="false" outlineLevel="0" collapsed="false">
      <c r="A498" s="28"/>
      <c r="B498" s="29"/>
      <c r="C498" s="29"/>
      <c r="D498" s="29"/>
      <c r="E498" s="29"/>
      <c r="F498" s="27" t="str">
        <f aca="false">IFERROR(VLOOKUP(C498,利用者名簿!$A:$B,2,FALSE()),"")</f>
        <v/>
      </c>
    </row>
    <row r="499" customFormat="false" ht="15" hidden="false" customHeight="false" outlineLevel="0" collapsed="false">
      <c r="A499" s="28"/>
      <c r="B499" s="29"/>
      <c r="C499" s="29"/>
      <c r="D499" s="29"/>
      <c r="E499" s="29"/>
      <c r="F499" s="27" t="str">
        <f aca="false">IFERROR(VLOOKUP(C499,利用者名簿!$A:$B,2,FALSE()),"")</f>
        <v/>
      </c>
    </row>
    <row r="500" customFormat="false" ht="15" hidden="false" customHeight="false" outlineLevel="0" collapsed="false">
      <c r="A500" s="28"/>
      <c r="B500" s="29"/>
      <c r="C500" s="29"/>
      <c r="D500" s="29"/>
      <c r="E500" s="29"/>
      <c r="F500" s="27" t="str">
        <f aca="false">IFERROR(VLOOKUP(C500,利用者名簿!$A:$B,2,FALSE()),"")</f>
        <v/>
      </c>
    </row>
  </sheetData>
  <dataValidations count="3">
    <dataValidation allowBlank="true" errorStyle="stop" operator="between" showDropDown="false" showErrorMessage="false" showInputMessage="false" sqref="B2:B500" type="list">
      <formula1>区分マスタ!$B$2:$B$4</formula1>
      <formula2>0</formula2>
    </dataValidation>
    <dataValidation allowBlank="true" error="利用者名簿シートに登録されている氏名から選択してください" errorStyle="stop" errorTitle="入力エラー" operator="between" showDropDown="false" showErrorMessage="false" showInputMessage="false" sqref="C2:C500" type="list">
      <formula1>利用者名簿!$A$2:$A$200</formula1>
      <formula2>0</formula2>
    </dataValidation>
    <dataValidation allowBlank="true" errorStyle="stop" operator="between" showDropDown="false" showErrorMessage="false" showInputMessage="false" sqref="D2:D500" type="list">
      <formula1>区分マスタ!$C$2:$C$3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8" t="s">
        <v>38</v>
      </c>
      <c r="B1" s="8" t="s">
        <v>43</v>
      </c>
      <c r="C1" s="8" t="s">
        <v>59</v>
      </c>
      <c r="D1" s="8" t="s">
        <v>60</v>
      </c>
    </row>
    <row r="2" customFormat="false" ht="17.15" hidden="false" customHeight="false" outlineLevel="0" collapsed="false">
      <c r="A2" s="25" t="n">
        <v>46247</v>
      </c>
      <c r="B2" s="26" t="s">
        <v>49</v>
      </c>
      <c r="C2" s="26" t="n">
        <v>0</v>
      </c>
      <c r="D2" s="26" t="n">
        <v>2</v>
      </c>
      <c r="E2" s="30" t="s">
        <v>61</v>
      </c>
    </row>
    <row r="3" customFormat="false" ht="15" hidden="false" customHeight="false" outlineLevel="0" collapsed="false">
      <c r="A3" s="28"/>
      <c r="B3" s="29"/>
      <c r="C3" s="29"/>
      <c r="D3" s="29"/>
    </row>
    <row r="4" customFormat="false" ht="15" hidden="false" customHeight="false" outlineLevel="0" collapsed="false">
      <c r="A4" s="28"/>
      <c r="B4" s="29"/>
      <c r="C4" s="29"/>
      <c r="D4" s="29"/>
    </row>
    <row r="5" customFormat="false" ht="15" hidden="false" customHeight="false" outlineLevel="0" collapsed="false">
      <c r="A5" s="28"/>
      <c r="B5" s="29"/>
      <c r="C5" s="29"/>
      <c r="D5" s="29"/>
    </row>
    <row r="6" customFormat="false" ht="15" hidden="false" customHeight="false" outlineLevel="0" collapsed="false">
      <c r="A6" s="28"/>
      <c r="B6" s="29"/>
      <c r="C6" s="29"/>
      <c r="D6" s="29"/>
    </row>
    <row r="7" customFormat="false" ht="15" hidden="false" customHeight="false" outlineLevel="0" collapsed="false">
      <c r="A7" s="28"/>
      <c r="B7" s="29"/>
      <c r="C7" s="29"/>
      <c r="D7" s="29"/>
    </row>
    <row r="8" customFormat="false" ht="15" hidden="false" customHeight="false" outlineLevel="0" collapsed="false">
      <c r="A8" s="28"/>
      <c r="B8" s="29"/>
      <c r="C8" s="29"/>
      <c r="D8" s="29"/>
    </row>
    <row r="9" customFormat="false" ht="15" hidden="false" customHeight="false" outlineLevel="0" collapsed="false">
      <c r="A9" s="28"/>
      <c r="B9" s="29"/>
      <c r="C9" s="29"/>
      <c r="D9" s="29"/>
    </row>
    <row r="10" customFormat="false" ht="15" hidden="false" customHeight="false" outlineLevel="0" collapsed="false">
      <c r="A10" s="28"/>
      <c r="B10" s="29"/>
      <c r="C10" s="29"/>
      <c r="D10" s="29"/>
    </row>
    <row r="11" customFormat="false" ht="15" hidden="false" customHeight="false" outlineLevel="0" collapsed="false">
      <c r="A11" s="28"/>
      <c r="B11" s="29"/>
      <c r="C11" s="29"/>
      <c r="D11" s="29"/>
    </row>
    <row r="12" customFormat="false" ht="15" hidden="false" customHeight="false" outlineLevel="0" collapsed="false">
      <c r="A12" s="28"/>
      <c r="B12" s="29"/>
      <c r="C12" s="29"/>
      <c r="D12" s="29"/>
    </row>
    <row r="13" customFormat="false" ht="15" hidden="false" customHeight="false" outlineLevel="0" collapsed="false">
      <c r="A13" s="28"/>
      <c r="B13" s="29"/>
      <c r="C13" s="29"/>
      <c r="D13" s="29"/>
    </row>
    <row r="14" customFormat="false" ht="15" hidden="false" customHeight="false" outlineLevel="0" collapsed="false">
      <c r="A14" s="28"/>
      <c r="B14" s="29"/>
      <c r="C14" s="29"/>
      <c r="D14" s="29"/>
    </row>
    <row r="15" customFormat="false" ht="15" hidden="false" customHeight="false" outlineLevel="0" collapsed="false">
      <c r="A15" s="28"/>
      <c r="B15" s="29"/>
      <c r="C15" s="29"/>
      <c r="D15" s="29"/>
    </row>
    <row r="16" customFormat="false" ht="15" hidden="false" customHeight="false" outlineLevel="0" collapsed="false">
      <c r="A16" s="28"/>
      <c r="B16" s="29"/>
      <c r="C16" s="29"/>
      <c r="D16" s="29"/>
    </row>
    <row r="17" customFormat="false" ht="15" hidden="false" customHeight="false" outlineLevel="0" collapsed="false">
      <c r="A17" s="28"/>
      <c r="B17" s="29"/>
      <c r="C17" s="29"/>
      <c r="D17" s="29"/>
    </row>
    <row r="18" customFormat="false" ht="15" hidden="false" customHeight="false" outlineLevel="0" collapsed="false">
      <c r="A18" s="28"/>
      <c r="B18" s="29"/>
      <c r="C18" s="29"/>
      <c r="D18" s="29"/>
    </row>
    <row r="19" customFormat="false" ht="15" hidden="false" customHeight="false" outlineLevel="0" collapsed="false">
      <c r="A19" s="28"/>
      <c r="B19" s="29"/>
      <c r="C19" s="29"/>
      <c r="D19" s="29"/>
    </row>
    <row r="20" customFormat="false" ht="15" hidden="false" customHeight="false" outlineLevel="0" collapsed="false">
      <c r="A20" s="28"/>
      <c r="B20" s="29"/>
      <c r="C20" s="29"/>
      <c r="D20" s="29"/>
    </row>
    <row r="21" customFormat="false" ht="15" hidden="false" customHeight="false" outlineLevel="0" collapsed="false">
      <c r="A21" s="28"/>
      <c r="B21" s="29"/>
      <c r="C21" s="29"/>
      <c r="D21" s="29"/>
    </row>
    <row r="22" customFormat="false" ht="15" hidden="false" customHeight="false" outlineLevel="0" collapsed="false">
      <c r="A22" s="28"/>
      <c r="B22" s="29"/>
      <c r="C22" s="29"/>
      <c r="D22" s="29"/>
    </row>
    <row r="23" customFormat="false" ht="15" hidden="false" customHeight="false" outlineLevel="0" collapsed="false">
      <c r="A23" s="28"/>
      <c r="B23" s="29"/>
      <c r="C23" s="29"/>
      <c r="D23" s="29"/>
    </row>
    <row r="24" customFormat="false" ht="15" hidden="false" customHeight="false" outlineLevel="0" collapsed="false">
      <c r="A24" s="28"/>
      <c r="B24" s="29"/>
      <c r="C24" s="29"/>
      <c r="D24" s="29"/>
    </row>
    <row r="25" customFormat="false" ht="15" hidden="false" customHeight="false" outlineLevel="0" collapsed="false">
      <c r="A25" s="28"/>
      <c r="B25" s="29"/>
      <c r="C25" s="29"/>
      <c r="D25" s="29"/>
    </row>
    <row r="26" customFormat="false" ht="15" hidden="false" customHeight="false" outlineLevel="0" collapsed="false">
      <c r="A26" s="28"/>
      <c r="B26" s="29"/>
      <c r="C26" s="29"/>
      <c r="D26" s="29"/>
    </row>
    <row r="27" customFormat="false" ht="15" hidden="false" customHeight="false" outlineLevel="0" collapsed="false">
      <c r="A27" s="28"/>
      <c r="B27" s="29"/>
      <c r="C27" s="29"/>
      <c r="D27" s="29"/>
    </row>
    <row r="28" customFormat="false" ht="15" hidden="false" customHeight="false" outlineLevel="0" collapsed="false">
      <c r="A28" s="28"/>
      <c r="B28" s="29"/>
      <c r="C28" s="29"/>
      <c r="D28" s="29"/>
    </row>
    <row r="29" customFormat="false" ht="15" hidden="false" customHeight="false" outlineLevel="0" collapsed="false">
      <c r="A29" s="28"/>
      <c r="B29" s="29"/>
      <c r="C29" s="29"/>
      <c r="D29" s="29"/>
    </row>
    <row r="30" customFormat="false" ht="15" hidden="false" customHeight="false" outlineLevel="0" collapsed="false">
      <c r="A30" s="28"/>
      <c r="B30" s="29"/>
      <c r="C30" s="29"/>
      <c r="D30" s="29"/>
    </row>
    <row r="31" customFormat="false" ht="15" hidden="false" customHeight="false" outlineLevel="0" collapsed="false">
      <c r="A31" s="28"/>
      <c r="B31" s="29"/>
      <c r="C31" s="29"/>
      <c r="D31" s="29"/>
    </row>
    <row r="32" customFormat="false" ht="15" hidden="false" customHeight="false" outlineLevel="0" collapsed="false">
      <c r="A32" s="28"/>
      <c r="B32" s="29"/>
      <c r="C32" s="29"/>
      <c r="D32" s="29"/>
    </row>
    <row r="33" customFormat="false" ht="15" hidden="false" customHeight="false" outlineLevel="0" collapsed="false">
      <c r="A33" s="28"/>
      <c r="B33" s="29"/>
      <c r="C33" s="29"/>
      <c r="D33" s="29"/>
    </row>
    <row r="34" customFormat="false" ht="15" hidden="false" customHeight="false" outlineLevel="0" collapsed="false">
      <c r="A34" s="28"/>
      <c r="B34" s="29"/>
      <c r="C34" s="29"/>
      <c r="D34" s="29"/>
    </row>
    <row r="35" customFormat="false" ht="15" hidden="false" customHeight="false" outlineLevel="0" collapsed="false">
      <c r="A35" s="28"/>
      <c r="B35" s="29"/>
      <c r="C35" s="29"/>
      <c r="D35" s="29"/>
    </row>
    <row r="36" customFormat="false" ht="15" hidden="false" customHeight="false" outlineLevel="0" collapsed="false">
      <c r="A36" s="28"/>
      <c r="B36" s="29"/>
      <c r="C36" s="29"/>
      <c r="D36" s="29"/>
    </row>
    <row r="37" customFormat="false" ht="15" hidden="false" customHeight="false" outlineLevel="0" collapsed="false">
      <c r="A37" s="28"/>
      <c r="B37" s="29"/>
      <c r="C37" s="29"/>
      <c r="D37" s="29"/>
    </row>
    <row r="38" customFormat="false" ht="15" hidden="false" customHeight="false" outlineLevel="0" collapsed="false">
      <c r="A38" s="28"/>
      <c r="B38" s="29"/>
      <c r="C38" s="29"/>
      <c r="D38" s="29"/>
    </row>
    <row r="39" customFormat="false" ht="15" hidden="false" customHeight="false" outlineLevel="0" collapsed="false">
      <c r="A39" s="28"/>
      <c r="B39" s="29"/>
      <c r="C39" s="29"/>
      <c r="D39" s="29"/>
    </row>
    <row r="40" customFormat="false" ht="15" hidden="false" customHeight="false" outlineLevel="0" collapsed="false">
      <c r="A40" s="28"/>
      <c r="B40" s="29"/>
      <c r="C40" s="29"/>
      <c r="D40" s="29"/>
    </row>
    <row r="41" customFormat="false" ht="15" hidden="false" customHeight="false" outlineLevel="0" collapsed="false">
      <c r="A41" s="28"/>
      <c r="B41" s="29"/>
      <c r="C41" s="29"/>
      <c r="D41" s="29"/>
    </row>
    <row r="42" customFormat="false" ht="15" hidden="false" customHeight="false" outlineLevel="0" collapsed="false">
      <c r="A42" s="28"/>
      <c r="B42" s="29"/>
      <c r="C42" s="29"/>
      <c r="D42" s="29"/>
    </row>
    <row r="43" customFormat="false" ht="15" hidden="false" customHeight="false" outlineLevel="0" collapsed="false">
      <c r="A43" s="28"/>
      <c r="B43" s="29"/>
      <c r="C43" s="29"/>
      <c r="D43" s="29"/>
    </row>
    <row r="44" customFormat="false" ht="15" hidden="false" customHeight="false" outlineLevel="0" collapsed="false">
      <c r="A44" s="28"/>
      <c r="B44" s="29"/>
      <c r="C44" s="29"/>
      <c r="D44" s="29"/>
    </row>
    <row r="45" customFormat="false" ht="15" hidden="false" customHeight="false" outlineLevel="0" collapsed="false">
      <c r="A45" s="28"/>
      <c r="B45" s="29"/>
      <c r="C45" s="29"/>
      <c r="D45" s="29"/>
    </row>
    <row r="46" customFormat="false" ht="15" hidden="false" customHeight="false" outlineLevel="0" collapsed="false">
      <c r="A46" s="28"/>
      <c r="B46" s="29"/>
      <c r="C46" s="29"/>
      <c r="D46" s="29"/>
    </row>
    <row r="47" customFormat="false" ht="15" hidden="false" customHeight="false" outlineLevel="0" collapsed="false">
      <c r="A47" s="28"/>
      <c r="B47" s="29"/>
      <c r="C47" s="29"/>
      <c r="D47" s="29"/>
    </row>
    <row r="48" customFormat="false" ht="15" hidden="false" customHeight="false" outlineLevel="0" collapsed="false">
      <c r="A48" s="28"/>
      <c r="B48" s="29"/>
      <c r="C48" s="29"/>
      <c r="D48" s="29"/>
    </row>
    <row r="49" customFormat="false" ht="15" hidden="false" customHeight="false" outlineLevel="0" collapsed="false">
      <c r="A49" s="28"/>
      <c r="B49" s="29"/>
      <c r="C49" s="29"/>
      <c r="D49" s="29"/>
    </row>
    <row r="50" customFormat="false" ht="15" hidden="false" customHeight="false" outlineLevel="0" collapsed="false">
      <c r="A50" s="28"/>
      <c r="B50" s="29"/>
      <c r="C50" s="29"/>
      <c r="D50" s="29"/>
    </row>
    <row r="51" customFormat="false" ht="15" hidden="false" customHeight="false" outlineLevel="0" collapsed="false">
      <c r="A51" s="28"/>
      <c r="B51" s="29"/>
      <c r="C51" s="29"/>
      <c r="D51" s="29"/>
    </row>
    <row r="52" customFormat="false" ht="15" hidden="false" customHeight="false" outlineLevel="0" collapsed="false">
      <c r="A52" s="28"/>
      <c r="B52" s="29"/>
      <c r="C52" s="29"/>
      <c r="D52" s="29"/>
    </row>
    <row r="53" customFormat="false" ht="15" hidden="false" customHeight="false" outlineLevel="0" collapsed="false">
      <c r="A53" s="28"/>
      <c r="B53" s="29"/>
      <c r="C53" s="29"/>
      <c r="D53" s="29"/>
    </row>
    <row r="54" customFormat="false" ht="15" hidden="false" customHeight="false" outlineLevel="0" collapsed="false">
      <c r="A54" s="28"/>
      <c r="B54" s="29"/>
      <c r="C54" s="29"/>
      <c r="D54" s="29"/>
    </row>
    <row r="55" customFormat="false" ht="15" hidden="false" customHeight="false" outlineLevel="0" collapsed="false">
      <c r="A55" s="28"/>
      <c r="B55" s="29"/>
      <c r="C55" s="29"/>
      <c r="D55" s="29"/>
    </row>
    <row r="56" customFormat="false" ht="15" hidden="false" customHeight="false" outlineLevel="0" collapsed="false">
      <c r="A56" s="28"/>
      <c r="B56" s="29"/>
      <c r="C56" s="29"/>
      <c r="D56" s="29"/>
    </row>
    <row r="57" customFormat="false" ht="15" hidden="false" customHeight="false" outlineLevel="0" collapsed="false">
      <c r="A57" s="28"/>
      <c r="B57" s="29"/>
      <c r="C57" s="29"/>
      <c r="D57" s="29"/>
    </row>
    <row r="58" customFormat="false" ht="15" hidden="false" customHeight="false" outlineLevel="0" collapsed="false">
      <c r="A58" s="28"/>
      <c r="B58" s="29"/>
      <c r="C58" s="29"/>
      <c r="D58" s="29"/>
    </row>
    <row r="59" customFormat="false" ht="15" hidden="false" customHeight="false" outlineLevel="0" collapsed="false">
      <c r="A59" s="28"/>
      <c r="B59" s="29"/>
      <c r="C59" s="29"/>
      <c r="D59" s="29"/>
    </row>
    <row r="60" customFormat="false" ht="15" hidden="false" customHeight="false" outlineLevel="0" collapsed="false">
      <c r="A60" s="28"/>
      <c r="B60" s="29"/>
      <c r="C60" s="29"/>
      <c r="D60" s="29"/>
    </row>
    <row r="61" customFormat="false" ht="15" hidden="false" customHeight="false" outlineLevel="0" collapsed="false">
      <c r="A61" s="28"/>
      <c r="B61" s="29"/>
      <c r="C61" s="29"/>
      <c r="D61" s="29"/>
    </row>
    <row r="62" customFormat="false" ht="15" hidden="false" customHeight="false" outlineLevel="0" collapsed="false">
      <c r="A62" s="28"/>
      <c r="B62" s="29"/>
      <c r="C62" s="29"/>
      <c r="D62" s="29"/>
    </row>
    <row r="63" customFormat="false" ht="15" hidden="false" customHeight="false" outlineLevel="0" collapsed="false">
      <c r="A63" s="28"/>
      <c r="B63" s="29"/>
      <c r="C63" s="29"/>
      <c r="D63" s="29"/>
    </row>
    <row r="64" customFormat="false" ht="15" hidden="false" customHeight="false" outlineLevel="0" collapsed="false">
      <c r="A64" s="28"/>
      <c r="B64" s="29"/>
      <c r="C64" s="29"/>
      <c r="D64" s="29"/>
    </row>
    <row r="65" customFormat="false" ht="15" hidden="false" customHeight="false" outlineLevel="0" collapsed="false">
      <c r="A65" s="28"/>
      <c r="B65" s="29"/>
      <c r="C65" s="29"/>
      <c r="D65" s="29"/>
    </row>
    <row r="66" customFormat="false" ht="15" hidden="false" customHeight="false" outlineLevel="0" collapsed="false">
      <c r="A66" s="28"/>
      <c r="B66" s="29"/>
      <c r="C66" s="29"/>
      <c r="D66" s="29"/>
    </row>
    <row r="67" customFormat="false" ht="15" hidden="false" customHeight="false" outlineLevel="0" collapsed="false">
      <c r="A67" s="28"/>
      <c r="B67" s="29"/>
      <c r="C67" s="29"/>
      <c r="D67" s="29"/>
    </row>
    <row r="68" customFormat="false" ht="15" hidden="false" customHeight="false" outlineLevel="0" collapsed="false">
      <c r="A68" s="28"/>
      <c r="B68" s="29"/>
      <c r="C68" s="29"/>
      <c r="D68" s="29"/>
    </row>
    <row r="69" customFormat="false" ht="15" hidden="false" customHeight="false" outlineLevel="0" collapsed="false">
      <c r="A69" s="28"/>
      <c r="B69" s="29"/>
      <c r="C69" s="29"/>
      <c r="D69" s="29"/>
    </row>
    <row r="70" customFormat="false" ht="15" hidden="false" customHeight="false" outlineLevel="0" collapsed="false">
      <c r="A70" s="28"/>
      <c r="B70" s="29"/>
      <c r="C70" s="29"/>
      <c r="D70" s="29"/>
    </row>
    <row r="71" customFormat="false" ht="15" hidden="false" customHeight="false" outlineLevel="0" collapsed="false">
      <c r="A71" s="28"/>
      <c r="B71" s="29"/>
      <c r="C71" s="29"/>
      <c r="D71" s="29"/>
    </row>
    <row r="72" customFormat="false" ht="15" hidden="false" customHeight="false" outlineLevel="0" collapsed="false">
      <c r="A72" s="28"/>
      <c r="B72" s="29"/>
      <c r="C72" s="29"/>
      <c r="D72" s="29"/>
    </row>
    <row r="73" customFormat="false" ht="15" hidden="false" customHeight="false" outlineLevel="0" collapsed="false">
      <c r="A73" s="28"/>
      <c r="B73" s="29"/>
      <c r="C73" s="29"/>
      <c r="D73" s="29"/>
    </row>
    <row r="74" customFormat="false" ht="15" hidden="false" customHeight="false" outlineLevel="0" collapsed="false">
      <c r="A74" s="28"/>
      <c r="B74" s="29"/>
      <c r="C74" s="29"/>
      <c r="D74" s="29"/>
    </row>
    <row r="75" customFormat="false" ht="15" hidden="false" customHeight="false" outlineLevel="0" collapsed="false">
      <c r="A75" s="28"/>
      <c r="B75" s="29"/>
      <c r="C75" s="29"/>
      <c r="D75" s="29"/>
    </row>
    <row r="76" customFormat="false" ht="15" hidden="false" customHeight="false" outlineLevel="0" collapsed="false">
      <c r="A76" s="28"/>
      <c r="B76" s="29"/>
      <c r="C76" s="29"/>
      <c r="D76" s="29"/>
    </row>
    <row r="77" customFormat="false" ht="15" hidden="false" customHeight="false" outlineLevel="0" collapsed="false">
      <c r="A77" s="28"/>
      <c r="B77" s="29"/>
      <c r="C77" s="29"/>
      <c r="D77" s="29"/>
    </row>
    <row r="78" customFormat="false" ht="15" hidden="false" customHeight="false" outlineLevel="0" collapsed="false">
      <c r="A78" s="28"/>
      <c r="B78" s="29"/>
      <c r="C78" s="29"/>
      <c r="D78" s="29"/>
    </row>
    <row r="79" customFormat="false" ht="15" hidden="false" customHeight="false" outlineLevel="0" collapsed="false">
      <c r="A79" s="28"/>
      <c r="B79" s="29"/>
      <c r="C79" s="29"/>
      <c r="D79" s="29"/>
    </row>
    <row r="80" customFormat="false" ht="15" hidden="false" customHeight="false" outlineLevel="0" collapsed="false">
      <c r="A80" s="28"/>
      <c r="B80" s="29"/>
      <c r="C80" s="29"/>
      <c r="D80" s="29"/>
    </row>
    <row r="81" customFormat="false" ht="15" hidden="false" customHeight="false" outlineLevel="0" collapsed="false">
      <c r="A81" s="28"/>
      <c r="B81" s="29"/>
      <c r="C81" s="29"/>
      <c r="D81" s="29"/>
    </row>
    <row r="82" customFormat="false" ht="15" hidden="false" customHeight="false" outlineLevel="0" collapsed="false">
      <c r="A82" s="28"/>
      <c r="B82" s="29"/>
      <c r="C82" s="29"/>
      <c r="D82" s="29"/>
    </row>
    <row r="83" customFormat="false" ht="15" hidden="false" customHeight="false" outlineLevel="0" collapsed="false">
      <c r="A83" s="28"/>
      <c r="B83" s="29"/>
      <c r="C83" s="29"/>
      <c r="D83" s="29"/>
    </row>
    <row r="84" customFormat="false" ht="15" hidden="false" customHeight="false" outlineLevel="0" collapsed="false">
      <c r="A84" s="28"/>
      <c r="B84" s="29"/>
      <c r="C84" s="29"/>
      <c r="D84" s="29"/>
    </row>
    <row r="85" customFormat="false" ht="15" hidden="false" customHeight="false" outlineLevel="0" collapsed="false">
      <c r="A85" s="28"/>
      <c r="B85" s="29"/>
      <c r="C85" s="29"/>
      <c r="D85" s="29"/>
    </row>
    <row r="86" customFormat="false" ht="15" hidden="false" customHeight="false" outlineLevel="0" collapsed="false">
      <c r="A86" s="28"/>
      <c r="B86" s="29"/>
      <c r="C86" s="29"/>
      <c r="D86" s="29"/>
    </row>
    <row r="87" customFormat="false" ht="15" hidden="false" customHeight="false" outlineLevel="0" collapsed="false">
      <c r="A87" s="28"/>
      <c r="B87" s="29"/>
      <c r="C87" s="29"/>
      <c r="D87" s="29"/>
    </row>
    <row r="88" customFormat="false" ht="15" hidden="false" customHeight="false" outlineLevel="0" collapsed="false">
      <c r="A88" s="28"/>
      <c r="B88" s="29"/>
      <c r="C88" s="29"/>
      <c r="D88" s="29"/>
    </row>
    <row r="89" customFormat="false" ht="15" hidden="false" customHeight="false" outlineLevel="0" collapsed="false">
      <c r="A89" s="28"/>
      <c r="B89" s="29"/>
      <c r="C89" s="29"/>
      <c r="D89" s="29"/>
    </row>
    <row r="90" customFormat="false" ht="15" hidden="false" customHeight="false" outlineLevel="0" collapsed="false">
      <c r="A90" s="28"/>
      <c r="B90" s="29"/>
      <c r="C90" s="29"/>
      <c r="D90" s="29"/>
    </row>
    <row r="91" customFormat="false" ht="15" hidden="false" customHeight="false" outlineLevel="0" collapsed="false">
      <c r="A91" s="28"/>
      <c r="B91" s="29"/>
      <c r="C91" s="29"/>
      <c r="D91" s="29"/>
    </row>
    <row r="92" customFormat="false" ht="15" hidden="false" customHeight="false" outlineLevel="0" collapsed="false">
      <c r="A92" s="28"/>
      <c r="B92" s="29"/>
      <c r="C92" s="29"/>
      <c r="D92" s="29"/>
    </row>
    <row r="93" customFormat="false" ht="15" hidden="false" customHeight="false" outlineLevel="0" collapsed="false">
      <c r="A93" s="28"/>
      <c r="B93" s="29"/>
      <c r="C93" s="29"/>
      <c r="D93" s="29"/>
    </row>
    <row r="94" customFormat="false" ht="15" hidden="false" customHeight="false" outlineLevel="0" collapsed="false">
      <c r="A94" s="28"/>
      <c r="B94" s="29"/>
      <c r="C94" s="29"/>
      <c r="D94" s="29"/>
    </row>
    <row r="95" customFormat="false" ht="15" hidden="false" customHeight="false" outlineLevel="0" collapsed="false">
      <c r="A95" s="28"/>
      <c r="B95" s="29"/>
      <c r="C95" s="29"/>
      <c r="D95" s="29"/>
    </row>
    <row r="96" customFormat="false" ht="15" hidden="false" customHeight="false" outlineLevel="0" collapsed="false">
      <c r="A96" s="28"/>
      <c r="B96" s="29"/>
      <c r="C96" s="29"/>
      <c r="D96" s="29"/>
    </row>
    <row r="97" customFormat="false" ht="15" hidden="false" customHeight="false" outlineLevel="0" collapsed="false">
      <c r="A97" s="28"/>
      <c r="B97" s="29"/>
      <c r="C97" s="29"/>
      <c r="D97" s="29"/>
    </row>
    <row r="98" customFormat="false" ht="15" hidden="false" customHeight="false" outlineLevel="0" collapsed="false">
      <c r="A98" s="28"/>
      <c r="B98" s="29"/>
      <c r="C98" s="29"/>
      <c r="D98" s="29"/>
    </row>
    <row r="99" customFormat="false" ht="15" hidden="false" customHeight="false" outlineLevel="0" collapsed="false">
      <c r="A99" s="28"/>
      <c r="B99" s="29"/>
      <c r="C99" s="29"/>
      <c r="D99" s="29"/>
    </row>
    <row r="100" customFormat="false" ht="15" hidden="false" customHeight="false" outlineLevel="0" collapsed="false">
      <c r="A100" s="28"/>
      <c r="B100" s="29"/>
      <c r="C100" s="29"/>
      <c r="D100" s="29"/>
    </row>
    <row r="101" customFormat="false" ht="15" hidden="false" customHeight="false" outlineLevel="0" collapsed="false">
      <c r="A101" s="28"/>
      <c r="B101" s="29"/>
      <c r="C101" s="29"/>
      <c r="D101" s="29"/>
    </row>
    <row r="102" customFormat="false" ht="15" hidden="false" customHeight="false" outlineLevel="0" collapsed="false">
      <c r="A102" s="28"/>
      <c r="B102" s="29"/>
      <c r="C102" s="29"/>
      <c r="D102" s="29"/>
    </row>
    <row r="103" customFormat="false" ht="15" hidden="false" customHeight="false" outlineLevel="0" collapsed="false">
      <c r="A103" s="28"/>
      <c r="B103" s="29"/>
      <c r="C103" s="29"/>
      <c r="D103" s="29"/>
    </row>
    <row r="104" customFormat="false" ht="15" hidden="false" customHeight="false" outlineLevel="0" collapsed="false">
      <c r="A104" s="28"/>
      <c r="B104" s="29"/>
      <c r="C104" s="29"/>
      <c r="D104" s="29"/>
    </row>
    <row r="105" customFormat="false" ht="15" hidden="false" customHeight="false" outlineLevel="0" collapsed="false">
      <c r="A105" s="28"/>
      <c r="B105" s="29"/>
      <c r="C105" s="29"/>
      <c r="D105" s="29"/>
    </row>
    <row r="106" customFormat="false" ht="15" hidden="false" customHeight="false" outlineLevel="0" collapsed="false">
      <c r="A106" s="28"/>
      <c r="B106" s="29"/>
      <c r="C106" s="29"/>
      <c r="D106" s="29"/>
    </row>
    <row r="107" customFormat="false" ht="15" hidden="false" customHeight="false" outlineLevel="0" collapsed="false">
      <c r="A107" s="28"/>
      <c r="B107" s="29"/>
      <c r="C107" s="29"/>
      <c r="D107" s="29"/>
    </row>
    <row r="108" customFormat="false" ht="15" hidden="false" customHeight="false" outlineLevel="0" collapsed="false">
      <c r="A108" s="28"/>
      <c r="B108" s="29"/>
      <c r="C108" s="29"/>
      <c r="D108" s="29"/>
    </row>
    <row r="109" customFormat="false" ht="15" hidden="false" customHeight="false" outlineLevel="0" collapsed="false">
      <c r="A109" s="28"/>
      <c r="B109" s="29"/>
      <c r="C109" s="29"/>
      <c r="D109" s="29"/>
    </row>
    <row r="110" customFormat="false" ht="15" hidden="false" customHeight="false" outlineLevel="0" collapsed="false">
      <c r="A110" s="28"/>
      <c r="B110" s="29"/>
      <c r="C110" s="29"/>
      <c r="D110" s="29"/>
    </row>
    <row r="111" customFormat="false" ht="15" hidden="false" customHeight="false" outlineLevel="0" collapsed="false">
      <c r="A111" s="28"/>
      <c r="B111" s="29"/>
      <c r="C111" s="29"/>
      <c r="D111" s="29"/>
    </row>
    <row r="112" customFormat="false" ht="15" hidden="false" customHeight="false" outlineLevel="0" collapsed="false">
      <c r="A112" s="28"/>
      <c r="B112" s="29"/>
      <c r="C112" s="29"/>
      <c r="D112" s="29"/>
    </row>
    <row r="113" customFormat="false" ht="15" hidden="false" customHeight="false" outlineLevel="0" collapsed="false">
      <c r="A113" s="28"/>
      <c r="B113" s="29"/>
      <c r="C113" s="29"/>
      <c r="D113" s="29"/>
    </row>
    <row r="114" customFormat="false" ht="15" hidden="false" customHeight="false" outlineLevel="0" collapsed="false">
      <c r="A114" s="28"/>
      <c r="B114" s="29"/>
      <c r="C114" s="29"/>
      <c r="D114" s="29"/>
    </row>
    <row r="115" customFormat="false" ht="15" hidden="false" customHeight="false" outlineLevel="0" collapsed="false">
      <c r="A115" s="28"/>
      <c r="B115" s="29"/>
      <c r="C115" s="29"/>
      <c r="D115" s="29"/>
    </row>
    <row r="116" customFormat="false" ht="15" hidden="false" customHeight="false" outlineLevel="0" collapsed="false">
      <c r="A116" s="28"/>
      <c r="B116" s="29"/>
      <c r="C116" s="29"/>
      <c r="D116" s="29"/>
    </row>
    <row r="117" customFormat="false" ht="15" hidden="false" customHeight="false" outlineLevel="0" collapsed="false">
      <c r="A117" s="28"/>
      <c r="B117" s="29"/>
      <c r="C117" s="29"/>
      <c r="D117" s="29"/>
    </row>
    <row r="118" customFormat="false" ht="15" hidden="false" customHeight="false" outlineLevel="0" collapsed="false">
      <c r="A118" s="28"/>
      <c r="B118" s="29"/>
      <c r="C118" s="29"/>
      <c r="D118" s="29"/>
    </row>
    <row r="119" customFormat="false" ht="15" hidden="false" customHeight="false" outlineLevel="0" collapsed="false">
      <c r="A119" s="28"/>
      <c r="B119" s="29"/>
      <c r="C119" s="29"/>
      <c r="D119" s="29"/>
    </row>
    <row r="120" customFormat="false" ht="15" hidden="false" customHeight="false" outlineLevel="0" collapsed="false">
      <c r="A120" s="28"/>
      <c r="B120" s="29"/>
      <c r="C120" s="29"/>
      <c r="D120" s="29"/>
    </row>
    <row r="121" customFormat="false" ht="15" hidden="false" customHeight="false" outlineLevel="0" collapsed="false">
      <c r="A121" s="28"/>
      <c r="B121" s="29"/>
      <c r="C121" s="29"/>
      <c r="D121" s="29"/>
    </row>
    <row r="122" customFormat="false" ht="15" hidden="false" customHeight="false" outlineLevel="0" collapsed="false">
      <c r="A122" s="28"/>
      <c r="B122" s="29"/>
      <c r="C122" s="29"/>
      <c r="D122" s="29"/>
    </row>
    <row r="123" customFormat="false" ht="15" hidden="false" customHeight="false" outlineLevel="0" collapsed="false">
      <c r="A123" s="28"/>
      <c r="B123" s="29"/>
      <c r="C123" s="29"/>
      <c r="D123" s="29"/>
    </row>
    <row r="124" customFormat="false" ht="15" hidden="false" customHeight="false" outlineLevel="0" collapsed="false">
      <c r="A124" s="28"/>
      <c r="B124" s="29"/>
      <c r="C124" s="29"/>
      <c r="D124" s="29"/>
    </row>
    <row r="125" customFormat="false" ht="15" hidden="false" customHeight="false" outlineLevel="0" collapsed="false">
      <c r="A125" s="28"/>
      <c r="B125" s="29"/>
      <c r="C125" s="29"/>
      <c r="D125" s="29"/>
    </row>
    <row r="126" customFormat="false" ht="15" hidden="false" customHeight="false" outlineLevel="0" collapsed="false">
      <c r="A126" s="28"/>
      <c r="B126" s="29"/>
      <c r="C126" s="29"/>
      <c r="D126" s="29"/>
    </row>
    <row r="127" customFormat="false" ht="15" hidden="false" customHeight="false" outlineLevel="0" collapsed="false">
      <c r="A127" s="28"/>
      <c r="B127" s="29"/>
      <c r="C127" s="29"/>
      <c r="D127" s="29"/>
    </row>
    <row r="128" customFormat="false" ht="15" hidden="false" customHeight="false" outlineLevel="0" collapsed="false">
      <c r="A128" s="28"/>
      <c r="B128" s="29"/>
      <c r="C128" s="29"/>
      <c r="D128" s="29"/>
    </row>
    <row r="129" customFormat="false" ht="15" hidden="false" customHeight="false" outlineLevel="0" collapsed="false">
      <c r="A129" s="28"/>
      <c r="B129" s="29"/>
      <c r="C129" s="29"/>
      <c r="D129" s="29"/>
    </row>
    <row r="130" customFormat="false" ht="15" hidden="false" customHeight="false" outlineLevel="0" collapsed="false">
      <c r="A130" s="28"/>
      <c r="B130" s="29"/>
      <c r="C130" s="29"/>
      <c r="D130" s="29"/>
    </row>
    <row r="131" customFormat="false" ht="15" hidden="false" customHeight="false" outlineLevel="0" collapsed="false">
      <c r="A131" s="28"/>
      <c r="B131" s="29"/>
      <c r="C131" s="29"/>
      <c r="D131" s="29"/>
    </row>
    <row r="132" customFormat="false" ht="15" hidden="false" customHeight="false" outlineLevel="0" collapsed="false">
      <c r="A132" s="28"/>
      <c r="B132" s="29"/>
      <c r="C132" s="29"/>
      <c r="D132" s="29"/>
    </row>
    <row r="133" customFormat="false" ht="15" hidden="false" customHeight="false" outlineLevel="0" collapsed="false">
      <c r="A133" s="28"/>
      <c r="B133" s="29"/>
      <c r="C133" s="29"/>
      <c r="D133" s="29"/>
    </row>
    <row r="134" customFormat="false" ht="15" hidden="false" customHeight="false" outlineLevel="0" collapsed="false">
      <c r="A134" s="28"/>
      <c r="B134" s="29"/>
      <c r="C134" s="29"/>
      <c r="D134" s="29"/>
    </row>
    <row r="135" customFormat="false" ht="15" hidden="false" customHeight="false" outlineLevel="0" collapsed="false">
      <c r="A135" s="28"/>
      <c r="B135" s="29"/>
      <c r="C135" s="29"/>
      <c r="D135" s="29"/>
    </row>
    <row r="136" customFormat="false" ht="15" hidden="false" customHeight="false" outlineLevel="0" collapsed="false">
      <c r="A136" s="28"/>
      <c r="B136" s="29"/>
      <c r="C136" s="29"/>
      <c r="D136" s="29"/>
    </row>
    <row r="137" customFormat="false" ht="15" hidden="false" customHeight="false" outlineLevel="0" collapsed="false">
      <c r="A137" s="28"/>
      <c r="B137" s="29"/>
      <c r="C137" s="29"/>
      <c r="D137" s="29"/>
    </row>
    <row r="138" customFormat="false" ht="15" hidden="false" customHeight="false" outlineLevel="0" collapsed="false">
      <c r="A138" s="28"/>
      <c r="B138" s="29"/>
      <c r="C138" s="29"/>
      <c r="D138" s="29"/>
    </row>
    <row r="139" customFormat="false" ht="15" hidden="false" customHeight="false" outlineLevel="0" collapsed="false">
      <c r="A139" s="28"/>
      <c r="B139" s="29"/>
      <c r="C139" s="29"/>
      <c r="D139" s="29"/>
    </row>
    <row r="140" customFormat="false" ht="15" hidden="false" customHeight="false" outlineLevel="0" collapsed="false">
      <c r="A140" s="28"/>
      <c r="B140" s="29"/>
      <c r="C140" s="29"/>
      <c r="D140" s="29"/>
    </row>
    <row r="141" customFormat="false" ht="15" hidden="false" customHeight="false" outlineLevel="0" collapsed="false">
      <c r="A141" s="28"/>
      <c r="B141" s="29"/>
      <c r="C141" s="29"/>
      <c r="D141" s="29"/>
    </row>
    <row r="142" customFormat="false" ht="15" hidden="false" customHeight="false" outlineLevel="0" collapsed="false">
      <c r="A142" s="28"/>
      <c r="B142" s="29"/>
      <c r="C142" s="29"/>
      <c r="D142" s="29"/>
    </row>
    <row r="143" customFormat="false" ht="15" hidden="false" customHeight="false" outlineLevel="0" collapsed="false">
      <c r="A143" s="28"/>
      <c r="B143" s="29"/>
      <c r="C143" s="29"/>
      <c r="D143" s="29"/>
    </row>
    <row r="144" customFormat="false" ht="15" hidden="false" customHeight="false" outlineLevel="0" collapsed="false">
      <c r="A144" s="28"/>
      <c r="B144" s="29"/>
      <c r="C144" s="29"/>
      <c r="D144" s="29"/>
    </row>
    <row r="145" customFormat="false" ht="15" hidden="false" customHeight="false" outlineLevel="0" collapsed="false">
      <c r="A145" s="28"/>
      <c r="B145" s="29"/>
      <c r="C145" s="29"/>
      <c r="D145" s="29"/>
    </row>
    <row r="146" customFormat="false" ht="15" hidden="false" customHeight="false" outlineLevel="0" collapsed="false">
      <c r="A146" s="28"/>
      <c r="B146" s="29"/>
      <c r="C146" s="29"/>
      <c r="D146" s="29"/>
    </row>
    <row r="147" customFormat="false" ht="15" hidden="false" customHeight="false" outlineLevel="0" collapsed="false">
      <c r="A147" s="28"/>
      <c r="B147" s="29"/>
      <c r="C147" s="29"/>
      <c r="D147" s="29"/>
    </row>
    <row r="148" customFormat="false" ht="15" hidden="false" customHeight="false" outlineLevel="0" collapsed="false">
      <c r="A148" s="28"/>
      <c r="B148" s="29"/>
      <c r="C148" s="29"/>
      <c r="D148" s="29"/>
    </row>
    <row r="149" customFormat="false" ht="15" hidden="false" customHeight="false" outlineLevel="0" collapsed="false">
      <c r="A149" s="28"/>
      <c r="B149" s="29"/>
      <c r="C149" s="29"/>
      <c r="D149" s="29"/>
    </row>
    <row r="150" customFormat="false" ht="15" hidden="false" customHeight="false" outlineLevel="0" collapsed="false">
      <c r="A150" s="28"/>
      <c r="B150" s="29"/>
      <c r="C150" s="29"/>
      <c r="D150" s="29"/>
    </row>
    <row r="151" customFormat="false" ht="15" hidden="false" customHeight="false" outlineLevel="0" collapsed="false">
      <c r="A151" s="28"/>
      <c r="B151" s="29"/>
      <c r="C151" s="29"/>
      <c r="D151" s="29"/>
    </row>
    <row r="152" customFormat="false" ht="15" hidden="false" customHeight="false" outlineLevel="0" collapsed="false">
      <c r="A152" s="28"/>
      <c r="B152" s="29"/>
      <c r="C152" s="29"/>
      <c r="D152" s="29"/>
    </row>
    <row r="153" customFormat="false" ht="15" hidden="false" customHeight="false" outlineLevel="0" collapsed="false">
      <c r="A153" s="28"/>
      <c r="B153" s="29"/>
      <c r="C153" s="29"/>
      <c r="D153" s="29"/>
    </row>
    <row r="154" customFormat="false" ht="15" hidden="false" customHeight="false" outlineLevel="0" collapsed="false">
      <c r="A154" s="28"/>
      <c r="B154" s="29"/>
      <c r="C154" s="29"/>
      <c r="D154" s="29"/>
    </row>
    <row r="155" customFormat="false" ht="15" hidden="false" customHeight="false" outlineLevel="0" collapsed="false">
      <c r="A155" s="28"/>
      <c r="B155" s="29"/>
      <c r="C155" s="29"/>
      <c r="D155" s="29"/>
    </row>
    <row r="156" customFormat="false" ht="15" hidden="false" customHeight="false" outlineLevel="0" collapsed="false">
      <c r="A156" s="28"/>
      <c r="B156" s="29"/>
      <c r="C156" s="29"/>
      <c r="D156" s="29"/>
    </row>
    <row r="157" customFormat="false" ht="15" hidden="false" customHeight="false" outlineLevel="0" collapsed="false">
      <c r="A157" s="28"/>
      <c r="B157" s="29"/>
      <c r="C157" s="29"/>
      <c r="D157" s="29"/>
    </row>
    <row r="158" customFormat="false" ht="15" hidden="false" customHeight="false" outlineLevel="0" collapsed="false">
      <c r="A158" s="28"/>
      <c r="B158" s="29"/>
      <c r="C158" s="29"/>
      <c r="D158" s="29"/>
    </row>
    <row r="159" customFormat="false" ht="15" hidden="false" customHeight="false" outlineLevel="0" collapsed="false">
      <c r="A159" s="28"/>
      <c r="B159" s="29"/>
      <c r="C159" s="29"/>
      <c r="D159" s="29"/>
    </row>
    <row r="160" customFormat="false" ht="15" hidden="false" customHeight="false" outlineLevel="0" collapsed="false">
      <c r="A160" s="28"/>
      <c r="B160" s="29"/>
      <c r="C160" s="29"/>
      <c r="D160" s="29"/>
    </row>
    <row r="161" customFormat="false" ht="15" hidden="false" customHeight="false" outlineLevel="0" collapsed="false">
      <c r="A161" s="28"/>
      <c r="B161" s="29"/>
      <c r="C161" s="29"/>
      <c r="D161" s="29"/>
    </row>
    <row r="162" customFormat="false" ht="15" hidden="false" customHeight="false" outlineLevel="0" collapsed="false">
      <c r="A162" s="28"/>
      <c r="B162" s="29"/>
      <c r="C162" s="29"/>
      <c r="D162" s="29"/>
    </row>
    <row r="163" customFormat="false" ht="15" hidden="false" customHeight="false" outlineLevel="0" collapsed="false">
      <c r="A163" s="28"/>
      <c r="B163" s="29"/>
      <c r="C163" s="29"/>
      <c r="D163" s="29"/>
    </row>
    <row r="164" customFormat="false" ht="15" hidden="false" customHeight="false" outlineLevel="0" collapsed="false">
      <c r="A164" s="28"/>
      <c r="B164" s="29"/>
      <c r="C164" s="29"/>
      <c r="D164" s="29"/>
    </row>
    <row r="165" customFormat="false" ht="15" hidden="false" customHeight="false" outlineLevel="0" collapsed="false">
      <c r="A165" s="28"/>
      <c r="B165" s="29"/>
      <c r="C165" s="29"/>
      <c r="D165" s="29"/>
    </row>
    <row r="166" customFormat="false" ht="15" hidden="false" customHeight="false" outlineLevel="0" collapsed="false">
      <c r="A166" s="28"/>
      <c r="B166" s="29"/>
      <c r="C166" s="29"/>
      <c r="D166" s="29"/>
    </row>
    <row r="167" customFormat="false" ht="15" hidden="false" customHeight="false" outlineLevel="0" collapsed="false">
      <c r="A167" s="28"/>
      <c r="B167" s="29"/>
      <c r="C167" s="29"/>
      <c r="D167" s="29"/>
    </row>
    <row r="168" customFormat="false" ht="15" hidden="false" customHeight="false" outlineLevel="0" collapsed="false">
      <c r="A168" s="28"/>
      <c r="B168" s="29"/>
      <c r="C168" s="29"/>
      <c r="D168" s="29"/>
    </row>
    <row r="169" customFormat="false" ht="15" hidden="false" customHeight="false" outlineLevel="0" collapsed="false">
      <c r="A169" s="28"/>
      <c r="B169" s="29"/>
      <c r="C169" s="29"/>
      <c r="D169" s="29"/>
    </row>
    <row r="170" customFormat="false" ht="15" hidden="false" customHeight="false" outlineLevel="0" collapsed="false">
      <c r="A170" s="28"/>
      <c r="B170" s="29"/>
      <c r="C170" s="29"/>
      <c r="D170" s="29"/>
    </row>
    <row r="171" customFormat="false" ht="15" hidden="false" customHeight="false" outlineLevel="0" collapsed="false">
      <c r="A171" s="28"/>
      <c r="B171" s="29"/>
      <c r="C171" s="29"/>
      <c r="D171" s="29"/>
    </row>
    <row r="172" customFormat="false" ht="15" hidden="false" customHeight="false" outlineLevel="0" collapsed="false">
      <c r="A172" s="28"/>
      <c r="B172" s="29"/>
      <c r="C172" s="29"/>
      <c r="D172" s="29"/>
    </row>
    <row r="173" customFormat="false" ht="15" hidden="false" customHeight="false" outlineLevel="0" collapsed="false">
      <c r="A173" s="28"/>
      <c r="B173" s="29"/>
      <c r="C173" s="29"/>
      <c r="D173" s="29"/>
    </row>
    <row r="174" customFormat="false" ht="15" hidden="false" customHeight="false" outlineLevel="0" collapsed="false">
      <c r="A174" s="28"/>
      <c r="B174" s="29"/>
      <c r="C174" s="29"/>
      <c r="D174" s="29"/>
    </row>
    <row r="175" customFormat="false" ht="15" hidden="false" customHeight="false" outlineLevel="0" collapsed="false">
      <c r="A175" s="28"/>
      <c r="B175" s="29"/>
      <c r="C175" s="29"/>
      <c r="D175" s="29"/>
    </row>
    <row r="176" customFormat="false" ht="15" hidden="false" customHeight="false" outlineLevel="0" collapsed="false">
      <c r="A176" s="28"/>
      <c r="B176" s="29"/>
      <c r="C176" s="29"/>
      <c r="D176" s="29"/>
    </row>
    <row r="177" customFormat="false" ht="15" hidden="false" customHeight="false" outlineLevel="0" collapsed="false">
      <c r="A177" s="28"/>
      <c r="B177" s="29"/>
      <c r="C177" s="29"/>
      <c r="D177" s="29"/>
    </row>
    <row r="178" customFormat="false" ht="15" hidden="false" customHeight="false" outlineLevel="0" collapsed="false">
      <c r="A178" s="28"/>
      <c r="B178" s="29"/>
      <c r="C178" s="29"/>
      <c r="D178" s="29"/>
    </row>
    <row r="179" customFormat="false" ht="15" hidden="false" customHeight="false" outlineLevel="0" collapsed="false">
      <c r="A179" s="28"/>
      <c r="B179" s="29"/>
      <c r="C179" s="29"/>
      <c r="D179" s="29"/>
    </row>
    <row r="180" customFormat="false" ht="15" hidden="false" customHeight="false" outlineLevel="0" collapsed="false">
      <c r="A180" s="28"/>
      <c r="B180" s="29"/>
      <c r="C180" s="29"/>
      <c r="D180" s="29"/>
    </row>
    <row r="181" customFormat="false" ht="15" hidden="false" customHeight="false" outlineLevel="0" collapsed="false">
      <c r="A181" s="28"/>
      <c r="B181" s="29"/>
      <c r="C181" s="29"/>
      <c r="D181" s="29"/>
    </row>
    <row r="182" customFormat="false" ht="15" hidden="false" customHeight="false" outlineLevel="0" collapsed="false">
      <c r="A182" s="28"/>
      <c r="B182" s="29"/>
      <c r="C182" s="29"/>
      <c r="D182" s="29"/>
    </row>
    <row r="183" customFormat="false" ht="15" hidden="false" customHeight="false" outlineLevel="0" collapsed="false">
      <c r="A183" s="28"/>
      <c r="B183" s="29"/>
      <c r="C183" s="29"/>
      <c r="D183" s="29"/>
    </row>
    <row r="184" customFormat="false" ht="15" hidden="false" customHeight="false" outlineLevel="0" collapsed="false">
      <c r="A184" s="28"/>
      <c r="B184" s="29"/>
      <c r="C184" s="29"/>
      <c r="D184" s="29"/>
    </row>
    <row r="185" customFormat="false" ht="15" hidden="false" customHeight="false" outlineLevel="0" collapsed="false">
      <c r="A185" s="28"/>
      <c r="B185" s="29"/>
      <c r="C185" s="29"/>
      <c r="D185" s="29"/>
    </row>
    <row r="186" customFormat="false" ht="15" hidden="false" customHeight="false" outlineLevel="0" collapsed="false">
      <c r="A186" s="28"/>
      <c r="B186" s="29"/>
      <c r="C186" s="29"/>
      <c r="D186" s="29"/>
    </row>
    <row r="187" customFormat="false" ht="15" hidden="false" customHeight="false" outlineLevel="0" collapsed="false">
      <c r="A187" s="28"/>
      <c r="B187" s="29"/>
      <c r="C187" s="29"/>
      <c r="D187" s="29"/>
    </row>
    <row r="188" customFormat="false" ht="15" hidden="false" customHeight="false" outlineLevel="0" collapsed="false">
      <c r="A188" s="28"/>
      <c r="B188" s="29"/>
      <c r="C188" s="29"/>
      <c r="D188" s="29"/>
    </row>
    <row r="189" customFormat="false" ht="15" hidden="false" customHeight="false" outlineLevel="0" collapsed="false">
      <c r="A189" s="28"/>
      <c r="B189" s="29"/>
      <c r="C189" s="29"/>
      <c r="D189" s="29"/>
    </row>
    <row r="190" customFormat="false" ht="15" hidden="false" customHeight="false" outlineLevel="0" collapsed="false">
      <c r="A190" s="28"/>
      <c r="B190" s="29"/>
      <c r="C190" s="29"/>
      <c r="D190" s="29"/>
    </row>
    <row r="191" customFormat="false" ht="15" hidden="false" customHeight="false" outlineLevel="0" collapsed="false">
      <c r="A191" s="28"/>
      <c r="B191" s="29"/>
      <c r="C191" s="29"/>
      <c r="D191" s="29"/>
    </row>
    <row r="192" customFormat="false" ht="15" hidden="false" customHeight="false" outlineLevel="0" collapsed="false">
      <c r="A192" s="28"/>
      <c r="B192" s="29"/>
      <c r="C192" s="29"/>
      <c r="D192" s="29"/>
    </row>
    <row r="193" customFormat="false" ht="15" hidden="false" customHeight="false" outlineLevel="0" collapsed="false">
      <c r="A193" s="28"/>
      <c r="B193" s="29"/>
      <c r="C193" s="29"/>
      <c r="D193" s="29"/>
    </row>
    <row r="194" customFormat="false" ht="15" hidden="false" customHeight="false" outlineLevel="0" collapsed="false">
      <c r="A194" s="28"/>
      <c r="B194" s="29"/>
      <c r="C194" s="29"/>
      <c r="D194" s="29"/>
    </row>
    <row r="195" customFormat="false" ht="15" hidden="false" customHeight="false" outlineLevel="0" collapsed="false">
      <c r="A195" s="28"/>
      <c r="B195" s="29"/>
      <c r="C195" s="29"/>
      <c r="D195" s="29"/>
    </row>
    <row r="196" customFormat="false" ht="15" hidden="false" customHeight="false" outlineLevel="0" collapsed="false">
      <c r="A196" s="28"/>
      <c r="B196" s="29"/>
      <c r="C196" s="29"/>
      <c r="D196" s="29"/>
    </row>
    <row r="197" customFormat="false" ht="15" hidden="false" customHeight="false" outlineLevel="0" collapsed="false">
      <c r="A197" s="28"/>
      <c r="B197" s="29"/>
      <c r="C197" s="29"/>
      <c r="D197" s="29"/>
    </row>
    <row r="198" customFormat="false" ht="15" hidden="false" customHeight="false" outlineLevel="0" collapsed="false">
      <c r="A198" s="28"/>
      <c r="B198" s="29"/>
      <c r="C198" s="29"/>
      <c r="D198" s="29"/>
    </row>
    <row r="199" customFormat="false" ht="15" hidden="false" customHeight="false" outlineLevel="0" collapsed="false">
      <c r="A199" s="28"/>
      <c r="B199" s="29"/>
      <c r="C199" s="29"/>
      <c r="D199" s="29"/>
    </row>
    <row r="200" customFormat="false" ht="15" hidden="false" customHeight="false" outlineLevel="0" collapsed="false">
      <c r="A200" s="28"/>
      <c r="B200" s="29"/>
      <c r="C200" s="29"/>
      <c r="D200" s="29"/>
    </row>
    <row r="201" customFormat="false" ht="15" hidden="false" customHeight="false" outlineLevel="0" collapsed="false">
      <c r="A201" s="28"/>
      <c r="B201" s="29"/>
      <c r="C201" s="29"/>
      <c r="D201" s="29"/>
    </row>
    <row r="202" customFormat="false" ht="15" hidden="false" customHeight="false" outlineLevel="0" collapsed="false">
      <c r="A202" s="28"/>
      <c r="B202" s="29"/>
      <c r="C202" s="29"/>
      <c r="D202" s="29"/>
    </row>
    <row r="203" customFormat="false" ht="15" hidden="false" customHeight="false" outlineLevel="0" collapsed="false">
      <c r="A203" s="28"/>
      <c r="B203" s="29"/>
      <c r="C203" s="29"/>
      <c r="D203" s="29"/>
    </row>
    <row r="204" customFormat="false" ht="15" hidden="false" customHeight="false" outlineLevel="0" collapsed="false">
      <c r="A204" s="28"/>
      <c r="B204" s="29"/>
      <c r="C204" s="29"/>
      <c r="D204" s="29"/>
    </row>
    <row r="205" customFormat="false" ht="15" hidden="false" customHeight="false" outlineLevel="0" collapsed="false">
      <c r="A205" s="28"/>
      <c r="B205" s="29"/>
      <c r="C205" s="29"/>
      <c r="D205" s="29"/>
    </row>
    <row r="206" customFormat="false" ht="15" hidden="false" customHeight="false" outlineLevel="0" collapsed="false">
      <c r="A206" s="28"/>
      <c r="B206" s="29"/>
      <c r="C206" s="29"/>
      <c r="D206" s="29"/>
    </row>
    <row r="207" customFormat="false" ht="15" hidden="false" customHeight="false" outlineLevel="0" collapsed="false">
      <c r="A207" s="28"/>
      <c r="B207" s="29"/>
      <c r="C207" s="29"/>
      <c r="D207" s="29"/>
    </row>
    <row r="208" customFormat="false" ht="15" hidden="false" customHeight="false" outlineLevel="0" collapsed="false">
      <c r="A208" s="28"/>
      <c r="B208" s="29"/>
      <c r="C208" s="29"/>
      <c r="D208" s="29"/>
    </row>
    <row r="209" customFormat="false" ht="15" hidden="false" customHeight="false" outlineLevel="0" collapsed="false">
      <c r="A209" s="28"/>
      <c r="B209" s="29"/>
      <c r="C209" s="29"/>
      <c r="D209" s="29"/>
    </row>
    <row r="210" customFormat="false" ht="15" hidden="false" customHeight="false" outlineLevel="0" collapsed="false">
      <c r="A210" s="28"/>
      <c r="B210" s="29"/>
      <c r="C210" s="29"/>
      <c r="D210" s="29"/>
    </row>
    <row r="211" customFormat="false" ht="15" hidden="false" customHeight="false" outlineLevel="0" collapsed="false">
      <c r="A211" s="28"/>
      <c r="B211" s="29"/>
      <c r="C211" s="29"/>
      <c r="D211" s="29"/>
    </row>
    <row r="212" customFormat="false" ht="15" hidden="false" customHeight="false" outlineLevel="0" collapsed="false">
      <c r="A212" s="28"/>
      <c r="B212" s="29"/>
      <c r="C212" s="29"/>
      <c r="D212" s="29"/>
    </row>
    <row r="213" customFormat="false" ht="15" hidden="false" customHeight="false" outlineLevel="0" collapsed="false">
      <c r="A213" s="28"/>
      <c r="B213" s="29"/>
      <c r="C213" s="29"/>
      <c r="D213" s="29"/>
    </row>
    <row r="214" customFormat="false" ht="15" hidden="false" customHeight="false" outlineLevel="0" collapsed="false">
      <c r="A214" s="28"/>
      <c r="B214" s="29"/>
      <c r="C214" s="29"/>
      <c r="D214" s="29"/>
    </row>
    <row r="215" customFormat="false" ht="15" hidden="false" customHeight="false" outlineLevel="0" collapsed="false">
      <c r="A215" s="28"/>
      <c r="B215" s="29"/>
      <c r="C215" s="29"/>
      <c r="D215" s="29"/>
    </row>
    <row r="216" customFormat="false" ht="15" hidden="false" customHeight="false" outlineLevel="0" collapsed="false">
      <c r="A216" s="28"/>
      <c r="B216" s="29"/>
      <c r="C216" s="29"/>
      <c r="D216" s="29"/>
    </row>
    <row r="217" customFormat="false" ht="15" hidden="false" customHeight="false" outlineLevel="0" collapsed="false">
      <c r="A217" s="28"/>
      <c r="B217" s="29"/>
      <c r="C217" s="29"/>
      <c r="D217" s="29"/>
    </row>
    <row r="218" customFormat="false" ht="15" hidden="false" customHeight="false" outlineLevel="0" collapsed="false">
      <c r="A218" s="28"/>
      <c r="B218" s="29"/>
      <c r="C218" s="29"/>
      <c r="D218" s="29"/>
    </row>
    <row r="219" customFormat="false" ht="15" hidden="false" customHeight="false" outlineLevel="0" collapsed="false">
      <c r="A219" s="28"/>
      <c r="B219" s="29"/>
      <c r="C219" s="29"/>
      <c r="D219" s="29"/>
    </row>
    <row r="220" customFormat="false" ht="15" hidden="false" customHeight="false" outlineLevel="0" collapsed="false">
      <c r="A220" s="28"/>
      <c r="B220" s="29"/>
      <c r="C220" s="29"/>
      <c r="D220" s="29"/>
    </row>
    <row r="221" customFormat="false" ht="15" hidden="false" customHeight="false" outlineLevel="0" collapsed="false">
      <c r="A221" s="28"/>
      <c r="B221" s="29"/>
      <c r="C221" s="29"/>
      <c r="D221" s="29"/>
    </row>
    <row r="222" customFormat="false" ht="15" hidden="false" customHeight="false" outlineLevel="0" collapsed="false">
      <c r="A222" s="28"/>
      <c r="B222" s="29"/>
      <c r="C222" s="29"/>
      <c r="D222" s="29"/>
    </row>
    <row r="223" customFormat="false" ht="15" hidden="false" customHeight="false" outlineLevel="0" collapsed="false">
      <c r="A223" s="28"/>
      <c r="B223" s="29"/>
      <c r="C223" s="29"/>
      <c r="D223" s="29"/>
    </row>
    <row r="224" customFormat="false" ht="15" hidden="false" customHeight="false" outlineLevel="0" collapsed="false">
      <c r="A224" s="28"/>
      <c r="B224" s="29"/>
      <c r="C224" s="29"/>
      <c r="D224" s="29"/>
    </row>
    <row r="225" customFormat="false" ht="15" hidden="false" customHeight="false" outlineLevel="0" collapsed="false">
      <c r="A225" s="28"/>
      <c r="B225" s="29"/>
      <c r="C225" s="29"/>
      <c r="D225" s="29"/>
    </row>
    <row r="226" customFormat="false" ht="15" hidden="false" customHeight="false" outlineLevel="0" collapsed="false">
      <c r="A226" s="28"/>
      <c r="B226" s="29"/>
      <c r="C226" s="29"/>
      <c r="D226" s="29"/>
    </row>
    <row r="227" customFormat="false" ht="15" hidden="false" customHeight="false" outlineLevel="0" collapsed="false">
      <c r="A227" s="28"/>
      <c r="B227" s="29"/>
      <c r="C227" s="29"/>
      <c r="D227" s="29"/>
    </row>
    <row r="228" customFormat="false" ht="15" hidden="false" customHeight="false" outlineLevel="0" collapsed="false">
      <c r="A228" s="28"/>
      <c r="B228" s="29"/>
      <c r="C228" s="29"/>
      <c r="D228" s="29"/>
    </row>
    <row r="229" customFormat="false" ht="15" hidden="false" customHeight="false" outlineLevel="0" collapsed="false">
      <c r="A229" s="28"/>
      <c r="B229" s="29"/>
      <c r="C229" s="29"/>
      <c r="D229" s="29"/>
    </row>
    <row r="230" customFormat="false" ht="15" hidden="false" customHeight="false" outlineLevel="0" collapsed="false">
      <c r="A230" s="28"/>
      <c r="B230" s="29"/>
      <c r="C230" s="29"/>
      <c r="D230" s="29"/>
    </row>
    <row r="231" customFormat="false" ht="15" hidden="false" customHeight="false" outlineLevel="0" collapsed="false">
      <c r="A231" s="28"/>
      <c r="B231" s="29"/>
      <c r="C231" s="29"/>
      <c r="D231" s="29"/>
    </row>
    <row r="232" customFormat="false" ht="15" hidden="false" customHeight="false" outlineLevel="0" collapsed="false">
      <c r="A232" s="28"/>
      <c r="B232" s="29"/>
      <c r="C232" s="29"/>
      <c r="D232" s="29"/>
    </row>
    <row r="233" customFormat="false" ht="15" hidden="false" customHeight="false" outlineLevel="0" collapsed="false">
      <c r="A233" s="28"/>
      <c r="B233" s="29"/>
      <c r="C233" s="29"/>
      <c r="D233" s="29"/>
    </row>
    <row r="234" customFormat="false" ht="15" hidden="false" customHeight="false" outlineLevel="0" collapsed="false">
      <c r="A234" s="28"/>
      <c r="B234" s="29"/>
      <c r="C234" s="29"/>
      <c r="D234" s="29"/>
    </row>
    <row r="235" customFormat="false" ht="15" hidden="false" customHeight="false" outlineLevel="0" collapsed="false">
      <c r="A235" s="28"/>
      <c r="B235" s="29"/>
      <c r="C235" s="29"/>
      <c r="D235" s="29"/>
    </row>
    <row r="236" customFormat="false" ht="15" hidden="false" customHeight="false" outlineLevel="0" collapsed="false">
      <c r="A236" s="28"/>
      <c r="B236" s="29"/>
      <c r="C236" s="29"/>
      <c r="D236" s="29"/>
    </row>
    <row r="237" customFormat="false" ht="15" hidden="false" customHeight="false" outlineLevel="0" collapsed="false">
      <c r="A237" s="28"/>
      <c r="B237" s="29"/>
      <c r="C237" s="29"/>
      <c r="D237" s="29"/>
    </row>
    <row r="238" customFormat="false" ht="15" hidden="false" customHeight="false" outlineLevel="0" collapsed="false">
      <c r="A238" s="28"/>
      <c r="B238" s="29"/>
      <c r="C238" s="29"/>
      <c r="D238" s="29"/>
    </row>
    <row r="239" customFormat="false" ht="15" hidden="false" customHeight="false" outlineLevel="0" collapsed="false">
      <c r="A239" s="28"/>
      <c r="B239" s="29"/>
      <c r="C239" s="29"/>
      <c r="D239" s="29"/>
    </row>
    <row r="240" customFormat="false" ht="15" hidden="false" customHeight="false" outlineLevel="0" collapsed="false">
      <c r="A240" s="28"/>
      <c r="B240" s="29"/>
      <c r="C240" s="29"/>
      <c r="D240" s="29"/>
    </row>
    <row r="241" customFormat="false" ht="15" hidden="false" customHeight="false" outlineLevel="0" collapsed="false">
      <c r="A241" s="28"/>
      <c r="B241" s="29"/>
      <c r="C241" s="29"/>
      <c r="D241" s="29"/>
    </row>
    <row r="242" customFormat="false" ht="15" hidden="false" customHeight="false" outlineLevel="0" collapsed="false">
      <c r="A242" s="28"/>
      <c r="B242" s="29"/>
      <c r="C242" s="29"/>
      <c r="D242" s="29"/>
    </row>
    <row r="243" customFormat="false" ht="15" hidden="false" customHeight="false" outlineLevel="0" collapsed="false">
      <c r="A243" s="28"/>
      <c r="B243" s="29"/>
      <c r="C243" s="29"/>
      <c r="D243" s="29"/>
    </row>
    <row r="244" customFormat="false" ht="15" hidden="false" customHeight="false" outlineLevel="0" collapsed="false">
      <c r="A244" s="28"/>
      <c r="B244" s="29"/>
      <c r="C244" s="29"/>
      <c r="D244" s="29"/>
    </row>
    <row r="245" customFormat="false" ht="15" hidden="false" customHeight="false" outlineLevel="0" collapsed="false">
      <c r="A245" s="28"/>
      <c r="B245" s="29"/>
      <c r="C245" s="29"/>
      <c r="D245" s="29"/>
    </row>
    <row r="246" customFormat="false" ht="15" hidden="false" customHeight="false" outlineLevel="0" collapsed="false">
      <c r="A246" s="28"/>
      <c r="B246" s="29"/>
      <c r="C246" s="29"/>
      <c r="D246" s="29"/>
    </row>
    <row r="247" customFormat="false" ht="15" hidden="false" customHeight="false" outlineLevel="0" collapsed="false">
      <c r="A247" s="28"/>
      <c r="B247" s="29"/>
      <c r="C247" s="29"/>
      <c r="D247" s="29"/>
    </row>
    <row r="248" customFormat="false" ht="15" hidden="false" customHeight="false" outlineLevel="0" collapsed="false">
      <c r="A248" s="28"/>
      <c r="B248" s="29"/>
      <c r="C248" s="29"/>
      <c r="D248" s="29"/>
    </row>
    <row r="249" customFormat="false" ht="15" hidden="false" customHeight="false" outlineLevel="0" collapsed="false">
      <c r="A249" s="28"/>
      <c r="B249" s="29"/>
      <c r="C249" s="29"/>
      <c r="D249" s="29"/>
    </row>
    <row r="250" customFormat="false" ht="15" hidden="false" customHeight="false" outlineLevel="0" collapsed="false">
      <c r="A250" s="28"/>
      <c r="B250" s="29"/>
      <c r="C250" s="29"/>
      <c r="D250" s="29"/>
    </row>
    <row r="251" customFormat="false" ht="15" hidden="false" customHeight="false" outlineLevel="0" collapsed="false">
      <c r="A251" s="28"/>
      <c r="B251" s="29"/>
      <c r="C251" s="29"/>
      <c r="D251" s="29"/>
    </row>
    <row r="252" customFormat="false" ht="15" hidden="false" customHeight="false" outlineLevel="0" collapsed="false">
      <c r="A252" s="28"/>
      <c r="B252" s="29"/>
      <c r="C252" s="29"/>
      <c r="D252" s="29"/>
    </row>
    <row r="253" customFormat="false" ht="15" hidden="false" customHeight="false" outlineLevel="0" collapsed="false">
      <c r="A253" s="28"/>
      <c r="B253" s="29"/>
      <c r="C253" s="29"/>
      <c r="D253" s="29"/>
    </row>
    <row r="254" customFormat="false" ht="15" hidden="false" customHeight="false" outlineLevel="0" collapsed="false">
      <c r="A254" s="28"/>
      <c r="B254" s="29"/>
      <c r="C254" s="29"/>
      <c r="D254" s="29"/>
    </row>
    <row r="255" customFormat="false" ht="15" hidden="false" customHeight="false" outlineLevel="0" collapsed="false">
      <c r="A255" s="28"/>
      <c r="B255" s="29"/>
      <c r="C255" s="29"/>
      <c r="D255" s="29"/>
    </row>
    <row r="256" customFormat="false" ht="15" hidden="false" customHeight="false" outlineLevel="0" collapsed="false">
      <c r="A256" s="28"/>
      <c r="B256" s="29"/>
      <c r="C256" s="29"/>
      <c r="D256" s="29"/>
    </row>
    <row r="257" customFormat="false" ht="15" hidden="false" customHeight="false" outlineLevel="0" collapsed="false">
      <c r="A257" s="28"/>
      <c r="B257" s="29"/>
      <c r="C257" s="29"/>
      <c r="D257" s="29"/>
    </row>
    <row r="258" customFormat="false" ht="15" hidden="false" customHeight="false" outlineLevel="0" collapsed="false">
      <c r="A258" s="28"/>
      <c r="B258" s="29"/>
      <c r="C258" s="29"/>
      <c r="D258" s="29"/>
    </row>
    <row r="259" customFormat="false" ht="15" hidden="false" customHeight="false" outlineLevel="0" collapsed="false">
      <c r="A259" s="28"/>
      <c r="B259" s="29"/>
      <c r="C259" s="29"/>
      <c r="D259" s="29"/>
    </row>
    <row r="260" customFormat="false" ht="15" hidden="false" customHeight="false" outlineLevel="0" collapsed="false">
      <c r="A260" s="28"/>
      <c r="B260" s="29"/>
      <c r="C260" s="29"/>
      <c r="D260" s="29"/>
    </row>
    <row r="261" customFormat="false" ht="15" hidden="false" customHeight="false" outlineLevel="0" collapsed="false">
      <c r="A261" s="28"/>
      <c r="B261" s="29"/>
      <c r="C261" s="29"/>
      <c r="D261" s="29"/>
    </row>
    <row r="262" customFormat="false" ht="15" hidden="false" customHeight="false" outlineLevel="0" collapsed="false">
      <c r="A262" s="28"/>
      <c r="B262" s="29"/>
      <c r="C262" s="29"/>
      <c r="D262" s="29"/>
    </row>
    <row r="263" customFormat="false" ht="15" hidden="false" customHeight="false" outlineLevel="0" collapsed="false">
      <c r="A263" s="28"/>
      <c r="B263" s="29"/>
      <c r="C263" s="29"/>
      <c r="D263" s="29"/>
    </row>
    <row r="264" customFormat="false" ht="15" hidden="false" customHeight="false" outlineLevel="0" collapsed="false">
      <c r="A264" s="28"/>
      <c r="B264" s="29"/>
      <c r="C264" s="29"/>
      <c r="D264" s="29"/>
    </row>
    <row r="265" customFormat="false" ht="15" hidden="false" customHeight="false" outlineLevel="0" collapsed="false">
      <c r="A265" s="28"/>
      <c r="B265" s="29"/>
      <c r="C265" s="29"/>
      <c r="D265" s="29"/>
    </row>
    <row r="266" customFormat="false" ht="15" hidden="false" customHeight="false" outlineLevel="0" collapsed="false">
      <c r="A266" s="28"/>
      <c r="B266" s="29"/>
      <c r="C266" s="29"/>
      <c r="D266" s="29"/>
    </row>
    <row r="267" customFormat="false" ht="15" hidden="false" customHeight="false" outlineLevel="0" collapsed="false">
      <c r="A267" s="28"/>
      <c r="B267" s="29"/>
      <c r="C267" s="29"/>
      <c r="D267" s="29"/>
    </row>
    <row r="268" customFormat="false" ht="15" hidden="false" customHeight="false" outlineLevel="0" collapsed="false">
      <c r="A268" s="28"/>
      <c r="B268" s="29"/>
      <c r="C268" s="29"/>
      <c r="D268" s="29"/>
    </row>
    <row r="269" customFormat="false" ht="15" hidden="false" customHeight="false" outlineLevel="0" collapsed="false">
      <c r="A269" s="28"/>
      <c r="B269" s="29"/>
      <c r="C269" s="29"/>
      <c r="D269" s="29"/>
    </row>
    <row r="270" customFormat="false" ht="15" hidden="false" customHeight="false" outlineLevel="0" collapsed="false">
      <c r="A270" s="28"/>
      <c r="B270" s="29"/>
      <c r="C270" s="29"/>
      <c r="D270" s="29"/>
    </row>
    <row r="271" customFormat="false" ht="15" hidden="false" customHeight="false" outlineLevel="0" collapsed="false">
      <c r="A271" s="28"/>
      <c r="B271" s="29"/>
      <c r="C271" s="29"/>
      <c r="D271" s="29"/>
    </row>
    <row r="272" customFormat="false" ht="15" hidden="false" customHeight="false" outlineLevel="0" collapsed="false">
      <c r="A272" s="28"/>
      <c r="B272" s="29"/>
      <c r="C272" s="29"/>
      <c r="D272" s="29"/>
    </row>
    <row r="273" customFormat="false" ht="15" hidden="false" customHeight="false" outlineLevel="0" collapsed="false">
      <c r="A273" s="28"/>
      <c r="B273" s="29"/>
      <c r="C273" s="29"/>
      <c r="D273" s="29"/>
    </row>
    <row r="274" customFormat="false" ht="15" hidden="false" customHeight="false" outlineLevel="0" collapsed="false">
      <c r="A274" s="28"/>
      <c r="B274" s="29"/>
      <c r="C274" s="29"/>
      <c r="D274" s="29"/>
    </row>
    <row r="275" customFormat="false" ht="15" hidden="false" customHeight="false" outlineLevel="0" collapsed="false">
      <c r="A275" s="28"/>
      <c r="B275" s="29"/>
      <c r="C275" s="29"/>
      <c r="D275" s="29"/>
    </row>
    <row r="276" customFormat="false" ht="15" hidden="false" customHeight="false" outlineLevel="0" collapsed="false">
      <c r="A276" s="28"/>
      <c r="B276" s="29"/>
      <c r="C276" s="29"/>
      <c r="D276" s="29"/>
    </row>
    <row r="277" customFormat="false" ht="15" hidden="false" customHeight="false" outlineLevel="0" collapsed="false">
      <c r="A277" s="28"/>
      <c r="B277" s="29"/>
      <c r="C277" s="29"/>
      <c r="D277" s="29"/>
    </row>
    <row r="278" customFormat="false" ht="15" hidden="false" customHeight="false" outlineLevel="0" collapsed="false">
      <c r="A278" s="28"/>
      <c r="B278" s="29"/>
      <c r="C278" s="29"/>
      <c r="D278" s="29"/>
    </row>
    <row r="279" customFormat="false" ht="15" hidden="false" customHeight="false" outlineLevel="0" collapsed="false">
      <c r="A279" s="28"/>
      <c r="B279" s="29"/>
      <c r="C279" s="29"/>
      <c r="D279" s="29"/>
    </row>
    <row r="280" customFormat="false" ht="15" hidden="false" customHeight="false" outlineLevel="0" collapsed="false">
      <c r="A280" s="28"/>
      <c r="B280" s="29"/>
      <c r="C280" s="29"/>
      <c r="D280" s="29"/>
    </row>
    <row r="281" customFormat="false" ht="15" hidden="false" customHeight="false" outlineLevel="0" collapsed="false">
      <c r="A281" s="28"/>
      <c r="B281" s="29"/>
      <c r="C281" s="29"/>
      <c r="D281" s="29"/>
    </row>
    <row r="282" customFormat="false" ht="15" hidden="false" customHeight="false" outlineLevel="0" collapsed="false">
      <c r="A282" s="28"/>
      <c r="B282" s="29"/>
      <c r="C282" s="29"/>
      <c r="D282" s="29"/>
    </row>
    <row r="283" customFormat="false" ht="15" hidden="false" customHeight="false" outlineLevel="0" collapsed="false">
      <c r="A283" s="28"/>
      <c r="B283" s="29"/>
      <c r="C283" s="29"/>
      <c r="D283" s="29"/>
    </row>
    <row r="284" customFormat="false" ht="15" hidden="false" customHeight="false" outlineLevel="0" collapsed="false">
      <c r="A284" s="28"/>
      <c r="B284" s="29"/>
      <c r="C284" s="29"/>
      <c r="D284" s="29"/>
    </row>
    <row r="285" customFormat="false" ht="15" hidden="false" customHeight="false" outlineLevel="0" collapsed="false">
      <c r="A285" s="28"/>
      <c r="B285" s="29"/>
      <c r="C285" s="29"/>
      <c r="D285" s="29"/>
    </row>
    <row r="286" customFormat="false" ht="15" hidden="false" customHeight="false" outlineLevel="0" collapsed="false">
      <c r="A286" s="28"/>
      <c r="B286" s="29"/>
      <c r="C286" s="29"/>
      <c r="D286" s="29"/>
    </row>
    <row r="287" customFormat="false" ht="15" hidden="false" customHeight="false" outlineLevel="0" collapsed="false">
      <c r="A287" s="28"/>
      <c r="B287" s="29"/>
      <c r="C287" s="29"/>
      <c r="D287" s="29"/>
    </row>
    <row r="288" customFormat="false" ht="15" hidden="false" customHeight="false" outlineLevel="0" collapsed="false">
      <c r="A288" s="28"/>
      <c r="B288" s="29"/>
      <c r="C288" s="29"/>
      <c r="D288" s="29"/>
    </row>
    <row r="289" customFormat="false" ht="15" hidden="false" customHeight="false" outlineLevel="0" collapsed="false">
      <c r="A289" s="28"/>
      <c r="B289" s="29"/>
      <c r="C289" s="29"/>
      <c r="D289" s="29"/>
    </row>
    <row r="290" customFormat="false" ht="15" hidden="false" customHeight="false" outlineLevel="0" collapsed="false">
      <c r="A290" s="28"/>
      <c r="B290" s="29"/>
      <c r="C290" s="29"/>
      <c r="D290" s="29"/>
    </row>
    <row r="291" customFormat="false" ht="15" hidden="false" customHeight="false" outlineLevel="0" collapsed="false">
      <c r="A291" s="28"/>
      <c r="B291" s="29"/>
      <c r="C291" s="29"/>
      <c r="D291" s="29"/>
    </row>
    <row r="292" customFormat="false" ht="15" hidden="false" customHeight="false" outlineLevel="0" collapsed="false">
      <c r="A292" s="28"/>
      <c r="B292" s="29"/>
      <c r="C292" s="29"/>
      <c r="D292" s="29"/>
    </row>
    <row r="293" customFormat="false" ht="15" hidden="false" customHeight="false" outlineLevel="0" collapsed="false">
      <c r="A293" s="28"/>
      <c r="B293" s="29"/>
      <c r="C293" s="29"/>
      <c r="D293" s="29"/>
    </row>
    <row r="294" customFormat="false" ht="15" hidden="false" customHeight="false" outlineLevel="0" collapsed="false">
      <c r="A294" s="28"/>
      <c r="B294" s="29"/>
      <c r="C294" s="29"/>
      <c r="D294" s="29"/>
    </row>
    <row r="295" customFormat="false" ht="15" hidden="false" customHeight="false" outlineLevel="0" collapsed="false">
      <c r="A295" s="28"/>
      <c r="B295" s="29"/>
      <c r="C295" s="29"/>
      <c r="D295" s="29"/>
    </row>
    <row r="296" customFormat="false" ht="15" hidden="false" customHeight="false" outlineLevel="0" collapsed="false">
      <c r="A296" s="28"/>
      <c r="B296" s="29"/>
      <c r="C296" s="29"/>
      <c r="D296" s="29"/>
    </row>
    <row r="297" customFormat="false" ht="15" hidden="false" customHeight="false" outlineLevel="0" collapsed="false">
      <c r="A297" s="28"/>
      <c r="B297" s="29"/>
      <c r="C297" s="29"/>
      <c r="D297" s="29"/>
    </row>
    <row r="298" customFormat="false" ht="15" hidden="false" customHeight="false" outlineLevel="0" collapsed="false">
      <c r="A298" s="28"/>
      <c r="B298" s="29"/>
      <c r="C298" s="29"/>
      <c r="D298" s="29"/>
    </row>
    <row r="299" customFormat="false" ht="15" hidden="false" customHeight="false" outlineLevel="0" collapsed="false">
      <c r="A299" s="28"/>
      <c r="B299" s="29"/>
      <c r="C299" s="29"/>
      <c r="D299" s="29"/>
    </row>
    <row r="300" customFormat="false" ht="15" hidden="false" customHeight="false" outlineLevel="0" collapsed="false">
      <c r="A300" s="28"/>
      <c r="B300" s="29"/>
      <c r="C300" s="29"/>
      <c r="D300" s="29"/>
    </row>
  </sheetData>
  <dataValidations count="1">
    <dataValidation allowBlank="true" errorStyle="stop" operator="between" showDropDown="false" showErrorMessage="false" showInputMessage="false" sqref="B2:B300" type="list">
      <formula1>区分マスタ!$B$2:$B$4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6" min="4" style="0" width="12"/>
    <col collapsed="false" customWidth="true" hidden="false" outlineLevel="0" max="7" min="7" style="0" width="10"/>
    <col collapsed="false" customWidth="true" hidden="false" outlineLevel="0" max="8" min="8" style="0" width="24"/>
    <col collapsed="false" customWidth="true" hidden="false" outlineLevel="0" max="9" min="9" style="0" width="16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8" t="s">
        <v>62</v>
      </c>
      <c r="B1" s="8" t="s">
        <v>63</v>
      </c>
      <c r="C1" s="8" t="s">
        <v>64</v>
      </c>
      <c r="D1" s="8" t="s">
        <v>65</v>
      </c>
      <c r="E1" s="8" t="s">
        <v>66</v>
      </c>
      <c r="F1" s="8" t="s">
        <v>67</v>
      </c>
      <c r="G1" s="8" t="s">
        <v>68</v>
      </c>
      <c r="H1" s="8" t="s">
        <v>46</v>
      </c>
      <c r="I1" s="23" t="s">
        <v>69</v>
      </c>
      <c r="J1" s="24" t="s">
        <v>70</v>
      </c>
    </row>
    <row r="2" customFormat="false" ht="15" hidden="false" customHeight="false" outlineLevel="0" collapsed="false">
      <c r="A2" s="26" t="s">
        <v>50</v>
      </c>
      <c r="B2" s="26" t="s">
        <v>26</v>
      </c>
      <c r="C2" s="31"/>
      <c r="D2" s="31"/>
      <c r="E2" s="31"/>
      <c r="F2" s="31"/>
      <c r="G2" s="26" t="s">
        <v>71</v>
      </c>
      <c r="H2" s="26" t="s">
        <v>72</v>
      </c>
      <c r="I2" s="27" t="str">
        <f aca="false">IF(C2="○","キ","")&amp;IF(D2="○","ダ","")&amp;IF(E2="○","粗","")&amp;IF(F2="○","超","")</f>
        <v/>
      </c>
    </row>
    <row r="3" customFormat="false" ht="15" hidden="false" customHeight="false" outlineLevel="0" collapsed="false">
      <c r="A3" s="26" t="s">
        <v>54</v>
      </c>
      <c r="B3" s="26" t="s">
        <v>27</v>
      </c>
      <c r="C3" s="31" t="s">
        <v>73</v>
      </c>
      <c r="D3" s="31"/>
      <c r="E3" s="31"/>
      <c r="F3" s="31"/>
      <c r="G3" s="26" t="s">
        <v>71</v>
      </c>
      <c r="H3" s="26" t="s">
        <v>74</v>
      </c>
      <c r="I3" s="27" t="str">
        <f aca="false">IF(C3="○","キ","")&amp;IF(D3="○","ダ","")&amp;IF(E3="○","粗","")&amp;IF(F3="○","超","")</f>
        <v>キ</v>
      </c>
    </row>
    <row r="4" customFormat="false" ht="17.15" hidden="false" customHeight="false" outlineLevel="0" collapsed="false">
      <c r="A4" s="26" t="s">
        <v>56</v>
      </c>
      <c r="B4" s="26" t="s">
        <v>75</v>
      </c>
      <c r="C4" s="31"/>
      <c r="D4" s="31"/>
      <c r="E4" s="31"/>
      <c r="F4" s="31"/>
      <c r="G4" s="26" t="s">
        <v>71</v>
      </c>
      <c r="H4" s="26" t="s">
        <v>76</v>
      </c>
      <c r="I4" s="27" t="str">
        <f aca="false">IF(C4="○","キ","")&amp;IF(D4="○","ダ","")&amp;IF(E4="○","粗","")&amp;IF(F4="○","超","")</f>
        <v/>
      </c>
    </row>
    <row r="5" customFormat="false" ht="17.15" hidden="false" customHeight="false" outlineLevel="0" collapsed="false">
      <c r="A5" s="26" t="s">
        <v>77</v>
      </c>
      <c r="B5" s="26" t="s">
        <v>78</v>
      </c>
      <c r="C5" s="31"/>
      <c r="D5" s="31" t="s">
        <v>73</v>
      </c>
      <c r="E5" s="31"/>
      <c r="F5" s="31"/>
      <c r="G5" s="26" t="s">
        <v>79</v>
      </c>
      <c r="H5" s="26" t="s">
        <v>80</v>
      </c>
      <c r="I5" s="27" t="str">
        <f aca="false">IF(C5="○","キ","")&amp;IF(D5="○","ダ","")&amp;IF(E5="○","粗","")&amp;IF(F5="○","超","")</f>
        <v>ダ</v>
      </c>
    </row>
    <row r="6" customFormat="false" ht="15" hidden="false" customHeight="false" outlineLevel="0" collapsed="false">
      <c r="A6" s="29"/>
      <c r="B6" s="29"/>
      <c r="C6" s="29"/>
      <c r="D6" s="29"/>
      <c r="E6" s="29"/>
      <c r="F6" s="29"/>
      <c r="G6" s="29"/>
      <c r="H6" s="29"/>
      <c r="I6" s="27" t="str">
        <f aca="false">IF(C6="○","キ","")&amp;IF(D6="○","ダ","")&amp;IF(E6="○","粗","")&amp;IF(F6="○","超","")</f>
        <v/>
      </c>
    </row>
    <row r="7" customFormat="false" ht="15" hidden="false" customHeight="false" outlineLevel="0" collapsed="false">
      <c r="A7" s="29"/>
      <c r="B7" s="29"/>
      <c r="C7" s="29"/>
      <c r="D7" s="29"/>
      <c r="E7" s="29"/>
      <c r="F7" s="29"/>
      <c r="G7" s="29"/>
      <c r="H7" s="29"/>
      <c r="I7" s="27" t="str">
        <f aca="false">IF(C7="○","キ","")&amp;IF(D7="○","ダ","")&amp;IF(E7="○","粗","")&amp;IF(F7="○","超","")</f>
        <v/>
      </c>
    </row>
    <row r="8" customFormat="false" ht="15" hidden="false" customHeight="false" outlineLevel="0" collapsed="false">
      <c r="A8" s="29"/>
      <c r="B8" s="29"/>
      <c r="C8" s="29"/>
      <c r="D8" s="29"/>
      <c r="E8" s="29"/>
      <c r="F8" s="29"/>
      <c r="G8" s="29"/>
      <c r="H8" s="29"/>
      <c r="I8" s="27" t="str">
        <f aca="false">IF(C8="○","キ","")&amp;IF(D8="○","ダ","")&amp;IF(E8="○","粗","")&amp;IF(F8="○","超","")</f>
        <v/>
      </c>
    </row>
    <row r="9" customFormat="false" ht="15" hidden="false" customHeight="false" outlineLevel="0" collapsed="false">
      <c r="A9" s="29"/>
      <c r="B9" s="29"/>
      <c r="C9" s="29"/>
      <c r="D9" s="29"/>
      <c r="E9" s="29"/>
      <c r="F9" s="29"/>
      <c r="G9" s="29"/>
      <c r="H9" s="29"/>
      <c r="I9" s="27" t="str">
        <f aca="false">IF(C9="○","キ","")&amp;IF(D9="○","ダ","")&amp;IF(E9="○","粗","")&amp;IF(F9="○","超","")</f>
        <v/>
      </c>
    </row>
    <row r="10" customFormat="false" ht="15" hidden="false" customHeight="false" outlineLevel="0" collapsed="false">
      <c r="A10" s="29"/>
      <c r="B10" s="29"/>
      <c r="C10" s="29"/>
      <c r="D10" s="29"/>
      <c r="E10" s="29"/>
      <c r="F10" s="29"/>
      <c r="G10" s="29"/>
      <c r="H10" s="29"/>
      <c r="I10" s="27" t="str">
        <f aca="false">IF(C10="○","キ","")&amp;IF(D10="○","ダ","")&amp;IF(E10="○","粗","")&amp;IF(F10="○","超","")</f>
        <v/>
      </c>
    </row>
    <row r="11" customFormat="false" ht="15" hidden="false" customHeight="false" outlineLevel="0" collapsed="false">
      <c r="A11" s="29"/>
      <c r="B11" s="29"/>
      <c r="C11" s="29"/>
      <c r="D11" s="29"/>
      <c r="E11" s="29"/>
      <c r="F11" s="29"/>
      <c r="G11" s="29"/>
      <c r="H11" s="29"/>
      <c r="I11" s="27" t="str">
        <f aca="false">IF(C11="○","キ","")&amp;IF(D11="○","ダ","")&amp;IF(E11="○","粗","")&amp;IF(F11="○","超","")</f>
        <v/>
      </c>
    </row>
    <row r="12" customFormat="false" ht="15" hidden="false" customHeight="false" outlineLevel="0" collapsed="false">
      <c r="A12" s="29"/>
      <c r="B12" s="29"/>
      <c r="C12" s="29"/>
      <c r="D12" s="29"/>
      <c r="E12" s="29"/>
      <c r="F12" s="29"/>
      <c r="G12" s="29"/>
      <c r="H12" s="29"/>
      <c r="I12" s="27" t="str">
        <f aca="false">IF(C12="○","キ","")&amp;IF(D12="○","ダ","")&amp;IF(E12="○","粗","")&amp;IF(F12="○","超","")</f>
        <v/>
      </c>
    </row>
    <row r="13" customFormat="false" ht="15" hidden="false" customHeight="false" outlineLevel="0" collapsed="false">
      <c r="A13" s="29"/>
      <c r="B13" s="29"/>
      <c r="C13" s="29"/>
      <c r="D13" s="29"/>
      <c r="E13" s="29"/>
      <c r="F13" s="29"/>
      <c r="G13" s="29"/>
      <c r="H13" s="29"/>
      <c r="I13" s="27" t="str">
        <f aca="false">IF(C13="○","キ","")&amp;IF(D13="○","ダ","")&amp;IF(E13="○","粗","")&amp;IF(F13="○","超","")</f>
        <v/>
      </c>
    </row>
    <row r="14" customFormat="false" ht="15" hidden="false" customHeight="false" outlineLevel="0" collapsed="false">
      <c r="A14" s="29"/>
      <c r="B14" s="29"/>
      <c r="C14" s="29"/>
      <c r="D14" s="29"/>
      <c r="E14" s="29"/>
      <c r="F14" s="29"/>
      <c r="G14" s="29"/>
      <c r="H14" s="29"/>
      <c r="I14" s="27" t="str">
        <f aca="false">IF(C14="○","キ","")&amp;IF(D14="○","ダ","")&amp;IF(E14="○","粗","")&amp;IF(F14="○","超","")</f>
        <v/>
      </c>
    </row>
    <row r="15" customFormat="false" ht="15" hidden="false" customHeight="false" outlineLevel="0" collapsed="false">
      <c r="A15" s="29"/>
      <c r="B15" s="29"/>
      <c r="C15" s="29"/>
      <c r="D15" s="29"/>
      <c r="E15" s="29"/>
      <c r="F15" s="29"/>
      <c r="G15" s="29"/>
      <c r="H15" s="29"/>
      <c r="I15" s="27" t="str">
        <f aca="false">IF(C15="○","キ","")&amp;IF(D15="○","ダ","")&amp;IF(E15="○","粗","")&amp;IF(F15="○","超","")</f>
        <v/>
      </c>
    </row>
    <row r="16" customFormat="false" ht="15" hidden="false" customHeight="false" outlineLevel="0" collapsed="false">
      <c r="A16" s="29"/>
      <c r="B16" s="29"/>
      <c r="C16" s="29"/>
      <c r="D16" s="29"/>
      <c r="E16" s="29"/>
      <c r="F16" s="29"/>
      <c r="G16" s="29"/>
      <c r="H16" s="29"/>
      <c r="I16" s="27" t="str">
        <f aca="false">IF(C16="○","キ","")&amp;IF(D16="○","ダ","")&amp;IF(E16="○","粗","")&amp;IF(F16="○","超","")</f>
        <v/>
      </c>
    </row>
    <row r="17" customFormat="false" ht="15" hidden="false" customHeight="false" outlineLevel="0" collapsed="false">
      <c r="A17" s="29"/>
      <c r="B17" s="29"/>
      <c r="C17" s="29"/>
      <c r="D17" s="29"/>
      <c r="E17" s="29"/>
      <c r="F17" s="29"/>
      <c r="G17" s="29"/>
      <c r="H17" s="29"/>
      <c r="I17" s="27" t="str">
        <f aca="false">IF(C17="○","キ","")&amp;IF(D17="○","ダ","")&amp;IF(E17="○","粗","")&amp;IF(F17="○","超","")</f>
        <v/>
      </c>
    </row>
    <row r="18" customFormat="false" ht="15" hidden="false" customHeight="false" outlineLevel="0" collapsed="false">
      <c r="A18" s="29"/>
      <c r="B18" s="29"/>
      <c r="C18" s="29"/>
      <c r="D18" s="29"/>
      <c r="E18" s="29"/>
      <c r="F18" s="29"/>
      <c r="G18" s="29"/>
      <c r="H18" s="29"/>
      <c r="I18" s="27" t="str">
        <f aca="false">IF(C18="○","キ","")&amp;IF(D18="○","ダ","")&amp;IF(E18="○","粗","")&amp;IF(F18="○","超","")</f>
        <v/>
      </c>
    </row>
    <row r="19" customFormat="false" ht="15" hidden="false" customHeight="false" outlineLevel="0" collapsed="false">
      <c r="A19" s="29"/>
      <c r="B19" s="29"/>
      <c r="C19" s="29"/>
      <c r="D19" s="29"/>
      <c r="E19" s="29"/>
      <c r="F19" s="29"/>
      <c r="G19" s="29"/>
      <c r="H19" s="29"/>
      <c r="I19" s="27" t="str">
        <f aca="false">IF(C19="○","キ","")&amp;IF(D19="○","ダ","")&amp;IF(E19="○","粗","")&amp;IF(F19="○","超","")</f>
        <v/>
      </c>
    </row>
    <row r="20" customFormat="false" ht="15" hidden="false" customHeight="false" outlineLevel="0" collapsed="false">
      <c r="A20" s="29"/>
      <c r="B20" s="29"/>
      <c r="C20" s="29"/>
      <c r="D20" s="29"/>
      <c r="E20" s="29"/>
      <c r="F20" s="29"/>
      <c r="G20" s="29"/>
      <c r="H20" s="29"/>
      <c r="I20" s="27" t="str">
        <f aca="false">IF(C20="○","キ","")&amp;IF(D20="○","ダ","")&amp;IF(E20="○","粗","")&amp;IF(F20="○","超","")</f>
        <v/>
      </c>
    </row>
    <row r="21" customFormat="false" ht="15" hidden="false" customHeight="false" outlineLevel="0" collapsed="false">
      <c r="A21" s="29"/>
      <c r="B21" s="29"/>
      <c r="C21" s="29"/>
      <c r="D21" s="29"/>
      <c r="E21" s="29"/>
      <c r="F21" s="29"/>
      <c r="G21" s="29"/>
      <c r="H21" s="29"/>
      <c r="I21" s="27" t="str">
        <f aca="false">IF(C21="○","キ","")&amp;IF(D21="○","ダ","")&amp;IF(E21="○","粗","")&amp;IF(F21="○","超","")</f>
        <v/>
      </c>
    </row>
    <row r="22" customFormat="false" ht="15" hidden="false" customHeight="false" outlineLevel="0" collapsed="false">
      <c r="A22" s="29"/>
      <c r="B22" s="29"/>
      <c r="C22" s="29"/>
      <c r="D22" s="29"/>
      <c r="E22" s="29"/>
      <c r="F22" s="29"/>
      <c r="G22" s="29"/>
      <c r="H22" s="29"/>
      <c r="I22" s="27" t="str">
        <f aca="false">IF(C22="○","キ","")&amp;IF(D22="○","ダ","")&amp;IF(E22="○","粗","")&amp;IF(F22="○","超","")</f>
        <v/>
      </c>
    </row>
    <row r="23" customFormat="false" ht="15" hidden="false" customHeight="false" outlineLevel="0" collapsed="false">
      <c r="A23" s="29"/>
      <c r="B23" s="29"/>
      <c r="C23" s="29"/>
      <c r="D23" s="29"/>
      <c r="E23" s="29"/>
      <c r="F23" s="29"/>
      <c r="G23" s="29"/>
      <c r="H23" s="29"/>
      <c r="I23" s="27" t="str">
        <f aca="false">IF(C23="○","キ","")&amp;IF(D23="○","ダ","")&amp;IF(E23="○","粗","")&amp;IF(F23="○","超","")</f>
        <v/>
      </c>
    </row>
    <row r="24" customFormat="false" ht="15" hidden="false" customHeight="false" outlineLevel="0" collapsed="false">
      <c r="A24" s="29"/>
      <c r="B24" s="29"/>
      <c r="C24" s="29"/>
      <c r="D24" s="29"/>
      <c r="E24" s="29"/>
      <c r="F24" s="29"/>
      <c r="G24" s="29"/>
      <c r="H24" s="29"/>
      <c r="I24" s="27" t="str">
        <f aca="false">IF(C24="○","キ","")&amp;IF(D24="○","ダ","")&amp;IF(E24="○","粗","")&amp;IF(F24="○","超","")</f>
        <v/>
      </c>
    </row>
    <row r="25" customFormat="false" ht="15" hidden="false" customHeight="false" outlineLevel="0" collapsed="false">
      <c r="A25" s="29"/>
      <c r="B25" s="29"/>
      <c r="C25" s="29"/>
      <c r="D25" s="29"/>
      <c r="E25" s="29"/>
      <c r="F25" s="29"/>
      <c r="G25" s="29"/>
      <c r="H25" s="29"/>
      <c r="I25" s="27" t="str">
        <f aca="false">IF(C25="○","キ","")&amp;IF(D25="○","ダ","")&amp;IF(E25="○","粗","")&amp;IF(F25="○","超","")</f>
        <v/>
      </c>
    </row>
    <row r="26" customFormat="false" ht="15" hidden="false" customHeight="false" outlineLevel="0" collapsed="false">
      <c r="A26" s="29"/>
      <c r="B26" s="29"/>
      <c r="C26" s="29"/>
      <c r="D26" s="29"/>
      <c r="E26" s="29"/>
      <c r="F26" s="29"/>
      <c r="G26" s="29"/>
      <c r="H26" s="29"/>
      <c r="I26" s="27" t="str">
        <f aca="false">IF(C26="○","キ","")&amp;IF(D26="○","ダ","")&amp;IF(E26="○","粗","")&amp;IF(F26="○","超","")</f>
        <v/>
      </c>
    </row>
    <row r="27" customFormat="false" ht="15" hidden="false" customHeight="false" outlineLevel="0" collapsed="false">
      <c r="A27" s="29"/>
      <c r="B27" s="29"/>
      <c r="C27" s="29"/>
      <c r="D27" s="29"/>
      <c r="E27" s="29"/>
      <c r="F27" s="29"/>
      <c r="G27" s="29"/>
      <c r="H27" s="29"/>
      <c r="I27" s="27" t="str">
        <f aca="false">IF(C27="○","キ","")&amp;IF(D27="○","ダ","")&amp;IF(E27="○","粗","")&amp;IF(F27="○","超","")</f>
        <v/>
      </c>
    </row>
    <row r="28" customFormat="false" ht="15" hidden="false" customHeight="false" outlineLevel="0" collapsed="false">
      <c r="A28" s="29"/>
      <c r="B28" s="29"/>
      <c r="C28" s="29"/>
      <c r="D28" s="29"/>
      <c r="E28" s="29"/>
      <c r="F28" s="29"/>
      <c r="G28" s="29"/>
      <c r="H28" s="29"/>
      <c r="I28" s="27" t="str">
        <f aca="false">IF(C28="○","キ","")&amp;IF(D28="○","ダ","")&amp;IF(E28="○","粗","")&amp;IF(F28="○","超","")</f>
        <v/>
      </c>
    </row>
    <row r="29" customFormat="false" ht="15" hidden="false" customHeight="false" outlineLevel="0" collapsed="false">
      <c r="A29" s="29"/>
      <c r="B29" s="29"/>
      <c r="C29" s="29"/>
      <c r="D29" s="29"/>
      <c r="E29" s="29"/>
      <c r="F29" s="29"/>
      <c r="G29" s="29"/>
      <c r="H29" s="29"/>
      <c r="I29" s="27" t="str">
        <f aca="false">IF(C29="○","キ","")&amp;IF(D29="○","ダ","")&amp;IF(E29="○","粗","")&amp;IF(F29="○","超","")</f>
        <v/>
      </c>
    </row>
    <row r="30" customFormat="false" ht="15" hidden="false" customHeight="false" outlineLevel="0" collapsed="false">
      <c r="A30" s="29"/>
      <c r="B30" s="29"/>
      <c r="C30" s="29"/>
      <c r="D30" s="29"/>
      <c r="E30" s="29"/>
      <c r="F30" s="29"/>
      <c r="G30" s="29"/>
      <c r="H30" s="29"/>
      <c r="I30" s="27" t="str">
        <f aca="false">IF(C30="○","キ","")&amp;IF(D30="○","ダ","")&amp;IF(E30="○","粗","")&amp;IF(F30="○","超","")</f>
        <v/>
      </c>
    </row>
    <row r="31" customFormat="false" ht="15" hidden="false" customHeight="false" outlineLevel="0" collapsed="false">
      <c r="A31" s="29"/>
      <c r="B31" s="29"/>
      <c r="C31" s="29"/>
      <c r="D31" s="29"/>
      <c r="E31" s="29"/>
      <c r="F31" s="29"/>
      <c r="G31" s="29"/>
      <c r="H31" s="29"/>
      <c r="I31" s="27" t="str">
        <f aca="false">IF(C31="○","キ","")&amp;IF(D31="○","ダ","")&amp;IF(E31="○","粗","")&amp;IF(F31="○","超","")</f>
        <v/>
      </c>
    </row>
    <row r="32" customFormat="false" ht="15" hidden="false" customHeight="false" outlineLevel="0" collapsed="false">
      <c r="A32" s="29"/>
      <c r="B32" s="29"/>
      <c r="C32" s="29"/>
      <c r="D32" s="29"/>
      <c r="E32" s="29"/>
      <c r="F32" s="29"/>
      <c r="G32" s="29"/>
      <c r="H32" s="29"/>
      <c r="I32" s="27" t="str">
        <f aca="false">IF(C32="○","キ","")&amp;IF(D32="○","ダ","")&amp;IF(E32="○","粗","")&amp;IF(F32="○","超","")</f>
        <v/>
      </c>
    </row>
    <row r="33" customFormat="false" ht="15" hidden="false" customHeight="false" outlineLevel="0" collapsed="false">
      <c r="A33" s="29"/>
      <c r="B33" s="29"/>
      <c r="C33" s="29"/>
      <c r="D33" s="29"/>
      <c r="E33" s="29"/>
      <c r="F33" s="29"/>
      <c r="G33" s="29"/>
      <c r="H33" s="29"/>
      <c r="I33" s="27" t="str">
        <f aca="false">IF(C33="○","キ","")&amp;IF(D33="○","ダ","")&amp;IF(E33="○","粗","")&amp;IF(F33="○","超","")</f>
        <v/>
      </c>
    </row>
    <row r="34" customFormat="false" ht="15" hidden="false" customHeight="false" outlineLevel="0" collapsed="false">
      <c r="A34" s="29"/>
      <c r="B34" s="29"/>
      <c r="C34" s="29"/>
      <c r="D34" s="29"/>
      <c r="E34" s="29"/>
      <c r="F34" s="29"/>
      <c r="G34" s="29"/>
      <c r="H34" s="29"/>
      <c r="I34" s="27" t="str">
        <f aca="false">IF(C34="○","キ","")&amp;IF(D34="○","ダ","")&amp;IF(E34="○","粗","")&amp;IF(F34="○","超","")</f>
        <v/>
      </c>
    </row>
    <row r="35" customFormat="false" ht="15" hidden="false" customHeight="false" outlineLevel="0" collapsed="false">
      <c r="A35" s="29"/>
      <c r="B35" s="29"/>
      <c r="C35" s="29"/>
      <c r="D35" s="29"/>
      <c r="E35" s="29"/>
      <c r="F35" s="29"/>
      <c r="G35" s="29"/>
      <c r="H35" s="29"/>
      <c r="I35" s="27" t="str">
        <f aca="false">IF(C35="○","キ","")&amp;IF(D35="○","ダ","")&amp;IF(E35="○","粗","")&amp;IF(F35="○","超","")</f>
        <v/>
      </c>
    </row>
    <row r="36" customFormat="false" ht="15" hidden="false" customHeight="false" outlineLevel="0" collapsed="false">
      <c r="A36" s="29"/>
      <c r="B36" s="29"/>
      <c r="C36" s="29"/>
      <c r="D36" s="29"/>
      <c r="E36" s="29"/>
      <c r="F36" s="29"/>
      <c r="G36" s="29"/>
      <c r="H36" s="29"/>
      <c r="I36" s="27" t="str">
        <f aca="false">IF(C36="○","キ","")&amp;IF(D36="○","ダ","")&amp;IF(E36="○","粗","")&amp;IF(F36="○","超","")</f>
        <v/>
      </c>
    </row>
    <row r="37" customFormat="false" ht="15" hidden="false" customHeight="false" outlineLevel="0" collapsed="false">
      <c r="A37" s="29"/>
      <c r="B37" s="29"/>
      <c r="C37" s="29"/>
      <c r="D37" s="29"/>
      <c r="E37" s="29"/>
      <c r="F37" s="29"/>
      <c r="G37" s="29"/>
      <c r="H37" s="29"/>
      <c r="I37" s="27" t="str">
        <f aca="false">IF(C37="○","キ","")&amp;IF(D37="○","ダ","")&amp;IF(E37="○","粗","")&amp;IF(F37="○","超","")</f>
        <v/>
      </c>
    </row>
    <row r="38" customFormat="false" ht="15" hidden="false" customHeight="false" outlineLevel="0" collapsed="false">
      <c r="A38" s="29"/>
      <c r="B38" s="29"/>
      <c r="C38" s="29"/>
      <c r="D38" s="29"/>
      <c r="E38" s="29"/>
      <c r="F38" s="29"/>
      <c r="G38" s="29"/>
      <c r="H38" s="29"/>
      <c r="I38" s="27" t="str">
        <f aca="false">IF(C38="○","キ","")&amp;IF(D38="○","ダ","")&amp;IF(E38="○","粗","")&amp;IF(F38="○","超","")</f>
        <v/>
      </c>
    </row>
    <row r="39" customFormat="false" ht="15" hidden="false" customHeight="false" outlineLevel="0" collapsed="false">
      <c r="A39" s="29"/>
      <c r="B39" s="29"/>
      <c r="C39" s="29"/>
      <c r="D39" s="29"/>
      <c r="E39" s="29"/>
      <c r="F39" s="29"/>
      <c r="G39" s="29"/>
      <c r="H39" s="29"/>
      <c r="I39" s="27" t="str">
        <f aca="false">IF(C39="○","キ","")&amp;IF(D39="○","ダ","")&amp;IF(E39="○","粗","")&amp;IF(F39="○","超","")</f>
        <v/>
      </c>
    </row>
    <row r="40" customFormat="false" ht="15" hidden="false" customHeight="false" outlineLevel="0" collapsed="false">
      <c r="A40" s="29"/>
      <c r="B40" s="29"/>
      <c r="C40" s="29"/>
      <c r="D40" s="29"/>
      <c r="E40" s="29"/>
      <c r="F40" s="29"/>
      <c r="G40" s="29"/>
      <c r="H40" s="29"/>
      <c r="I40" s="27" t="str">
        <f aca="false">IF(C40="○","キ","")&amp;IF(D40="○","ダ","")&amp;IF(E40="○","粗","")&amp;IF(F40="○","超","")</f>
        <v/>
      </c>
    </row>
    <row r="41" customFormat="false" ht="15" hidden="false" customHeight="false" outlineLevel="0" collapsed="false">
      <c r="A41" s="29"/>
      <c r="B41" s="29"/>
      <c r="C41" s="29"/>
      <c r="D41" s="29"/>
      <c r="E41" s="29"/>
      <c r="F41" s="29"/>
      <c r="G41" s="29"/>
      <c r="H41" s="29"/>
      <c r="I41" s="27" t="str">
        <f aca="false">IF(C41="○","キ","")&amp;IF(D41="○","ダ","")&amp;IF(E41="○","粗","")&amp;IF(F41="○","超","")</f>
        <v/>
      </c>
    </row>
    <row r="42" customFormat="false" ht="15" hidden="false" customHeight="false" outlineLevel="0" collapsed="false">
      <c r="A42" s="29"/>
      <c r="B42" s="29"/>
      <c r="C42" s="29"/>
      <c r="D42" s="29"/>
      <c r="E42" s="29"/>
      <c r="F42" s="29"/>
      <c r="G42" s="29"/>
      <c r="H42" s="29"/>
      <c r="I42" s="27" t="str">
        <f aca="false">IF(C42="○","キ","")&amp;IF(D42="○","ダ","")&amp;IF(E42="○","粗","")&amp;IF(F42="○","超","")</f>
        <v/>
      </c>
    </row>
    <row r="43" customFormat="false" ht="15" hidden="false" customHeight="false" outlineLevel="0" collapsed="false">
      <c r="A43" s="29"/>
      <c r="B43" s="29"/>
      <c r="C43" s="29"/>
      <c r="D43" s="29"/>
      <c r="E43" s="29"/>
      <c r="F43" s="29"/>
      <c r="G43" s="29"/>
      <c r="H43" s="29"/>
      <c r="I43" s="27" t="str">
        <f aca="false">IF(C43="○","キ","")&amp;IF(D43="○","ダ","")&amp;IF(E43="○","粗","")&amp;IF(F43="○","超","")</f>
        <v/>
      </c>
    </row>
    <row r="44" customFormat="false" ht="15" hidden="false" customHeight="false" outlineLevel="0" collapsed="false">
      <c r="A44" s="29"/>
      <c r="B44" s="29"/>
      <c r="C44" s="29"/>
      <c r="D44" s="29"/>
      <c r="E44" s="29"/>
      <c r="F44" s="29"/>
      <c r="G44" s="29"/>
      <c r="H44" s="29"/>
      <c r="I44" s="27" t="str">
        <f aca="false">IF(C44="○","キ","")&amp;IF(D44="○","ダ","")&amp;IF(E44="○","粗","")&amp;IF(F44="○","超","")</f>
        <v/>
      </c>
    </row>
    <row r="45" customFormat="false" ht="15" hidden="false" customHeight="false" outlineLevel="0" collapsed="false">
      <c r="A45" s="29"/>
      <c r="B45" s="29"/>
      <c r="C45" s="29"/>
      <c r="D45" s="29"/>
      <c r="E45" s="29"/>
      <c r="F45" s="29"/>
      <c r="G45" s="29"/>
      <c r="H45" s="29"/>
      <c r="I45" s="27" t="str">
        <f aca="false">IF(C45="○","キ","")&amp;IF(D45="○","ダ","")&amp;IF(E45="○","粗","")&amp;IF(F45="○","超","")</f>
        <v/>
      </c>
    </row>
    <row r="46" customFormat="false" ht="15" hidden="false" customHeight="false" outlineLevel="0" collapsed="false">
      <c r="A46" s="29"/>
      <c r="B46" s="29"/>
      <c r="C46" s="29"/>
      <c r="D46" s="29"/>
      <c r="E46" s="29"/>
      <c r="F46" s="29"/>
      <c r="G46" s="29"/>
      <c r="H46" s="29"/>
      <c r="I46" s="27" t="str">
        <f aca="false">IF(C46="○","キ","")&amp;IF(D46="○","ダ","")&amp;IF(E46="○","粗","")&amp;IF(F46="○","超","")</f>
        <v/>
      </c>
    </row>
    <row r="47" customFormat="false" ht="15" hidden="false" customHeight="false" outlineLevel="0" collapsed="false">
      <c r="A47" s="29"/>
      <c r="B47" s="29"/>
      <c r="C47" s="29"/>
      <c r="D47" s="29"/>
      <c r="E47" s="29"/>
      <c r="F47" s="29"/>
      <c r="G47" s="29"/>
      <c r="H47" s="29"/>
      <c r="I47" s="27" t="str">
        <f aca="false">IF(C47="○","キ","")&amp;IF(D47="○","ダ","")&amp;IF(E47="○","粗","")&amp;IF(F47="○","超","")</f>
        <v/>
      </c>
    </row>
    <row r="48" customFormat="false" ht="15" hidden="false" customHeight="false" outlineLevel="0" collapsed="false">
      <c r="A48" s="29"/>
      <c r="B48" s="29"/>
      <c r="C48" s="29"/>
      <c r="D48" s="29"/>
      <c r="E48" s="29"/>
      <c r="F48" s="29"/>
      <c r="G48" s="29"/>
      <c r="H48" s="29"/>
      <c r="I48" s="27" t="str">
        <f aca="false">IF(C48="○","キ","")&amp;IF(D48="○","ダ","")&amp;IF(E48="○","粗","")&amp;IF(F48="○","超","")</f>
        <v/>
      </c>
    </row>
    <row r="49" customFormat="false" ht="15" hidden="false" customHeight="false" outlineLevel="0" collapsed="false">
      <c r="A49" s="29"/>
      <c r="B49" s="29"/>
      <c r="C49" s="29"/>
      <c r="D49" s="29"/>
      <c r="E49" s="29"/>
      <c r="F49" s="29"/>
      <c r="G49" s="29"/>
      <c r="H49" s="29"/>
      <c r="I49" s="27" t="str">
        <f aca="false">IF(C49="○","キ","")&amp;IF(D49="○","ダ","")&amp;IF(E49="○","粗","")&amp;IF(F49="○","超","")</f>
        <v/>
      </c>
    </row>
    <row r="50" customFormat="false" ht="15" hidden="false" customHeight="false" outlineLevel="0" collapsed="false">
      <c r="A50" s="29"/>
      <c r="B50" s="29"/>
      <c r="C50" s="29"/>
      <c r="D50" s="29"/>
      <c r="E50" s="29"/>
      <c r="F50" s="29"/>
      <c r="G50" s="29"/>
      <c r="H50" s="29"/>
      <c r="I50" s="27" t="str">
        <f aca="false">IF(C50="○","キ","")&amp;IF(D50="○","ダ","")&amp;IF(E50="○","粗","")&amp;IF(F50="○","超","")</f>
        <v/>
      </c>
    </row>
    <row r="51" customFormat="false" ht="15" hidden="false" customHeight="false" outlineLevel="0" collapsed="false">
      <c r="A51" s="29"/>
      <c r="B51" s="29"/>
      <c r="C51" s="29"/>
      <c r="D51" s="29"/>
      <c r="E51" s="29"/>
      <c r="F51" s="29"/>
      <c r="G51" s="29"/>
      <c r="H51" s="29"/>
      <c r="I51" s="27" t="str">
        <f aca="false">IF(C51="○","キ","")&amp;IF(D51="○","ダ","")&amp;IF(E51="○","粗","")&amp;IF(F51="○","超","")</f>
        <v/>
      </c>
    </row>
    <row r="52" customFormat="false" ht="15" hidden="false" customHeight="false" outlineLevel="0" collapsed="false">
      <c r="A52" s="29"/>
      <c r="B52" s="29"/>
      <c r="C52" s="29"/>
      <c r="D52" s="29"/>
      <c r="E52" s="29"/>
      <c r="F52" s="29"/>
      <c r="G52" s="29"/>
      <c r="H52" s="29"/>
      <c r="I52" s="27" t="str">
        <f aca="false">IF(C52="○","キ","")&amp;IF(D52="○","ダ","")&amp;IF(E52="○","粗","")&amp;IF(F52="○","超","")</f>
        <v/>
      </c>
    </row>
    <row r="53" customFormat="false" ht="15" hidden="false" customHeight="false" outlineLevel="0" collapsed="false">
      <c r="A53" s="29"/>
      <c r="B53" s="29"/>
      <c r="C53" s="29"/>
      <c r="D53" s="29"/>
      <c r="E53" s="29"/>
      <c r="F53" s="29"/>
      <c r="G53" s="29"/>
      <c r="H53" s="29"/>
      <c r="I53" s="27" t="str">
        <f aca="false">IF(C53="○","キ","")&amp;IF(D53="○","ダ","")&amp;IF(E53="○","粗","")&amp;IF(F53="○","超","")</f>
        <v/>
      </c>
    </row>
    <row r="54" customFormat="false" ht="15" hidden="false" customHeight="false" outlineLevel="0" collapsed="false">
      <c r="A54" s="29"/>
      <c r="B54" s="29"/>
      <c r="C54" s="29"/>
      <c r="D54" s="29"/>
      <c r="E54" s="29"/>
      <c r="F54" s="29"/>
      <c r="G54" s="29"/>
      <c r="H54" s="29"/>
      <c r="I54" s="27" t="str">
        <f aca="false">IF(C54="○","キ","")&amp;IF(D54="○","ダ","")&amp;IF(E54="○","粗","")&amp;IF(F54="○","超","")</f>
        <v/>
      </c>
    </row>
    <row r="55" customFormat="false" ht="15" hidden="false" customHeight="false" outlineLevel="0" collapsed="false">
      <c r="A55" s="29"/>
      <c r="B55" s="29"/>
      <c r="C55" s="29"/>
      <c r="D55" s="29"/>
      <c r="E55" s="29"/>
      <c r="F55" s="29"/>
      <c r="G55" s="29"/>
      <c r="H55" s="29"/>
      <c r="I55" s="27" t="str">
        <f aca="false">IF(C55="○","キ","")&amp;IF(D55="○","ダ","")&amp;IF(E55="○","粗","")&amp;IF(F55="○","超","")</f>
        <v/>
      </c>
    </row>
    <row r="56" customFormat="false" ht="15" hidden="false" customHeight="false" outlineLevel="0" collapsed="false">
      <c r="A56" s="29"/>
      <c r="B56" s="29"/>
      <c r="C56" s="29"/>
      <c r="D56" s="29"/>
      <c r="E56" s="29"/>
      <c r="F56" s="29"/>
      <c r="G56" s="29"/>
      <c r="H56" s="29"/>
      <c r="I56" s="27" t="str">
        <f aca="false">IF(C56="○","キ","")&amp;IF(D56="○","ダ","")&amp;IF(E56="○","粗","")&amp;IF(F56="○","超","")</f>
        <v/>
      </c>
    </row>
    <row r="57" customFormat="false" ht="15" hidden="false" customHeight="false" outlineLevel="0" collapsed="false">
      <c r="A57" s="29"/>
      <c r="B57" s="29"/>
      <c r="C57" s="29"/>
      <c r="D57" s="29"/>
      <c r="E57" s="29"/>
      <c r="F57" s="29"/>
      <c r="G57" s="29"/>
      <c r="H57" s="29"/>
      <c r="I57" s="27" t="str">
        <f aca="false">IF(C57="○","キ","")&amp;IF(D57="○","ダ","")&amp;IF(E57="○","粗","")&amp;IF(F57="○","超","")</f>
        <v/>
      </c>
    </row>
    <row r="58" customFormat="false" ht="15" hidden="false" customHeight="false" outlineLevel="0" collapsed="false">
      <c r="A58" s="29"/>
      <c r="B58" s="29"/>
      <c r="C58" s="29"/>
      <c r="D58" s="29"/>
      <c r="E58" s="29"/>
      <c r="F58" s="29"/>
      <c r="G58" s="29"/>
      <c r="H58" s="29"/>
      <c r="I58" s="27" t="str">
        <f aca="false">IF(C58="○","キ","")&amp;IF(D58="○","ダ","")&amp;IF(E58="○","粗","")&amp;IF(F58="○","超","")</f>
        <v/>
      </c>
    </row>
    <row r="59" customFormat="false" ht="15" hidden="false" customHeight="false" outlineLevel="0" collapsed="false">
      <c r="A59" s="29"/>
      <c r="B59" s="29"/>
      <c r="C59" s="29"/>
      <c r="D59" s="29"/>
      <c r="E59" s="29"/>
      <c r="F59" s="29"/>
      <c r="G59" s="29"/>
      <c r="H59" s="29"/>
      <c r="I59" s="27" t="str">
        <f aca="false">IF(C59="○","キ","")&amp;IF(D59="○","ダ","")&amp;IF(E59="○","粗","")&amp;IF(F59="○","超","")</f>
        <v/>
      </c>
    </row>
    <row r="60" customFormat="false" ht="15" hidden="false" customHeight="false" outlineLevel="0" collapsed="false">
      <c r="A60" s="29"/>
      <c r="B60" s="29"/>
      <c r="C60" s="29"/>
      <c r="D60" s="29"/>
      <c r="E60" s="29"/>
      <c r="F60" s="29"/>
      <c r="G60" s="29"/>
      <c r="H60" s="29"/>
      <c r="I60" s="27" t="str">
        <f aca="false">IF(C60="○","キ","")&amp;IF(D60="○","ダ","")&amp;IF(E60="○","粗","")&amp;IF(F60="○","超","")</f>
        <v/>
      </c>
    </row>
    <row r="61" customFormat="false" ht="15" hidden="false" customHeight="false" outlineLevel="0" collapsed="false">
      <c r="A61" s="29"/>
      <c r="B61" s="29"/>
      <c r="C61" s="29"/>
      <c r="D61" s="29"/>
      <c r="E61" s="29"/>
      <c r="F61" s="29"/>
      <c r="G61" s="29"/>
      <c r="H61" s="29"/>
      <c r="I61" s="27" t="str">
        <f aca="false">IF(C61="○","キ","")&amp;IF(D61="○","ダ","")&amp;IF(E61="○","粗","")&amp;IF(F61="○","超","")</f>
        <v/>
      </c>
    </row>
    <row r="62" customFormat="false" ht="15" hidden="false" customHeight="false" outlineLevel="0" collapsed="false">
      <c r="A62" s="29"/>
      <c r="B62" s="29"/>
      <c r="C62" s="29"/>
      <c r="D62" s="29"/>
      <c r="E62" s="29"/>
      <c r="F62" s="29"/>
      <c r="G62" s="29"/>
      <c r="H62" s="29"/>
      <c r="I62" s="27" t="str">
        <f aca="false">IF(C62="○","キ","")&amp;IF(D62="○","ダ","")&amp;IF(E62="○","粗","")&amp;IF(F62="○","超","")</f>
        <v/>
      </c>
    </row>
    <row r="63" customFormat="false" ht="15" hidden="false" customHeight="false" outlineLevel="0" collapsed="false">
      <c r="A63" s="29"/>
      <c r="B63" s="29"/>
      <c r="C63" s="29"/>
      <c r="D63" s="29"/>
      <c r="E63" s="29"/>
      <c r="F63" s="29"/>
      <c r="G63" s="29"/>
      <c r="H63" s="29"/>
      <c r="I63" s="27" t="str">
        <f aca="false">IF(C63="○","キ","")&amp;IF(D63="○","ダ","")&amp;IF(E63="○","粗","")&amp;IF(F63="○","超","")</f>
        <v/>
      </c>
    </row>
    <row r="64" customFormat="false" ht="15" hidden="false" customHeight="false" outlineLevel="0" collapsed="false">
      <c r="A64" s="29"/>
      <c r="B64" s="29"/>
      <c r="C64" s="29"/>
      <c r="D64" s="29"/>
      <c r="E64" s="29"/>
      <c r="F64" s="29"/>
      <c r="G64" s="29"/>
      <c r="H64" s="29"/>
      <c r="I64" s="27" t="str">
        <f aca="false">IF(C64="○","キ","")&amp;IF(D64="○","ダ","")&amp;IF(E64="○","粗","")&amp;IF(F64="○","超","")</f>
        <v/>
      </c>
    </row>
    <row r="65" customFormat="false" ht="15" hidden="false" customHeight="false" outlineLevel="0" collapsed="false">
      <c r="A65" s="29"/>
      <c r="B65" s="29"/>
      <c r="C65" s="29"/>
      <c r="D65" s="29"/>
      <c r="E65" s="29"/>
      <c r="F65" s="29"/>
      <c r="G65" s="29"/>
      <c r="H65" s="29"/>
      <c r="I65" s="27" t="str">
        <f aca="false">IF(C65="○","キ","")&amp;IF(D65="○","ダ","")&amp;IF(E65="○","粗","")&amp;IF(F65="○","超","")</f>
        <v/>
      </c>
    </row>
    <row r="66" customFormat="false" ht="15" hidden="false" customHeight="false" outlineLevel="0" collapsed="false">
      <c r="A66" s="29"/>
      <c r="B66" s="29"/>
      <c r="C66" s="29"/>
      <c r="D66" s="29"/>
      <c r="E66" s="29"/>
      <c r="F66" s="29"/>
      <c r="G66" s="29"/>
      <c r="H66" s="29"/>
      <c r="I66" s="27" t="str">
        <f aca="false">IF(C66="○","キ","")&amp;IF(D66="○","ダ","")&amp;IF(E66="○","粗","")&amp;IF(F66="○","超","")</f>
        <v/>
      </c>
    </row>
    <row r="67" customFormat="false" ht="15" hidden="false" customHeight="false" outlineLevel="0" collapsed="false">
      <c r="A67" s="29"/>
      <c r="B67" s="29"/>
      <c r="C67" s="29"/>
      <c r="D67" s="29"/>
      <c r="E67" s="29"/>
      <c r="F67" s="29"/>
      <c r="G67" s="29"/>
      <c r="H67" s="29"/>
      <c r="I67" s="27" t="str">
        <f aca="false">IF(C67="○","キ","")&amp;IF(D67="○","ダ","")&amp;IF(E67="○","粗","")&amp;IF(F67="○","超","")</f>
        <v/>
      </c>
    </row>
    <row r="68" customFormat="false" ht="15" hidden="false" customHeight="false" outlineLevel="0" collapsed="false">
      <c r="A68" s="29"/>
      <c r="B68" s="29"/>
      <c r="C68" s="29"/>
      <c r="D68" s="29"/>
      <c r="E68" s="29"/>
      <c r="F68" s="29"/>
      <c r="G68" s="29"/>
      <c r="H68" s="29"/>
      <c r="I68" s="27" t="str">
        <f aca="false">IF(C68="○","キ","")&amp;IF(D68="○","ダ","")&amp;IF(E68="○","粗","")&amp;IF(F68="○","超","")</f>
        <v/>
      </c>
    </row>
    <row r="69" customFormat="false" ht="15" hidden="false" customHeight="false" outlineLevel="0" collapsed="false">
      <c r="A69" s="29"/>
      <c r="B69" s="29"/>
      <c r="C69" s="29"/>
      <c r="D69" s="29"/>
      <c r="E69" s="29"/>
      <c r="F69" s="29"/>
      <c r="G69" s="29"/>
      <c r="H69" s="29"/>
      <c r="I69" s="27" t="str">
        <f aca="false">IF(C69="○","キ","")&amp;IF(D69="○","ダ","")&amp;IF(E69="○","粗","")&amp;IF(F69="○","超","")</f>
        <v/>
      </c>
    </row>
    <row r="70" customFormat="false" ht="15" hidden="false" customHeight="false" outlineLevel="0" collapsed="false">
      <c r="A70" s="29"/>
      <c r="B70" s="29"/>
      <c r="C70" s="29"/>
      <c r="D70" s="29"/>
      <c r="E70" s="29"/>
      <c r="F70" s="29"/>
      <c r="G70" s="29"/>
      <c r="H70" s="29"/>
      <c r="I70" s="27" t="str">
        <f aca="false">IF(C70="○","キ","")&amp;IF(D70="○","ダ","")&amp;IF(E70="○","粗","")&amp;IF(F70="○","超","")</f>
        <v/>
      </c>
    </row>
    <row r="71" customFormat="false" ht="15" hidden="false" customHeight="false" outlineLevel="0" collapsed="false">
      <c r="A71" s="29"/>
      <c r="B71" s="29"/>
      <c r="C71" s="29"/>
      <c r="D71" s="29"/>
      <c r="E71" s="29"/>
      <c r="F71" s="29"/>
      <c r="G71" s="29"/>
      <c r="H71" s="29"/>
      <c r="I71" s="27" t="str">
        <f aca="false">IF(C71="○","キ","")&amp;IF(D71="○","ダ","")&amp;IF(E71="○","粗","")&amp;IF(F71="○","超","")</f>
        <v/>
      </c>
    </row>
    <row r="72" customFormat="false" ht="15" hidden="false" customHeight="false" outlineLevel="0" collapsed="false">
      <c r="A72" s="29"/>
      <c r="B72" s="29"/>
      <c r="C72" s="29"/>
      <c r="D72" s="29"/>
      <c r="E72" s="29"/>
      <c r="F72" s="29"/>
      <c r="G72" s="29"/>
      <c r="H72" s="29"/>
      <c r="I72" s="27" t="str">
        <f aca="false">IF(C72="○","キ","")&amp;IF(D72="○","ダ","")&amp;IF(E72="○","粗","")&amp;IF(F72="○","超","")</f>
        <v/>
      </c>
    </row>
    <row r="73" customFormat="false" ht="15" hidden="false" customHeight="false" outlineLevel="0" collapsed="false">
      <c r="A73" s="29"/>
      <c r="B73" s="29"/>
      <c r="C73" s="29"/>
      <c r="D73" s="29"/>
      <c r="E73" s="29"/>
      <c r="F73" s="29"/>
      <c r="G73" s="29"/>
      <c r="H73" s="29"/>
      <c r="I73" s="27" t="str">
        <f aca="false">IF(C73="○","キ","")&amp;IF(D73="○","ダ","")&amp;IF(E73="○","粗","")&amp;IF(F73="○","超","")</f>
        <v/>
      </c>
    </row>
    <row r="74" customFormat="false" ht="15" hidden="false" customHeight="false" outlineLevel="0" collapsed="false">
      <c r="A74" s="29"/>
      <c r="B74" s="29"/>
      <c r="C74" s="29"/>
      <c r="D74" s="29"/>
      <c r="E74" s="29"/>
      <c r="F74" s="29"/>
      <c r="G74" s="29"/>
      <c r="H74" s="29"/>
      <c r="I74" s="27" t="str">
        <f aca="false">IF(C74="○","キ","")&amp;IF(D74="○","ダ","")&amp;IF(E74="○","粗","")&amp;IF(F74="○","超","")</f>
        <v/>
      </c>
    </row>
    <row r="75" customFormat="false" ht="15" hidden="false" customHeight="false" outlineLevel="0" collapsed="false">
      <c r="A75" s="29"/>
      <c r="B75" s="29"/>
      <c r="C75" s="29"/>
      <c r="D75" s="29"/>
      <c r="E75" s="29"/>
      <c r="F75" s="29"/>
      <c r="G75" s="29"/>
      <c r="H75" s="29"/>
      <c r="I75" s="27" t="str">
        <f aca="false">IF(C75="○","キ","")&amp;IF(D75="○","ダ","")&amp;IF(E75="○","粗","")&amp;IF(F75="○","超","")</f>
        <v/>
      </c>
    </row>
    <row r="76" customFormat="false" ht="15" hidden="false" customHeight="false" outlineLevel="0" collapsed="false">
      <c r="A76" s="29"/>
      <c r="B76" s="29"/>
      <c r="C76" s="29"/>
      <c r="D76" s="29"/>
      <c r="E76" s="29"/>
      <c r="F76" s="29"/>
      <c r="G76" s="29"/>
      <c r="H76" s="29"/>
      <c r="I76" s="27" t="str">
        <f aca="false">IF(C76="○","キ","")&amp;IF(D76="○","ダ","")&amp;IF(E76="○","粗","")&amp;IF(F76="○","超","")</f>
        <v/>
      </c>
    </row>
    <row r="77" customFormat="false" ht="15" hidden="false" customHeight="false" outlineLevel="0" collapsed="false">
      <c r="A77" s="29"/>
      <c r="B77" s="29"/>
      <c r="C77" s="29"/>
      <c r="D77" s="29"/>
      <c r="E77" s="29"/>
      <c r="F77" s="29"/>
      <c r="G77" s="29"/>
      <c r="H77" s="29"/>
      <c r="I77" s="27" t="str">
        <f aca="false">IF(C77="○","キ","")&amp;IF(D77="○","ダ","")&amp;IF(E77="○","粗","")&amp;IF(F77="○","超","")</f>
        <v/>
      </c>
    </row>
    <row r="78" customFormat="false" ht="15" hidden="false" customHeight="false" outlineLevel="0" collapsed="false">
      <c r="A78" s="29"/>
      <c r="B78" s="29"/>
      <c r="C78" s="29"/>
      <c r="D78" s="29"/>
      <c r="E78" s="29"/>
      <c r="F78" s="29"/>
      <c r="G78" s="29"/>
      <c r="H78" s="29"/>
      <c r="I78" s="27" t="str">
        <f aca="false">IF(C78="○","キ","")&amp;IF(D78="○","ダ","")&amp;IF(E78="○","粗","")&amp;IF(F78="○","超","")</f>
        <v/>
      </c>
    </row>
    <row r="79" customFormat="false" ht="15" hidden="false" customHeight="false" outlineLevel="0" collapsed="false">
      <c r="A79" s="29"/>
      <c r="B79" s="29"/>
      <c r="C79" s="29"/>
      <c r="D79" s="29"/>
      <c r="E79" s="29"/>
      <c r="F79" s="29"/>
      <c r="G79" s="29"/>
      <c r="H79" s="29"/>
      <c r="I79" s="27" t="str">
        <f aca="false">IF(C79="○","キ","")&amp;IF(D79="○","ダ","")&amp;IF(E79="○","粗","")&amp;IF(F79="○","超","")</f>
        <v/>
      </c>
    </row>
    <row r="80" customFormat="false" ht="15" hidden="false" customHeight="false" outlineLevel="0" collapsed="false">
      <c r="A80" s="29"/>
      <c r="B80" s="29"/>
      <c r="C80" s="29"/>
      <c r="D80" s="29"/>
      <c r="E80" s="29"/>
      <c r="F80" s="29"/>
      <c r="G80" s="29"/>
      <c r="H80" s="29"/>
      <c r="I80" s="27" t="str">
        <f aca="false">IF(C80="○","キ","")&amp;IF(D80="○","ダ","")&amp;IF(E80="○","粗","")&amp;IF(F80="○","超","")</f>
        <v/>
      </c>
    </row>
    <row r="81" customFormat="false" ht="15" hidden="false" customHeight="false" outlineLevel="0" collapsed="false">
      <c r="A81" s="29"/>
      <c r="B81" s="29"/>
      <c r="C81" s="29"/>
      <c r="D81" s="29"/>
      <c r="E81" s="29"/>
      <c r="F81" s="29"/>
      <c r="G81" s="29"/>
      <c r="H81" s="29"/>
      <c r="I81" s="27" t="str">
        <f aca="false">IF(C81="○","キ","")&amp;IF(D81="○","ダ","")&amp;IF(E81="○","粗","")&amp;IF(F81="○","超","")</f>
        <v/>
      </c>
    </row>
    <row r="82" customFormat="false" ht="15" hidden="false" customHeight="false" outlineLevel="0" collapsed="false">
      <c r="A82" s="29"/>
      <c r="B82" s="29"/>
      <c r="C82" s="29"/>
      <c r="D82" s="29"/>
      <c r="E82" s="29"/>
      <c r="F82" s="29"/>
      <c r="G82" s="29"/>
      <c r="H82" s="29"/>
      <c r="I82" s="27" t="str">
        <f aca="false">IF(C82="○","キ","")&amp;IF(D82="○","ダ","")&amp;IF(E82="○","粗","")&amp;IF(F82="○","超","")</f>
        <v/>
      </c>
    </row>
    <row r="83" customFormat="false" ht="15" hidden="false" customHeight="false" outlineLevel="0" collapsed="false">
      <c r="A83" s="29"/>
      <c r="B83" s="29"/>
      <c r="C83" s="29"/>
      <c r="D83" s="29"/>
      <c r="E83" s="29"/>
      <c r="F83" s="29"/>
      <c r="G83" s="29"/>
      <c r="H83" s="29"/>
      <c r="I83" s="27" t="str">
        <f aca="false">IF(C83="○","キ","")&amp;IF(D83="○","ダ","")&amp;IF(E83="○","粗","")&amp;IF(F83="○","超","")</f>
        <v/>
      </c>
    </row>
    <row r="84" customFormat="false" ht="15" hidden="false" customHeight="false" outlineLevel="0" collapsed="false">
      <c r="A84" s="29"/>
      <c r="B84" s="29"/>
      <c r="C84" s="29"/>
      <c r="D84" s="29"/>
      <c r="E84" s="29"/>
      <c r="F84" s="29"/>
      <c r="G84" s="29"/>
      <c r="H84" s="29"/>
      <c r="I84" s="27" t="str">
        <f aca="false">IF(C84="○","キ","")&amp;IF(D84="○","ダ","")&amp;IF(E84="○","粗","")&amp;IF(F84="○","超","")</f>
        <v/>
      </c>
    </row>
    <row r="85" customFormat="false" ht="15" hidden="false" customHeight="false" outlineLevel="0" collapsed="false">
      <c r="A85" s="29"/>
      <c r="B85" s="29"/>
      <c r="C85" s="29"/>
      <c r="D85" s="29"/>
      <c r="E85" s="29"/>
      <c r="F85" s="29"/>
      <c r="G85" s="29"/>
      <c r="H85" s="29"/>
      <c r="I85" s="27" t="str">
        <f aca="false">IF(C85="○","キ","")&amp;IF(D85="○","ダ","")&amp;IF(E85="○","粗","")&amp;IF(F85="○","超","")</f>
        <v/>
      </c>
    </row>
    <row r="86" customFormat="false" ht="15" hidden="false" customHeight="false" outlineLevel="0" collapsed="false">
      <c r="A86" s="29"/>
      <c r="B86" s="29"/>
      <c r="C86" s="29"/>
      <c r="D86" s="29"/>
      <c r="E86" s="29"/>
      <c r="F86" s="29"/>
      <c r="G86" s="29"/>
      <c r="H86" s="29"/>
      <c r="I86" s="27" t="str">
        <f aca="false">IF(C86="○","キ","")&amp;IF(D86="○","ダ","")&amp;IF(E86="○","粗","")&amp;IF(F86="○","超","")</f>
        <v/>
      </c>
    </row>
    <row r="87" customFormat="false" ht="15" hidden="false" customHeight="false" outlineLevel="0" collapsed="false">
      <c r="A87" s="29"/>
      <c r="B87" s="29"/>
      <c r="C87" s="29"/>
      <c r="D87" s="29"/>
      <c r="E87" s="29"/>
      <c r="F87" s="29"/>
      <c r="G87" s="29"/>
      <c r="H87" s="29"/>
      <c r="I87" s="27" t="str">
        <f aca="false">IF(C87="○","キ","")&amp;IF(D87="○","ダ","")&amp;IF(E87="○","粗","")&amp;IF(F87="○","超","")</f>
        <v/>
      </c>
    </row>
    <row r="88" customFormat="false" ht="15" hidden="false" customHeight="false" outlineLevel="0" collapsed="false">
      <c r="A88" s="29"/>
      <c r="B88" s="29"/>
      <c r="C88" s="29"/>
      <c r="D88" s="29"/>
      <c r="E88" s="29"/>
      <c r="F88" s="29"/>
      <c r="G88" s="29"/>
      <c r="H88" s="29"/>
      <c r="I88" s="27" t="str">
        <f aca="false">IF(C88="○","キ","")&amp;IF(D88="○","ダ","")&amp;IF(E88="○","粗","")&amp;IF(F88="○","超","")</f>
        <v/>
      </c>
    </row>
    <row r="89" customFormat="false" ht="15" hidden="false" customHeight="false" outlineLevel="0" collapsed="false">
      <c r="A89" s="29"/>
      <c r="B89" s="29"/>
      <c r="C89" s="29"/>
      <c r="D89" s="29"/>
      <c r="E89" s="29"/>
      <c r="F89" s="29"/>
      <c r="G89" s="29"/>
      <c r="H89" s="29"/>
      <c r="I89" s="27" t="str">
        <f aca="false">IF(C89="○","キ","")&amp;IF(D89="○","ダ","")&amp;IF(E89="○","粗","")&amp;IF(F89="○","超","")</f>
        <v/>
      </c>
    </row>
    <row r="90" customFormat="false" ht="15" hidden="false" customHeight="false" outlineLevel="0" collapsed="false">
      <c r="A90" s="29"/>
      <c r="B90" s="29"/>
      <c r="C90" s="29"/>
      <c r="D90" s="29"/>
      <c r="E90" s="29"/>
      <c r="F90" s="29"/>
      <c r="G90" s="29"/>
      <c r="H90" s="29"/>
      <c r="I90" s="27" t="str">
        <f aca="false">IF(C90="○","キ","")&amp;IF(D90="○","ダ","")&amp;IF(E90="○","粗","")&amp;IF(F90="○","超","")</f>
        <v/>
      </c>
    </row>
    <row r="91" customFormat="false" ht="15" hidden="false" customHeight="false" outlineLevel="0" collapsed="false">
      <c r="A91" s="29"/>
      <c r="B91" s="29"/>
      <c r="C91" s="29"/>
      <c r="D91" s="29"/>
      <c r="E91" s="29"/>
      <c r="F91" s="29"/>
      <c r="G91" s="29"/>
      <c r="H91" s="29"/>
      <c r="I91" s="27" t="str">
        <f aca="false">IF(C91="○","キ","")&amp;IF(D91="○","ダ","")&amp;IF(E91="○","粗","")&amp;IF(F91="○","超","")</f>
        <v/>
      </c>
    </row>
    <row r="92" customFormat="false" ht="15" hidden="false" customHeight="false" outlineLevel="0" collapsed="false">
      <c r="A92" s="29"/>
      <c r="B92" s="29"/>
      <c r="C92" s="29"/>
      <c r="D92" s="29"/>
      <c r="E92" s="29"/>
      <c r="F92" s="29"/>
      <c r="G92" s="29"/>
      <c r="H92" s="29"/>
      <c r="I92" s="27" t="str">
        <f aca="false">IF(C92="○","キ","")&amp;IF(D92="○","ダ","")&amp;IF(E92="○","粗","")&amp;IF(F92="○","超","")</f>
        <v/>
      </c>
    </row>
    <row r="93" customFormat="false" ht="15" hidden="false" customHeight="false" outlineLevel="0" collapsed="false">
      <c r="A93" s="29"/>
      <c r="B93" s="29"/>
      <c r="C93" s="29"/>
      <c r="D93" s="29"/>
      <c r="E93" s="29"/>
      <c r="F93" s="29"/>
      <c r="G93" s="29"/>
      <c r="H93" s="29"/>
      <c r="I93" s="27" t="str">
        <f aca="false">IF(C93="○","キ","")&amp;IF(D93="○","ダ","")&amp;IF(E93="○","粗","")&amp;IF(F93="○","超","")</f>
        <v/>
      </c>
    </row>
    <row r="94" customFormat="false" ht="15" hidden="false" customHeight="false" outlineLevel="0" collapsed="false">
      <c r="A94" s="29"/>
      <c r="B94" s="29"/>
      <c r="C94" s="29"/>
      <c r="D94" s="29"/>
      <c r="E94" s="29"/>
      <c r="F94" s="29"/>
      <c r="G94" s="29"/>
      <c r="H94" s="29"/>
      <c r="I94" s="27" t="str">
        <f aca="false">IF(C94="○","キ","")&amp;IF(D94="○","ダ","")&amp;IF(E94="○","粗","")&amp;IF(F94="○","超","")</f>
        <v/>
      </c>
    </row>
    <row r="95" customFormat="false" ht="15" hidden="false" customHeight="false" outlineLevel="0" collapsed="false">
      <c r="A95" s="29"/>
      <c r="B95" s="29"/>
      <c r="C95" s="29"/>
      <c r="D95" s="29"/>
      <c r="E95" s="29"/>
      <c r="F95" s="29"/>
      <c r="G95" s="29"/>
      <c r="H95" s="29"/>
      <c r="I95" s="27" t="str">
        <f aca="false">IF(C95="○","キ","")&amp;IF(D95="○","ダ","")&amp;IF(E95="○","粗","")&amp;IF(F95="○","超","")</f>
        <v/>
      </c>
    </row>
    <row r="96" customFormat="false" ht="15" hidden="false" customHeight="false" outlineLevel="0" collapsed="false">
      <c r="A96" s="29"/>
      <c r="B96" s="29"/>
      <c r="C96" s="29"/>
      <c r="D96" s="29"/>
      <c r="E96" s="29"/>
      <c r="F96" s="29"/>
      <c r="G96" s="29"/>
      <c r="H96" s="29"/>
      <c r="I96" s="27" t="str">
        <f aca="false">IF(C96="○","キ","")&amp;IF(D96="○","ダ","")&amp;IF(E96="○","粗","")&amp;IF(F96="○","超","")</f>
        <v/>
      </c>
    </row>
    <row r="97" customFormat="false" ht="15" hidden="false" customHeight="false" outlineLevel="0" collapsed="false">
      <c r="A97" s="29"/>
      <c r="B97" s="29"/>
      <c r="C97" s="29"/>
      <c r="D97" s="29"/>
      <c r="E97" s="29"/>
      <c r="F97" s="29"/>
      <c r="G97" s="29"/>
      <c r="H97" s="29"/>
      <c r="I97" s="27" t="str">
        <f aca="false">IF(C97="○","キ","")&amp;IF(D97="○","ダ","")&amp;IF(E97="○","粗","")&amp;IF(F97="○","超","")</f>
        <v/>
      </c>
    </row>
    <row r="98" customFormat="false" ht="15" hidden="false" customHeight="false" outlineLevel="0" collapsed="false">
      <c r="A98" s="29"/>
      <c r="B98" s="29"/>
      <c r="C98" s="29"/>
      <c r="D98" s="29"/>
      <c r="E98" s="29"/>
      <c r="F98" s="29"/>
      <c r="G98" s="29"/>
      <c r="H98" s="29"/>
      <c r="I98" s="27" t="str">
        <f aca="false">IF(C98="○","キ","")&amp;IF(D98="○","ダ","")&amp;IF(E98="○","粗","")&amp;IF(F98="○","超","")</f>
        <v/>
      </c>
    </row>
    <row r="99" customFormat="false" ht="15" hidden="false" customHeight="false" outlineLevel="0" collapsed="false">
      <c r="A99" s="29"/>
      <c r="B99" s="29"/>
      <c r="C99" s="29"/>
      <c r="D99" s="29"/>
      <c r="E99" s="29"/>
      <c r="F99" s="29"/>
      <c r="G99" s="29"/>
      <c r="H99" s="29"/>
      <c r="I99" s="27" t="str">
        <f aca="false">IF(C99="○","キ","")&amp;IF(D99="○","ダ","")&amp;IF(E99="○","粗","")&amp;IF(F99="○","超","")</f>
        <v/>
      </c>
    </row>
    <row r="100" customFormat="false" ht="15" hidden="false" customHeight="false" outlineLevel="0" collapsed="false">
      <c r="A100" s="29"/>
      <c r="B100" s="29"/>
      <c r="C100" s="29"/>
      <c r="D100" s="29"/>
      <c r="E100" s="29"/>
      <c r="F100" s="29"/>
      <c r="G100" s="29"/>
      <c r="H100" s="29"/>
      <c r="I100" s="27" t="str">
        <f aca="false">IF(C100="○","キ","")&amp;IF(D100="○","ダ","")&amp;IF(E100="○","粗","")&amp;IF(F100="○","超","")</f>
        <v/>
      </c>
    </row>
    <row r="101" customFormat="false" ht="15" hidden="false" customHeight="false" outlineLevel="0" collapsed="false">
      <c r="A101" s="29"/>
      <c r="B101" s="29"/>
      <c r="C101" s="29"/>
      <c r="D101" s="29"/>
      <c r="E101" s="29"/>
      <c r="F101" s="29"/>
      <c r="G101" s="29"/>
      <c r="H101" s="29"/>
      <c r="I101" s="27" t="str">
        <f aca="false">IF(C101="○","キ","")&amp;IF(D101="○","ダ","")&amp;IF(E101="○","粗","")&amp;IF(F101="○","超","")</f>
        <v/>
      </c>
    </row>
    <row r="102" customFormat="false" ht="15" hidden="false" customHeight="false" outlineLevel="0" collapsed="false">
      <c r="A102" s="29"/>
      <c r="B102" s="29"/>
      <c r="C102" s="29"/>
      <c r="D102" s="29"/>
      <c r="E102" s="29"/>
      <c r="F102" s="29"/>
      <c r="G102" s="29"/>
      <c r="H102" s="29"/>
      <c r="I102" s="27" t="str">
        <f aca="false">IF(C102="○","キ","")&amp;IF(D102="○","ダ","")&amp;IF(E102="○","粗","")&amp;IF(F102="○","超","")</f>
        <v/>
      </c>
    </row>
    <row r="103" customFormat="false" ht="15" hidden="false" customHeight="false" outlineLevel="0" collapsed="false">
      <c r="A103" s="29"/>
      <c r="B103" s="29"/>
      <c r="C103" s="29"/>
      <c r="D103" s="29"/>
      <c r="E103" s="29"/>
      <c r="F103" s="29"/>
      <c r="G103" s="29"/>
      <c r="H103" s="29"/>
      <c r="I103" s="27" t="str">
        <f aca="false">IF(C103="○","キ","")&amp;IF(D103="○","ダ","")&amp;IF(E103="○","粗","")&amp;IF(F103="○","超","")</f>
        <v/>
      </c>
    </row>
    <row r="104" customFormat="false" ht="15" hidden="false" customHeight="false" outlineLevel="0" collapsed="false">
      <c r="A104" s="29"/>
      <c r="B104" s="29"/>
      <c r="C104" s="29"/>
      <c r="D104" s="29"/>
      <c r="E104" s="29"/>
      <c r="F104" s="29"/>
      <c r="G104" s="29"/>
      <c r="H104" s="29"/>
      <c r="I104" s="27" t="str">
        <f aca="false">IF(C104="○","キ","")&amp;IF(D104="○","ダ","")&amp;IF(E104="○","粗","")&amp;IF(F104="○","超","")</f>
        <v/>
      </c>
    </row>
    <row r="105" customFormat="false" ht="15" hidden="false" customHeight="false" outlineLevel="0" collapsed="false">
      <c r="A105" s="29"/>
      <c r="B105" s="29"/>
      <c r="C105" s="29"/>
      <c r="D105" s="29"/>
      <c r="E105" s="29"/>
      <c r="F105" s="29"/>
      <c r="G105" s="29"/>
      <c r="H105" s="29"/>
      <c r="I105" s="27" t="str">
        <f aca="false">IF(C105="○","キ","")&amp;IF(D105="○","ダ","")&amp;IF(E105="○","粗","")&amp;IF(F105="○","超","")</f>
        <v/>
      </c>
    </row>
    <row r="106" customFormat="false" ht="15" hidden="false" customHeight="false" outlineLevel="0" collapsed="false">
      <c r="A106" s="29"/>
      <c r="B106" s="29"/>
      <c r="C106" s="29"/>
      <c r="D106" s="29"/>
      <c r="E106" s="29"/>
      <c r="F106" s="29"/>
      <c r="G106" s="29"/>
      <c r="H106" s="29"/>
      <c r="I106" s="27" t="str">
        <f aca="false">IF(C106="○","キ","")&amp;IF(D106="○","ダ","")&amp;IF(E106="○","粗","")&amp;IF(F106="○","超","")</f>
        <v/>
      </c>
    </row>
    <row r="107" customFormat="false" ht="15" hidden="false" customHeight="false" outlineLevel="0" collapsed="false">
      <c r="A107" s="29"/>
      <c r="B107" s="29"/>
      <c r="C107" s="29"/>
      <c r="D107" s="29"/>
      <c r="E107" s="29"/>
      <c r="F107" s="29"/>
      <c r="G107" s="29"/>
      <c r="H107" s="29"/>
      <c r="I107" s="27" t="str">
        <f aca="false">IF(C107="○","キ","")&amp;IF(D107="○","ダ","")&amp;IF(E107="○","粗","")&amp;IF(F107="○","超","")</f>
        <v/>
      </c>
    </row>
    <row r="108" customFormat="false" ht="15" hidden="false" customHeight="false" outlineLevel="0" collapsed="false">
      <c r="A108" s="29"/>
      <c r="B108" s="29"/>
      <c r="C108" s="29"/>
      <c r="D108" s="29"/>
      <c r="E108" s="29"/>
      <c r="F108" s="29"/>
      <c r="G108" s="29"/>
      <c r="H108" s="29"/>
      <c r="I108" s="27" t="str">
        <f aca="false">IF(C108="○","キ","")&amp;IF(D108="○","ダ","")&amp;IF(E108="○","粗","")&amp;IF(F108="○","超","")</f>
        <v/>
      </c>
    </row>
    <row r="109" customFormat="false" ht="15" hidden="false" customHeight="false" outlineLevel="0" collapsed="false">
      <c r="A109" s="29"/>
      <c r="B109" s="29"/>
      <c r="C109" s="29"/>
      <c r="D109" s="29"/>
      <c r="E109" s="29"/>
      <c r="F109" s="29"/>
      <c r="G109" s="29"/>
      <c r="H109" s="29"/>
      <c r="I109" s="27" t="str">
        <f aca="false">IF(C109="○","キ","")&amp;IF(D109="○","ダ","")&amp;IF(E109="○","粗","")&amp;IF(F109="○","超","")</f>
        <v/>
      </c>
    </row>
    <row r="110" customFormat="false" ht="15" hidden="false" customHeight="false" outlineLevel="0" collapsed="false">
      <c r="A110" s="29"/>
      <c r="B110" s="29"/>
      <c r="C110" s="29"/>
      <c r="D110" s="29"/>
      <c r="E110" s="29"/>
      <c r="F110" s="29"/>
      <c r="G110" s="29"/>
      <c r="H110" s="29"/>
      <c r="I110" s="27" t="str">
        <f aca="false">IF(C110="○","キ","")&amp;IF(D110="○","ダ","")&amp;IF(E110="○","粗","")&amp;IF(F110="○","超","")</f>
        <v/>
      </c>
    </row>
    <row r="111" customFormat="false" ht="15" hidden="false" customHeight="false" outlineLevel="0" collapsed="false">
      <c r="A111" s="29"/>
      <c r="B111" s="29"/>
      <c r="C111" s="29"/>
      <c r="D111" s="29"/>
      <c r="E111" s="29"/>
      <c r="F111" s="29"/>
      <c r="G111" s="29"/>
      <c r="H111" s="29"/>
      <c r="I111" s="27" t="str">
        <f aca="false">IF(C111="○","キ","")&amp;IF(D111="○","ダ","")&amp;IF(E111="○","粗","")&amp;IF(F111="○","超","")</f>
        <v/>
      </c>
    </row>
    <row r="112" customFormat="false" ht="15" hidden="false" customHeight="false" outlineLevel="0" collapsed="false">
      <c r="A112" s="29"/>
      <c r="B112" s="29"/>
      <c r="C112" s="29"/>
      <c r="D112" s="29"/>
      <c r="E112" s="29"/>
      <c r="F112" s="29"/>
      <c r="G112" s="29"/>
      <c r="H112" s="29"/>
      <c r="I112" s="27" t="str">
        <f aca="false">IF(C112="○","キ","")&amp;IF(D112="○","ダ","")&amp;IF(E112="○","粗","")&amp;IF(F112="○","超","")</f>
        <v/>
      </c>
    </row>
    <row r="113" customFormat="false" ht="15" hidden="false" customHeight="false" outlineLevel="0" collapsed="false">
      <c r="A113" s="29"/>
      <c r="B113" s="29"/>
      <c r="C113" s="29"/>
      <c r="D113" s="29"/>
      <c r="E113" s="29"/>
      <c r="F113" s="29"/>
      <c r="G113" s="29"/>
      <c r="H113" s="29"/>
      <c r="I113" s="27" t="str">
        <f aca="false">IF(C113="○","キ","")&amp;IF(D113="○","ダ","")&amp;IF(E113="○","粗","")&amp;IF(F113="○","超","")</f>
        <v/>
      </c>
    </row>
    <row r="114" customFormat="false" ht="15" hidden="false" customHeight="false" outlineLevel="0" collapsed="false">
      <c r="A114" s="29"/>
      <c r="B114" s="29"/>
      <c r="C114" s="29"/>
      <c r="D114" s="29"/>
      <c r="E114" s="29"/>
      <c r="F114" s="29"/>
      <c r="G114" s="29"/>
      <c r="H114" s="29"/>
      <c r="I114" s="27" t="str">
        <f aca="false">IF(C114="○","キ","")&amp;IF(D114="○","ダ","")&amp;IF(E114="○","粗","")&amp;IF(F114="○","超","")</f>
        <v/>
      </c>
    </row>
    <row r="115" customFormat="false" ht="15" hidden="false" customHeight="false" outlineLevel="0" collapsed="false">
      <c r="A115" s="29"/>
      <c r="B115" s="29"/>
      <c r="C115" s="29"/>
      <c r="D115" s="29"/>
      <c r="E115" s="29"/>
      <c r="F115" s="29"/>
      <c r="G115" s="29"/>
      <c r="H115" s="29"/>
      <c r="I115" s="27" t="str">
        <f aca="false">IF(C115="○","キ","")&amp;IF(D115="○","ダ","")&amp;IF(E115="○","粗","")&amp;IF(F115="○","超","")</f>
        <v/>
      </c>
    </row>
    <row r="116" customFormat="false" ht="15" hidden="false" customHeight="false" outlineLevel="0" collapsed="false">
      <c r="A116" s="29"/>
      <c r="B116" s="29"/>
      <c r="C116" s="29"/>
      <c r="D116" s="29"/>
      <c r="E116" s="29"/>
      <c r="F116" s="29"/>
      <c r="G116" s="29"/>
      <c r="H116" s="29"/>
      <c r="I116" s="27" t="str">
        <f aca="false">IF(C116="○","キ","")&amp;IF(D116="○","ダ","")&amp;IF(E116="○","粗","")&amp;IF(F116="○","超","")</f>
        <v/>
      </c>
    </row>
    <row r="117" customFormat="false" ht="15" hidden="false" customHeight="false" outlineLevel="0" collapsed="false">
      <c r="A117" s="29"/>
      <c r="B117" s="29"/>
      <c r="C117" s="29"/>
      <c r="D117" s="29"/>
      <c r="E117" s="29"/>
      <c r="F117" s="29"/>
      <c r="G117" s="29"/>
      <c r="H117" s="29"/>
      <c r="I117" s="27" t="str">
        <f aca="false">IF(C117="○","キ","")&amp;IF(D117="○","ダ","")&amp;IF(E117="○","粗","")&amp;IF(F117="○","超","")</f>
        <v/>
      </c>
    </row>
    <row r="118" customFormat="false" ht="15" hidden="false" customHeight="false" outlineLevel="0" collapsed="false">
      <c r="A118" s="29"/>
      <c r="B118" s="29"/>
      <c r="C118" s="29"/>
      <c r="D118" s="29"/>
      <c r="E118" s="29"/>
      <c r="F118" s="29"/>
      <c r="G118" s="29"/>
      <c r="H118" s="29"/>
      <c r="I118" s="27" t="str">
        <f aca="false">IF(C118="○","キ","")&amp;IF(D118="○","ダ","")&amp;IF(E118="○","粗","")&amp;IF(F118="○","超","")</f>
        <v/>
      </c>
    </row>
    <row r="119" customFormat="false" ht="15" hidden="false" customHeight="false" outlineLevel="0" collapsed="false">
      <c r="A119" s="29"/>
      <c r="B119" s="29"/>
      <c r="C119" s="29"/>
      <c r="D119" s="29"/>
      <c r="E119" s="29"/>
      <c r="F119" s="29"/>
      <c r="G119" s="29"/>
      <c r="H119" s="29"/>
      <c r="I119" s="27" t="str">
        <f aca="false">IF(C119="○","キ","")&amp;IF(D119="○","ダ","")&amp;IF(E119="○","粗","")&amp;IF(F119="○","超","")</f>
        <v/>
      </c>
    </row>
    <row r="120" customFormat="false" ht="15" hidden="false" customHeight="false" outlineLevel="0" collapsed="false">
      <c r="A120" s="29"/>
      <c r="B120" s="29"/>
      <c r="C120" s="29"/>
      <c r="D120" s="29"/>
      <c r="E120" s="29"/>
      <c r="F120" s="29"/>
      <c r="G120" s="29"/>
      <c r="H120" s="29"/>
      <c r="I120" s="27" t="str">
        <f aca="false">IF(C120="○","キ","")&amp;IF(D120="○","ダ","")&amp;IF(E120="○","粗","")&amp;IF(F120="○","超","")</f>
        <v/>
      </c>
    </row>
    <row r="121" customFormat="false" ht="15" hidden="false" customHeight="false" outlineLevel="0" collapsed="false">
      <c r="A121" s="29"/>
      <c r="B121" s="29"/>
      <c r="C121" s="29"/>
      <c r="D121" s="29"/>
      <c r="E121" s="29"/>
      <c r="F121" s="29"/>
      <c r="G121" s="29"/>
      <c r="H121" s="29"/>
      <c r="I121" s="27" t="str">
        <f aca="false">IF(C121="○","キ","")&amp;IF(D121="○","ダ","")&amp;IF(E121="○","粗","")&amp;IF(F121="○","超","")</f>
        <v/>
      </c>
    </row>
    <row r="122" customFormat="false" ht="15" hidden="false" customHeight="false" outlineLevel="0" collapsed="false">
      <c r="A122" s="29"/>
      <c r="B122" s="29"/>
      <c r="C122" s="29"/>
      <c r="D122" s="29"/>
      <c r="E122" s="29"/>
      <c r="F122" s="29"/>
      <c r="G122" s="29"/>
      <c r="H122" s="29"/>
      <c r="I122" s="27" t="str">
        <f aca="false">IF(C122="○","キ","")&amp;IF(D122="○","ダ","")&amp;IF(E122="○","粗","")&amp;IF(F122="○","超","")</f>
        <v/>
      </c>
    </row>
    <row r="123" customFormat="false" ht="15" hidden="false" customHeight="false" outlineLevel="0" collapsed="false">
      <c r="A123" s="29"/>
      <c r="B123" s="29"/>
      <c r="C123" s="29"/>
      <c r="D123" s="29"/>
      <c r="E123" s="29"/>
      <c r="F123" s="29"/>
      <c r="G123" s="29"/>
      <c r="H123" s="29"/>
      <c r="I123" s="27" t="str">
        <f aca="false">IF(C123="○","キ","")&amp;IF(D123="○","ダ","")&amp;IF(E123="○","粗","")&amp;IF(F123="○","超","")</f>
        <v/>
      </c>
    </row>
    <row r="124" customFormat="false" ht="15" hidden="false" customHeight="false" outlineLevel="0" collapsed="false">
      <c r="A124" s="29"/>
      <c r="B124" s="29"/>
      <c r="C124" s="29"/>
      <c r="D124" s="29"/>
      <c r="E124" s="29"/>
      <c r="F124" s="29"/>
      <c r="G124" s="29"/>
      <c r="H124" s="29"/>
      <c r="I124" s="27" t="str">
        <f aca="false">IF(C124="○","キ","")&amp;IF(D124="○","ダ","")&amp;IF(E124="○","粗","")&amp;IF(F124="○","超","")</f>
        <v/>
      </c>
    </row>
    <row r="125" customFormat="false" ht="15" hidden="false" customHeight="false" outlineLevel="0" collapsed="false">
      <c r="A125" s="29"/>
      <c r="B125" s="29"/>
      <c r="C125" s="29"/>
      <c r="D125" s="29"/>
      <c r="E125" s="29"/>
      <c r="F125" s="29"/>
      <c r="G125" s="29"/>
      <c r="H125" s="29"/>
      <c r="I125" s="27" t="str">
        <f aca="false">IF(C125="○","キ","")&amp;IF(D125="○","ダ","")&amp;IF(E125="○","粗","")&amp;IF(F125="○","超","")</f>
        <v/>
      </c>
    </row>
    <row r="126" customFormat="false" ht="15" hidden="false" customHeight="false" outlineLevel="0" collapsed="false">
      <c r="A126" s="29"/>
      <c r="B126" s="29"/>
      <c r="C126" s="29"/>
      <c r="D126" s="29"/>
      <c r="E126" s="29"/>
      <c r="F126" s="29"/>
      <c r="G126" s="29"/>
      <c r="H126" s="29"/>
      <c r="I126" s="27" t="str">
        <f aca="false">IF(C126="○","キ","")&amp;IF(D126="○","ダ","")&amp;IF(E126="○","粗","")&amp;IF(F126="○","超","")</f>
        <v/>
      </c>
    </row>
    <row r="127" customFormat="false" ht="15" hidden="false" customHeight="false" outlineLevel="0" collapsed="false">
      <c r="A127" s="29"/>
      <c r="B127" s="29"/>
      <c r="C127" s="29"/>
      <c r="D127" s="29"/>
      <c r="E127" s="29"/>
      <c r="F127" s="29"/>
      <c r="G127" s="29"/>
      <c r="H127" s="29"/>
      <c r="I127" s="27" t="str">
        <f aca="false">IF(C127="○","キ","")&amp;IF(D127="○","ダ","")&amp;IF(E127="○","粗","")&amp;IF(F127="○","超","")</f>
        <v/>
      </c>
    </row>
    <row r="128" customFormat="false" ht="15" hidden="false" customHeight="false" outlineLevel="0" collapsed="false">
      <c r="A128" s="29"/>
      <c r="B128" s="29"/>
      <c r="C128" s="29"/>
      <c r="D128" s="29"/>
      <c r="E128" s="29"/>
      <c r="F128" s="29"/>
      <c r="G128" s="29"/>
      <c r="H128" s="29"/>
      <c r="I128" s="27" t="str">
        <f aca="false">IF(C128="○","キ","")&amp;IF(D128="○","ダ","")&amp;IF(E128="○","粗","")&amp;IF(F128="○","超","")</f>
        <v/>
      </c>
    </row>
    <row r="129" customFormat="false" ht="15" hidden="false" customHeight="false" outlineLevel="0" collapsed="false">
      <c r="A129" s="29"/>
      <c r="B129" s="29"/>
      <c r="C129" s="29"/>
      <c r="D129" s="29"/>
      <c r="E129" s="29"/>
      <c r="F129" s="29"/>
      <c r="G129" s="29"/>
      <c r="H129" s="29"/>
      <c r="I129" s="27" t="str">
        <f aca="false">IF(C129="○","キ","")&amp;IF(D129="○","ダ","")&amp;IF(E129="○","粗","")&amp;IF(F129="○","超","")</f>
        <v/>
      </c>
    </row>
    <row r="130" customFormat="false" ht="15" hidden="false" customHeight="false" outlineLevel="0" collapsed="false">
      <c r="A130" s="29"/>
      <c r="B130" s="29"/>
      <c r="C130" s="29"/>
      <c r="D130" s="29"/>
      <c r="E130" s="29"/>
      <c r="F130" s="29"/>
      <c r="G130" s="29"/>
      <c r="H130" s="29"/>
      <c r="I130" s="27" t="str">
        <f aca="false">IF(C130="○","キ","")&amp;IF(D130="○","ダ","")&amp;IF(E130="○","粗","")&amp;IF(F130="○","超","")</f>
        <v/>
      </c>
    </row>
    <row r="131" customFormat="false" ht="15" hidden="false" customHeight="false" outlineLevel="0" collapsed="false">
      <c r="A131" s="29"/>
      <c r="B131" s="29"/>
      <c r="C131" s="29"/>
      <c r="D131" s="29"/>
      <c r="E131" s="29"/>
      <c r="F131" s="29"/>
      <c r="G131" s="29"/>
      <c r="H131" s="29"/>
      <c r="I131" s="27" t="str">
        <f aca="false">IF(C131="○","キ","")&amp;IF(D131="○","ダ","")&amp;IF(E131="○","粗","")&amp;IF(F131="○","超","")</f>
        <v/>
      </c>
    </row>
    <row r="132" customFormat="false" ht="15" hidden="false" customHeight="false" outlineLevel="0" collapsed="false">
      <c r="A132" s="29"/>
      <c r="B132" s="29"/>
      <c r="C132" s="29"/>
      <c r="D132" s="29"/>
      <c r="E132" s="29"/>
      <c r="F132" s="29"/>
      <c r="G132" s="29"/>
      <c r="H132" s="29"/>
      <c r="I132" s="27" t="str">
        <f aca="false">IF(C132="○","キ","")&amp;IF(D132="○","ダ","")&amp;IF(E132="○","粗","")&amp;IF(F132="○","超","")</f>
        <v/>
      </c>
    </row>
    <row r="133" customFormat="false" ht="15" hidden="false" customHeight="false" outlineLevel="0" collapsed="false">
      <c r="A133" s="29"/>
      <c r="B133" s="29"/>
      <c r="C133" s="29"/>
      <c r="D133" s="29"/>
      <c r="E133" s="29"/>
      <c r="F133" s="29"/>
      <c r="G133" s="29"/>
      <c r="H133" s="29"/>
      <c r="I133" s="27" t="str">
        <f aca="false">IF(C133="○","キ","")&amp;IF(D133="○","ダ","")&amp;IF(E133="○","粗","")&amp;IF(F133="○","超","")</f>
        <v/>
      </c>
    </row>
    <row r="134" customFormat="false" ht="15" hidden="false" customHeight="false" outlineLevel="0" collapsed="false">
      <c r="A134" s="29"/>
      <c r="B134" s="29"/>
      <c r="C134" s="29"/>
      <c r="D134" s="29"/>
      <c r="E134" s="29"/>
      <c r="F134" s="29"/>
      <c r="G134" s="29"/>
      <c r="H134" s="29"/>
      <c r="I134" s="27" t="str">
        <f aca="false">IF(C134="○","キ","")&amp;IF(D134="○","ダ","")&amp;IF(E134="○","粗","")&amp;IF(F134="○","超","")</f>
        <v/>
      </c>
    </row>
    <row r="135" customFormat="false" ht="15" hidden="false" customHeight="false" outlineLevel="0" collapsed="false">
      <c r="A135" s="29"/>
      <c r="B135" s="29"/>
      <c r="C135" s="29"/>
      <c r="D135" s="29"/>
      <c r="E135" s="29"/>
      <c r="F135" s="29"/>
      <c r="G135" s="29"/>
      <c r="H135" s="29"/>
      <c r="I135" s="27" t="str">
        <f aca="false">IF(C135="○","キ","")&amp;IF(D135="○","ダ","")&amp;IF(E135="○","粗","")&amp;IF(F135="○","超","")</f>
        <v/>
      </c>
    </row>
    <row r="136" customFormat="false" ht="15" hidden="false" customHeight="false" outlineLevel="0" collapsed="false">
      <c r="A136" s="29"/>
      <c r="B136" s="29"/>
      <c r="C136" s="29"/>
      <c r="D136" s="29"/>
      <c r="E136" s="29"/>
      <c r="F136" s="29"/>
      <c r="G136" s="29"/>
      <c r="H136" s="29"/>
      <c r="I136" s="27" t="str">
        <f aca="false">IF(C136="○","キ","")&amp;IF(D136="○","ダ","")&amp;IF(E136="○","粗","")&amp;IF(F136="○","超","")</f>
        <v/>
      </c>
    </row>
    <row r="137" customFormat="false" ht="15" hidden="false" customHeight="false" outlineLevel="0" collapsed="false">
      <c r="A137" s="29"/>
      <c r="B137" s="29"/>
      <c r="C137" s="29"/>
      <c r="D137" s="29"/>
      <c r="E137" s="29"/>
      <c r="F137" s="29"/>
      <c r="G137" s="29"/>
      <c r="H137" s="29"/>
      <c r="I137" s="27" t="str">
        <f aca="false">IF(C137="○","キ","")&amp;IF(D137="○","ダ","")&amp;IF(E137="○","粗","")&amp;IF(F137="○","超","")</f>
        <v/>
      </c>
    </row>
    <row r="138" customFormat="false" ht="15" hidden="false" customHeight="false" outlineLevel="0" collapsed="false">
      <c r="A138" s="29"/>
      <c r="B138" s="29"/>
      <c r="C138" s="29"/>
      <c r="D138" s="29"/>
      <c r="E138" s="29"/>
      <c r="F138" s="29"/>
      <c r="G138" s="29"/>
      <c r="H138" s="29"/>
      <c r="I138" s="27" t="str">
        <f aca="false">IF(C138="○","キ","")&amp;IF(D138="○","ダ","")&amp;IF(E138="○","粗","")&amp;IF(F138="○","超","")</f>
        <v/>
      </c>
    </row>
    <row r="139" customFormat="false" ht="15" hidden="false" customHeight="false" outlineLevel="0" collapsed="false">
      <c r="A139" s="29"/>
      <c r="B139" s="29"/>
      <c r="C139" s="29"/>
      <c r="D139" s="29"/>
      <c r="E139" s="29"/>
      <c r="F139" s="29"/>
      <c r="G139" s="29"/>
      <c r="H139" s="29"/>
      <c r="I139" s="27" t="str">
        <f aca="false">IF(C139="○","キ","")&amp;IF(D139="○","ダ","")&amp;IF(E139="○","粗","")&amp;IF(F139="○","超","")</f>
        <v/>
      </c>
    </row>
    <row r="140" customFormat="false" ht="15" hidden="false" customHeight="false" outlineLevel="0" collapsed="false">
      <c r="A140" s="29"/>
      <c r="B140" s="29"/>
      <c r="C140" s="29"/>
      <c r="D140" s="29"/>
      <c r="E140" s="29"/>
      <c r="F140" s="29"/>
      <c r="G140" s="29"/>
      <c r="H140" s="29"/>
      <c r="I140" s="27" t="str">
        <f aca="false">IF(C140="○","キ","")&amp;IF(D140="○","ダ","")&amp;IF(E140="○","粗","")&amp;IF(F140="○","超","")</f>
        <v/>
      </c>
    </row>
    <row r="141" customFormat="false" ht="15" hidden="false" customHeight="false" outlineLevel="0" collapsed="false">
      <c r="A141" s="29"/>
      <c r="B141" s="29"/>
      <c r="C141" s="29"/>
      <c r="D141" s="29"/>
      <c r="E141" s="29"/>
      <c r="F141" s="29"/>
      <c r="G141" s="29"/>
      <c r="H141" s="29"/>
      <c r="I141" s="27" t="str">
        <f aca="false">IF(C141="○","キ","")&amp;IF(D141="○","ダ","")&amp;IF(E141="○","粗","")&amp;IF(F141="○","超","")</f>
        <v/>
      </c>
    </row>
    <row r="142" customFormat="false" ht="15" hidden="false" customHeight="false" outlineLevel="0" collapsed="false">
      <c r="A142" s="29"/>
      <c r="B142" s="29"/>
      <c r="C142" s="29"/>
      <c r="D142" s="29"/>
      <c r="E142" s="29"/>
      <c r="F142" s="29"/>
      <c r="G142" s="29"/>
      <c r="H142" s="29"/>
      <c r="I142" s="27" t="str">
        <f aca="false">IF(C142="○","キ","")&amp;IF(D142="○","ダ","")&amp;IF(E142="○","粗","")&amp;IF(F142="○","超","")</f>
        <v/>
      </c>
    </row>
    <row r="143" customFormat="false" ht="15" hidden="false" customHeight="false" outlineLevel="0" collapsed="false">
      <c r="A143" s="29"/>
      <c r="B143" s="29"/>
      <c r="C143" s="29"/>
      <c r="D143" s="29"/>
      <c r="E143" s="29"/>
      <c r="F143" s="29"/>
      <c r="G143" s="29"/>
      <c r="H143" s="29"/>
      <c r="I143" s="27" t="str">
        <f aca="false">IF(C143="○","キ","")&amp;IF(D143="○","ダ","")&amp;IF(E143="○","粗","")&amp;IF(F143="○","超","")</f>
        <v/>
      </c>
    </row>
    <row r="144" customFormat="false" ht="15" hidden="false" customHeight="false" outlineLevel="0" collapsed="false">
      <c r="A144" s="29"/>
      <c r="B144" s="29"/>
      <c r="C144" s="29"/>
      <c r="D144" s="29"/>
      <c r="E144" s="29"/>
      <c r="F144" s="29"/>
      <c r="G144" s="29"/>
      <c r="H144" s="29"/>
      <c r="I144" s="27" t="str">
        <f aca="false">IF(C144="○","キ","")&amp;IF(D144="○","ダ","")&amp;IF(E144="○","粗","")&amp;IF(F144="○","超","")</f>
        <v/>
      </c>
    </row>
    <row r="145" customFormat="false" ht="15" hidden="false" customHeight="false" outlineLevel="0" collapsed="false">
      <c r="A145" s="29"/>
      <c r="B145" s="29"/>
      <c r="C145" s="29"/>
      <c r="D145" s="29"/>
      <c r="E145" s="29"/>
      <c r="F145" s="29"/>
      <c r="G145" s="29"/>
      <c r="H145" s="29"/>
      <c r="I145" s="27" t="str">
        <f aca="false">IF(C145="○","キ","")&amp;IF(D145="○","ダ","")&amp;IF(E145="○","粗","")&amp;IF(F145="○","超","")</f>
        <v/>
      </c>
    </row>
    <row r="146" customFormat="false" ht="15" hidden="false" customHeight="false" outlineLevel="0" collapsed="false">
      <c r="A146" s="29"/>
      <c r="B146" s="29"/>
      <c r="C146" s="29"/>
      <c r="D146" s="29"/>
      <c r="E146" s="29"/>
      <c r="F146" s="29"/>
      <c r="G146" s="29"/>
      <c r="H146" s="29"/>
      <c r="I146" s="27" t="str">
        <f aca="false">IF(C146="○","キ","")&amp;IF(D146="○","ダ","")&amp;IF(E146="○","粗","")&amp;IF(F146="○","超","")</f>
        <v/>
      </c>
    </row>
    <row r="147" customFormat="false" ht="15" hidden="false" customHeight="false" outlineLevel="0" collapsed="false">
      <c r="A147" s="29"/>
      <c r="B147" s="29"/>
      <c r="C147" s="29"/>
      <c r="D147" s="29"/>
      <c r="E147" s="29"/>
      <c r="F147" s="29"/>
      <c r="G147" s="29"/>
      <c r="H147" s="29"/>
      <c r="I147" s="27" t="str">
        <f aca="false">IF(C147="○","キ","")&amp;IF(D147="○","ダ","")&amp;IF(E147="○","粗","")&amp;IF(F147="○","超","")</f>
        <v/>
      </c>
    </row>
    <row r="148" customFormat="false" ht="15" hidden="false" customHeight="false" outlineLevel="0" collapsed="false">
      <c r="A148" s="29"/>
      <c r="B148" s="29"/>
      <c r="C148" s="29"/>
      <c r="D148" s="29"/>
      <c r="E148" s="29"/>
      <c r="F148" s="29"/>
      <c r="G148" s="29"/>
      <c r="H148" s="29"/>
      <c r="I148" s="27" t="str">
        <f aca="false">IF(C148="○","キ","")&amp;IF(D148="○","ダ","")&amp;IF(E148="○","粗","")&amp;IF(F148="○","超","")</f>
        <v/>
      </c>
    </row>
    <row r="149" customFormat="false" ht="15" hidden="false" customHeight="false" outlineLevel="0" collapsed="false">
      <c r="A149" s="29"/>
      <c r="B149" s="29"/>
      <c r="C149" s="29"/>
      <c r="D149" s="29"/>
      <c r="E149" s="29"/>
      <c r="F149" s="29"/>
      <c r="G149" s="29"/>
      <c r="H149" s="29"/>
      <c r="I149" s="27" t="str">
        <f aca="false">IF(C149="○","キ","")&amp;IF(D149="○","ダ","")&amp;IF(E149="○","粗","")&amp;IF(F149="○","超","")</f>
        <v/>
      </c>
    </row>
    <row r="150" customFormat="false" ht="15" hidden="false" customHeight="false" outlineLevel="0" collapsed="false">
      <c r="A150" s="29"/>
      <c r="B150" s="29"/>
      <c r="C150" s="29"/>
      <c r="D150" s="29"/>
      <c r="E150" s="29"/>
      <c r="F150" s="29"/>
      <c r="G150" s="29"/>
      <c r="H150" s="29"/>
      <c r="I150" s="27" t="str">
        <f aca="false">IF(C150="○","キ","")&amp;IF(D150="○","ダ","")&amp;IF(E150="○","粗","")&amp;IF(F150="○","超","")</f>
        <v/>
      </c>
    </row>
    <row r="151" customFormat="false" ht="15" hidden="false" customHeight="false" outlineLevel="0" collapsed="false">
      <c r="A151" s="29"/>
      <c r="B151" s="29"/>
      <c r="C151" s="29"/>
      <c r="D151" s="29"/>
      <c r="E151" s="29"/>
      <c r="F151" s="29"/>
      <c r="G151" s="29"/>
      <c r="H151" s="29"/>
      <c r="I151" s="27" t="str">
        <f aca="false">IF(C151="○","キ","")&amp;IF(D151="○","ダ","")&amp;IF(E151="○","粗","")&amp;IF(F151="○","超","")</f>
        <v/>
      </c>
    </row>
    <row r="152" customFormat="false" ht="15" hidden="false" customHeight="false" outlineLevel="0" collapsed="false">
      <c r="A152" s="29"/>
      <c r="B152" s="29"/>
      <c r="C152" s="29"/>
      <c r="D152" s="29"/>
      <c r="E152" s="29"/>
      <c r="F152" s="29"/>
      <c r="G152" s="29"/>
      <c r="H152" s="29"/>
      <c r="I152" s="27" t="str">
        <f aca="false">IF(C152="○","キ","")&amp;IF(D152="○","ダ","")&amp;IF(E152="○","粗","")&amp;IF(F152="○","超","")</f>
        <v/>
      </c>
    </row>
    <row r="153" customFormat="false" ht="15" hidden="false" customHeight="false" outlineLevel="0" collapsed="false">
      <c r="A153" s="29"/>
      <c r="B153" s="29"/>
      <c r="C153" s="29"/>
      <c r="D153" s="29"/>
      <c r="E153" s="29"/>
      <c r="F153" s="29"/>
      <c r="G153" s="29"/>
      <c r="H153" s="29"/>
      <c r="I153" s="27" t="str">
        <f aca="false">IF(C153="○","キ","")&amp;IF(D153="○","ダ","")&amp;IF(E153="○","粗","")&amp;IF(F153="○","超","")</f>
        <v/>
      </c>
    </row>
    <row r="154" customFormat="false" ht="15" hidden="false" customHeight="false" outlineLevel="0" collapsed="false">
      <c r="A154" s="29"/>
      <c r="B154" s="29"/>
      <c r="C154" s="29"/>
      <c r="D154" s="29"/>
      <c r="E154" s="29"/>
      <c r="F154" s="29"/>
      <c r="G154" s="29"/>
      <c r="H154" s="29"/>
      <c r="I154" s="27" t="str">
        <f aca="false">IF(C154="○","キ","")&amp;IF(D154="○","ダ","")&amp;IF(E154="○","粗","")&amp;IF(F154="○","超","")</f>
        <v/>
      </c>
    </row>
    <row r="155" customFormat="false" ht="15" hidden="false" customHeight="false" outlineLevel="0" collapsed="false">
      <c r="A155" s="29"/>
      <c r="B155" s="29"/>
      <c r="C155" s="29"/>
      <c r="D155" s="29"/>
      <c r="E155" s="29"/>
      <c r="F155" s="29"/>
      <c r="G155" s="29"/>
      <c r="H155" s="29"/>
      <c r="I155" s="27" t="str">
        <f aca="false">IF(C155="○","キ","")&amp;IF(D155="○","ダ","")&amp;IF(E155="○","粗","")&amp;IF(F155="○","超","")</f>
        <v/>
      </c>
    </row>
    <row r="156" customFormat="false" ht="15" hidden="false" customHeight="false" outlineLevel="0" collapsed="false">
      <c r="A156" s="29"/>
      <c r="B156" s="29"/>
      <c r="C156" s="29"/>
      <c r="D156" s="29"/>
      <c r="E156" s="29"/>
      <c r="F156" s="29"/>
      <c r="G156" s="29"/>
      <c r="H156" s="29"/>
      <c r="I156" s="27" t="str">
        <f aca="false">IF(C156="○","キ","")&amp;IF(D156="○","ダ","")&amp;IF(E156="○","粗","")&amp;IF(F156="○","超","")</f>
        <v/>
      </c>
    </row>
    <row r="157" customFormat="false" ht="15" hidden="false" customHeight="false" outlineLevel="0" collapsed="false">
      <c r="A157" s="29"/>
      <c r="B157" s="29"/>
      <c r="C157" s="29"/>
      <c r="D157" s="29"/>
      <c r="E157" s="29"/>
      <c r="F157" s="29"/>
      <c r="G157" s="29"/>
      <c r="H157" s="29"/>
      <c r="I157" s="27" t="str">
        <f aca="false">IF(C157="○","キ","")&amp;IF(D157="○","ダ","")&amp;IF(E157="○","粗","")&amp;IF(F157="○","超","")</f>
        <v/>
      </c>
    </row>
    <row r="158" customFormat="false" ht="15" hidden="false" customHeight="false" outlineLevel="0" collapsed="false">
      <c r="A158" s="29"/>
      <c r="B158" s="29"/>
      <c r="C158" s="29"/>
      <c r="D158" s="29"/>
      <c r="E158" s="29"/>
      <c r="F158" s="29"/>
      <c r="G158" s="29"/>
      <c r="H158" s="29"/>
      <c r="I158" s="27" t="str">
        <f aca="false">IF(C158="○","キ","")&amp;IF(D158="○","ダ","")&amp;IF(E158="○","粗","")&amp;IF(F158="○","超","")</f>
        <v/>
      </c>
    </row>
    <row r="159" customFormat="false" ht="15" hidden="false" customHeight="false" outlineLevel="0" collapsed="false">
      <c r="A159" s="29"/>
      <c r="B159" s="29"/>
      <c r="C159" s="29"/>
      <c r="D159" s="29"/>
      <c r="E159" s="29"/>
      <c r="F159" s="29"/>
      <c r="G159" s="29"/>
      <c r="H159" s="29"/>
      <c r="I159" s="27" t="str">
        <f aca="false">IF(C159="○","キ","")&amp;IF(D159="○","ダ","")&amp;IF(E159="○","粗","")&amp;IF(F159="○","超","")</f>
        <v/>
      </c>
    </row>
    <row r="160" customFormat="false" ht="15" hidden="false" customHeight="false" outlineLevel="0" collapsed="false">
      <c r="A160" s="29"/>
      <c r="B160" s="29"/>
      <c r="C160" s="29"/>
      <c r="D160" s="29"/>
      <c r="E160" s="29"/>
      <c r="F160" s="29"/>
      <c r="G160" s="29"/>
      <c r="H160" s="29"/>
      <c r="I160" s="27" t="str">
        <f aca="false">IF(C160="○","キ","")&amp;IF(D160="○","ダ","")&amp;IF(E160="○","粗","")&amp;IF(F160="○","超","")</f>
        <v/>
      </c>
    </row>
    <row r="161" customFormat="false" ht="15" hidden="false" customHeight="false" outlineLevel="0" collapsed="false">
      <c r="A161" s="29"/>
      <c r="B161" s="29"/>
      <c r="C161" s="29"/>
      <c r="D161" s="29"/>
      <c r="E161" s="29"/>
      <c r="F161" s="29"/>
      <c r="G161" s="29"/>
      <c r="H161" s="29"/>
      <c r="I161" s="27" t="str">
        <f aca="false">IF(C161="○","キ","")&amp;IF(D161="○","ダ","")&amp;IF(E161="○","粗","")&amp;IF(F161="○","超","")</f>
        <v/>
      </c>
    </row>
    <row r="162" customFormat="false" ht="15" hidden="false" customHeight="false" outlineLevel="0" collapsed="false">
      <c r="A162" s="29"/>
      <c r="B162" s="29"/>
      <c r="C162" s="29"/>
      <c r="D162" s="29"/>
      <c r="E162" s="29"/>
      <c r="F162" s="29"/>
      <c r="G162" s="29"/>
      <c r="H162" s="29"/>
      <c r="I162" s="27" t="str">
        <f aca="false">IF(C162="○","キ","")&amp;IF(D162="○","ダ","")&amp;IF(E162="○","粗","")&amp;IF(F162="○","超","")</f>
        <v/>
      </c>
    </row>
    <row r="163" customFormat="false" ht="15" hidden="false" customHeight="false" outlineLevel="0" collapsed="false">
      <c r="A163" s="29"/>
      <c r="B163" s="29"/>
      <c r="C163" s="29"/>
      <c r="D163" s="29"/>
      <c r="E163" s="29"/>
      <c r="F163" s="29"/>
      <c r="G163" s="29"/>
      <c r="H163" s="29"/>
      <c r="I163" s="27" t="str">
        <f aca="false">IF(C163="○","キ","")&amp;IF(D163="○","ダ","")&amp;IF(E163="○","粗","")&amp;IF(F163="○","超","")</f>
        <v/>
      </c>
    </row>
    <row r="164" customFormat="false" ht="15" hidden="false" customHeight="false" outlineLevel="0" collapsed="false">
      <c r="A164" s="29"/>
      <c r="B164" s="29"/>
      <c r="C164" s="29"/>
      <c r="D164" s="29"/>
      <c r="E164" s="29"/>
      <c r="F164" s="29"/>
      <c r="G164" s="29"/>
      <c r="H164" s="29"/>
      <c r="I164" s="27" t="str">
        <f aca="false">IF(C164="○","キ","")&amp;IF(D164="○","ダ","")&amp;IF(E164="○","粗","")&amp;IF(F164="○","超","")</f>
        <v/>
      </c>
    </row>
    <row r="165" customFormat="false" ht="15" hidden="false" customHeight="false" outlineLevel="0" collapsed="false">
      <c r="A165" s="29"/>
      <c r="B165" s="29"/>
      <c r="C165" s="29"/>
      <c r="D165" s="29"/>
      <c r="E165" s="29"/>
      <c r="F165" s="29"/>
      <c r="G165" s="29"/>
      <c r="H165" s="29"/>
      <c r="I165" s="27" t="str">
        <f aca="false">IF(C165="○","キ","")&amp;IF(D165="○","ダ","")&amp;IF(E165="○","粗","")&amp;IF(F165="○","超","")</f>
        <v/>
      </c>
    </row>
    <row r="166" customFormat="false" ht="15" hidden="false" customHeight="false" outlineLevel="0" collapsed="false">
      <c r="A166" s="29"/>
      <c r="B166" s="29"/>
      <c r="C166" s="29"/>
      <c r="D166" s="29"/>
      <c r="E166" s="29"/>
      <c r="F166" s="29"/>
      <c r="G166" s="29"/>
      <c r="H166" s="29"/>
      <c r="I166" s="27" t="str">
        <f aca="false">IF(C166="○","キ","")&amp;IF(D166="○","ダ","")&amp;IF(E166="○","粗","")&amp;IF(F166="○","超","")</f>
        <v/>
      </c>
    </row>
    <row r="167" customFormat="false" ht="15" hidden="false" customHeight="false" outlineLevel="0" collapsed="false">
      <c r="A167" s="29"/>
      <c r="B167" s="29"/>
      <c r="C167" s="29"/>
      <c r="D167" s="29"/>
      <c r="E167" s="29"/>
      <c r="F167" s="29"/>
      <c r="G167" s="29"/>
      <c r="H167" s="29"/>
      <c r="I167" s="27" t="str">
        <f aca="false">IF(C167="○","キ","")&amp;IF(D167="○","ダ","")&amp;IF(E167="○","粗","")&amp;IF(F167="○","超","")</f>
        <v/>
      </c>
    </row>
    <row r="168" customFormat="false" ht="15" hidden="false" customHeight="false" outlineLevel="0" collapsed="false">
      <c r="A168" s="29"/>
      <c r="B168" s="29"/>
      <c r="C168" s="29"/>
      <c r="D168" s="29"/>
      <c r="E168" s="29"/>
      <c r="F168" s="29"/>
      <c r="G168" s="29"/>
      <c r="H168" s="29"/>
      <c r="I168" s="27" t="str">
        <f aca="false">IF(C168="○","キ","")&amp;IF(D168="○","ダ","")&amp;IF(E168="○","粗","")&amp;IF(F168="○","超","")</f>
        <v/>
      </c>
    </row>
    <row r="169" customFormat="false" ht="15" hidden="false" customHeight="false" outlineLevel="0" collapsed="false">
      <c r="A169" s="29"/>
      <c r="B169" s="29"/>
      <c r="C169" s="29"/>
      <c r="D169" s="29"/>
      <c r="E169" s="29"/>
      <c r="F169" s="29"/>
      <c r="G169" s="29"/>
      <c r="H169" s="29"/>
      <c r="I169" s="27" t="str">
        <f aca="false">IF(C169="○","キ","")&amp;IF(D169="○","ダ","")&amp;IF(E169="○","粗","")&amp;IF(F169="○","超","")</f>
        <v/>
      </c>
    </row>
    <row r="170" customFormat="false" ht="15" hidden="false" customHeight="false" outlineLevel="0" collapsed="false">
      <c r="A170" s="29"/>
      <c r="B170" s="29"/>
      <c r="C170" s="29"/>
      <c r="D170" s="29"/>
      <c r="E170" s="29"/>
      <c r="F170" s="29"/>
      <c r="G170" s="29"/>
      <c r="H170" s="29"/>
      <c r="I170" s="27" t="str">
        <f aca="false">IF(C170="○","キ","")&amp;IF(D170="○","ダ","")&amp;IF(E170="○","粗","")&amp;IF(F170="○","超","")</f>
        <v/>
      </c>
    </row>
    <row r="171" customFormat="false" ht="15" hidden="false" customHeight="false" outlineLevel="0" collapsed="false">
      <c r="A171" s="29"/>
      <c r="B171" s="29"/>
      <c r="C171" s="29"/>
      <c r="D171" s="29"/>
      <c r="E171" s="29"/>
      <c r="F171" s="29"/>
      <c r="G171" s="29"/>
      <c r="H171" s="29"/>
      <c r="I171" s="27" t="str">
        <f aca="false">IF(C171="○","キ","")&amp;IF(D171="○","ダ","")&amp;IF(E171="○","粗","")&amp;IF(F171="○","超","")</f>
        <v/>
      </c>
    </row>
    <row r="172" customFormat="false" ht="15" hidden="false" customHeight="false" outlineLevel="0" collapsed="false">
      <c r="A172" s="29"/>
      <c r="B172" s="29"/>
      <c r="C172" s="29"/>
      <c r="D172" s="29"/>
      <c r="E172" s="29"/>
      <c r="F172" s="29"/>
      <c r="G172" s="29"/>
      <c r="H172" s="29"/>
      <c r="I172" s="27" t="str">
        <f aca="false">IF(C172="○","キ","")&amp;IF(D172="○","ダ","")&amp;IF(E172="○","粗","")&amp;IF(F172="○","超","")</f>
        <v/>
      </c>
    </row>
    <row r="173" customFormat="false" ht="15" hidden="false" customHeight="false" outlineLevel="0" collapsed="false">
      <c r="A173" s="29"/>
      <c r="B173" s="29"/>
      <c r="C173" s="29"/>
      <c r="D173" s="29"/>
      <c r="E173" s="29"/>
      <c r="F173" s="29"/>
      <c r="G173" s="29"/>
      <c r="H173" s="29"/>
      <c r="I173" s="27" t="str">
        <f aca="false">IF(C173="○","キ","")&amp;IF(D173="○","ダ","")&amp;IF(E173="○","粗","")&amp;IF(F173="○","超","")</f>
        <v/>
      </c>
    </row>
    <row r="174" customFormat="false" ht="15" hidden="false" customHeight="false" outlineLevel="0" collapsed="false">
      <c r="A174" s="29"/>
      <c r="B174" s="29"/>
      <c r="C174" s="29"/>
      <c r="D174" s="29"/>
      <c r="E174" s="29"/>
      <c r="F174" s="29"/>
      <c r="G174" s="29"/>
      <c r="H174" s="29"/>
      <c r="I174" s="27" t="str">
        <f aca="false">IF(C174="○","キ","")&amp;IF(D174="○","ダ","")&amp;IF(E174="○","粗","")&amp;IF(F174="○","超","")</f>
        <v/>
      </c>
    </row>
    <row r="175" customFormat="false" ht="15" hidden="false" customHeight="false" outlineLevel="0" collapsed="false">
      <c r="A175" s="29"/>
      <c r="B175" s="29"/>
      <c r="C175" s="29"/>
      <c r="D175" s="29"/>
      <c r="E175" s="29"/>
      <c r="F175" s="29"/>
      <c r="G175" s="29"/>
      <c r="H175" s="29"/>
      <c r="I175" s="27" t="str">
        <f aca="false">IF(C175="○","キ","")&amp;IF(D175="○","ダ","")&amp;IF(E175="○","粗","")&amp;IF(F175="○","超","")</f>
        <v/>
      </c>
    </row>
    <row r="176" customFormat="false" ht="15" hidden="false" customHeight="false" outlineLevel="0" collapsed="false">
      <c r="A176" s="29"/>
      <c r="B176" s="29"/>
      <c r="C176" s="29"/>
      <c r="D176" s="29"/>
      <c r="E176" s="29"/>
      <c r="F176" s="29"/>
      <c r="G176" s="29"/>
      <c r="H176" s="29"/>
      <c r="I176" s="27" t="str">
        <f aca="false">IF(C176="○","キ","")&amp;IF(D176="○","ダ","")&amp;IF(E176="○","粗","")&amp;IF(F176="○","超","")</f>
        <v/>
      </c>
    </row>
    <row r="177" customFormat="false" ht="15" hidden="false" customHeight="false" outlineLevel="0" collapsed="false">
      <c r="A177" s="29"/>
      <c r="B177" s="29"/>
      <c r="C177" s="29"/>
      <c r="D177" s="29"/>
      <c r="E177" s="29"/>
      <c r="F177" s="29"/>
      <c r="G177" s="29"/>
      <c r="H177" s="29"/>
      <c r="I177" s="27" t="str">
        <f aca="false">IF(C177="○","キ","")&amp;IF(D177="○","ダ","")&amp;IF(E177="○","粗","")&amp;IF(F177="○","超","")</f>
        <v/>
      </c>
    </row>
    <row r="178" customFormat="false" ht="15" hidden="false" customHeight="false" outlineLevel="0" collapsed="false">
      <c r="A178" s="29"/>
      <c r="B178" s="29"/>
      <c r="C178" s="29"/>
      <c r="D178" s="29"/>
      <c r="E178" s="29"/>
      <c r="F178" s="29"/>
      <c r="G178" s="29"/>
      <c r="H178" s="29"/>
      <c r="I178" s="27" t="str">
        <f aca="false">IF(C178="○","キ","")&amp;IF(D178="○","ダ","")&amp;IF(E178="○","粗","")&amp;IF(F178="○","超","")</f>
        <v/>
      </c>
    </row>
    <row r="179" customFormat="false" ht="15" hidden="false" customHeight="false" outlineLevel="0" collapsed="false">
      <c r="A179" s="29"/>
      <c r="B179" s="29"/>
      <c r="C179" s="29"/>
      <c r="D179" s="29"/>
      <c r="E179" s="29"/>
      <c r="F179" s="29"/>
      <c r="G179" s="29"/>
      <c r="H179" s="29"/>
      <c r="I179" s="27" t="str">
        <f aca="false">IF(C179="○","キ","")&amp;IF(D179="○","ダ","")&amp;IF(E179="○","粗","")&amp;IF(F179="○","超","")</f>
        <v/>
      </c>
    </row>
    <row r="180" customFormat="false" ht="15" hidden="false" customHeight="false" outlineLevel="0" collapsed="false">
      <c r="A180" s="29"/>
      <c r="B180" s="29"/>
      <c r="C180" s="29"/>
      <c r="D180" s="29"/>
      <c r="E180" s="29"/>
      <c r="F180" s="29"/>
      <c r="G180" s="29"/>
      <c r="H180" s="29"/>
      <c r="I180" s="27" t="str">
        <f aca="false">IF(C180="○","キ","")&amp;IF(D180="○","ダ","")&amp;IF(E180="○","粗","")&amp;IF(F180="○","超","")</f>
        <v/>
      </c>
    </row>
    <row r="181" customFormat="false" ht="15" hidden="false" customHeight="false" outlineLevel="0" collapsed="false">
      <c r="A181" s="29"/>
      <c r="B181" s="29"/>
      <c r="C181" s="29"/>
      <c r="D181" s="29"/>
      <c r="E181" s="29"/>
      <c r="F181" s="29"/>
      <c r="G181" s="29"/>
      <c r="H181" s="29"/>
      <c r="I181" s="27" t="str">
        <f aca="false">IF(C181="○","キ","")&amp;IF(D181="○","ダ","")&amp;IF(E181="○","粗","")&amp;IF(F181="○","超","")</f>
        <v/>
      </c>
    </row>
    <row r="182" customFormat="false" ht="15" hidden="false" customHeight="false" outlineLevel="0" collapsed="false">
      <c r="A182" s="29"/>
      <c r="B182" s="29"/>
      <c r="C182" s="29"/>
      <c r="D182" s="29"/>
      <c r="E182" s="29"/>
      <c r="F182" s="29"/>
      <c r="G182" s="29"/>
      <c r="H182" s="29"/>
      <c r="I182" s="27" t="str">
        <f aca="false">IF(C182="○","キ","")&amp;IF(D182="○","ダ","")&amp;IF(E182="○","粗","")&amp;IF(F182="○","超","")</f>
        <v/>
      </c>
    </row>
    <row r="183" customFormat="false" ht="15" hidden="false" customHeight="false" outlineLevel="0" collapsed="false">
      <c r="A183" s="29"/>
      <c r="B183" s="29"/>
      <c r="C183" s="29"/>
      <c r="D183" s="29"/>
      <c r="E183" s="29"/>
      <c r="F183" s="29"/>
      <c r="G183" s="29"/>
      <c r="H183" s="29"/>
      <c r="I183" s="27" t="str">
        <f aca="false">IF(C183="○","キ","")&amp;IF(D183="○","ダ","")&amp;IF(E183="○","粗","")&amp;IF(F183="○","超","")</f>
        <v/>
      </c>
    </row>
    <row r="184" customFormat="false" ht="15" hidden="false" customHeight="false" outlineLevel="0" collapsed="false">
      <c r="A184" s="29"/>
      <c r="B184" s="29"/>
      <c r="C184" s="29"/>
      <c r="D184" s="29"/>
      <c r="E184" s="29"/>
      <c r="F184" s="29"/>
      <c r="G184" s="29"/>
      <c r="H184" s="29"/>
      <c r="I184" s="27" t="str">
        <f aca="false">IF(C184="○","キ","")&amp;IF(D184="○","ダ","")&amp;IF(E184="○","粗","")&amp;IF(F184="○","超","")</f>
        <v/>
      </c>
    </row>
    <row r="185" customFormat="false" ht="15" hidden="false" customHeight="false" outlineLevel="0" collapsed="false">
      <c r="A185" s="29"/>
      <c r="B185" s="29"/>
      <c r="C185" s="29"/>
      <c r="D185" s="29"/>
      <c r="E185" s="29"/>
      <c r="F185" s="29"/>
      <c r="G185" s="29"/>
      <c r="H185" s="29"/>
      <c r="I185" s="27" t="str">
        <f aca="false">IF(C185="○","キ","")&amp;IF(D185="○","ダ","")&amp;IF(E185="○","粗","")&amp;IF(F185="○","超","")</f>
        <v/>
      </c>
    </row>
    <row r="186" customFormat="false" ht="15" hidden="false" customHeight="false" outlineLevel="0" collapsed="false">
      <c r="A186" s="29"/>
      <c r="B186" s="29"/>
      <c r="C186" s="29"/>
      <c r="D186" s="29"/>
      <c r="E186" s="29"/>
      <c r="F186" s="29"/>
      <c r="G186" s="29"/>
      <c r="H186" s="29"/>
      <c r="I186" s="27" t="str">
        <f aca="false">IF(C186="○","キ","")&amp;IF(D186="○","ダ","")&amp;IF(E186="○","粗","")&amp;IF(F186="○","超","")</f>
        <v/>
      </c>
    </row>
    <row r="187" customFormat="false" ht="15" hidden="false" customHeight="false" outlineLevel="0" collapsed="false">
      <c r="A187" s="29"/>
      <c r="B187" s="29"/>
      <c r="C187" s="29"/>
      <c r="D187" s="29"/>
      <c r="E187" s="29"/>
      <c r="F187" s="29"/>
      <c r="G187" s="29"/>
      <c r="H187" s="29"/>
      <c r="I187" s="27" t="str">
        <f aca="false">IF(C187="○","キ","")&amp;IF(D187="○","ダ","")&amp;IF(E187="○","粗","")&amp;IF(F187="○","超","")</f>
        <v/>
      </c>
    </row>
    <row r="188" customFormat="false" ht="15" hidden="false" customHeight="false" outlineLevel="0" collapsed="false">
      <c r="A188" s="29"/>
      <c r="B188" s="29"/>
      <c r="C188" s="29"/>
      <c r="D188" s="29"/>
      <c r="E188" s="29"/>
      <c r="F188" s="29"/>
      <c r="G188" s="29"/>
      <c r="H188" s="29"/>
      <c r="I188" s="27" t="str">
        <f aca="false">IF(C188="○","キ","")&amp;IF(D188="○","ダ","")&amp;IF(E188="○","粗","")&amp;IF(F188="○","超","")</f>
        <v/>
      </c>
    </row>
    <row r="189" customFormat="false" ht="15" hidden="false" customHeight="false" outlineLevel="0" collapsed="false">
      <c r="A189" s="29"/>
      <c r="B189" s="29"/>
      <c r="C189" s="29"/>
      <c r="D189" s="29"/>
      <c r="E189" s="29"/>
      <c r="F189" s="29"/>
      <c r="G189" s="29"/>
      <c r="H189" s="29"/>
      <c r="I189" s="27" t="str">
        <f aca="false">IF(C189="○","キ","")&amp;IF(D189="○","ダ","")&amp;IF(E189="○","粗","")&amp;IF(F189="○","超","")</f>
        <v/>
      </c>
    </row>
    <row r="190" customFormat="false" ht="15" hidden="false" customHeight="false" outlineLevel="0" collapsed="false">
      <c r="A190" s="29"/>
      <c r="B190" s="29"/>
      <c r="C190" s="29"/>
      <c r="D190" s="29"/>
      <c r="E190" s="29"/>
      <c r="F190" s="29"/>
      <c r="G190" s="29"/>
      <c r="H190" s="29"/>
      <c r="I190" s="27" t="str">
        <f aca="false">IF(C190="○","キ","")&amp;IF(D190="○","ダ","")&amp;IF(E190="○","粗","")&amp;IF(F190="○","超","")</f>
        <v/>
      </c>
    </row>
    <row r="191" customFormat="false" ht="15" hidden="false" customHeight="false" outlineLevel="0" collapsed="false">
      <c r="A191" s="29"/>
      <c r="B191" s="29"/>
      <c r="C191" s="29"/>
      <c r="D191" s="29"/>
      <c r="E191" s="29"/>
      <c r="F191" s="29"/>
      <c r="G191" s="29"/>
      <c r="H191" s="29"/>
      <c r="I191" s="27" t="str">
        <f aca="false">IF(C191="○","キ","")&amp;IF(D191="○","ダ","")&amp;IF(E191="○","粗","")&amp;IF(F191="○","超","")</f>
        <v/>
      </c>
    </row>
    <row r="192" customFormat="false" ht="15" hidden="false" customHeight="false" outlineLevel="0" collapsed="false">
      <c r="A192" s="29"/>
      <c r="B192" s="29"/>
      <c r="C192" s="29"/>
      <c r="D192" s="29"/>
      <c r="E192" s="29"/>
      <c r="F192" s="29"/>
      <c r="G192" s="29"/>
      <c r="H192" s="29"/>
      <c r="I192" s="27" t="str">
        <f aca="false">IF(C192="○","キ","")&amp;IF(D192="○","ダ","")&amp;IF(E192="○","粗","")&amp;IF(F192="○","超","")</f>
        <v/>
      </c>
    </row>
    <row r="193" customFormat="false" ht="15" hidden="false" customHeight="false" outlineLevel="0" collapsed="false">
      <c r="A193" s="29"/>
      <c r="B193" s="29"/>
      <c r="C193" s="29"/>
      <c r="D193" s="29"/>
      <c r="E193" s="29"/>
      <c r="F193" s="29"/>
      <c r="G193" s="29"/>
      <c r="H193" s="29"/>
      <c r="I193" s="27" t="str">
        <f aca="false">IF(C193="○","キ","")&amp;IF(D193="○","ダ","")&amp;IF(E193="○","粗","")&amp;IF(F193="○","超","")</f>
        <v/>
      </c>
    </row>
    <row r="194" customFormat="false" ht="15" hidden="false" customHeight="false" outlineLevel="0" collapsed="false">
      <c r="A194" s="29"/>
      <c r="B194" s="29"/>
      <c r="C194" s="29"/>
      <c r="D194" s="29"/>
      <c r="E194" s="29"/>
      <c r="F194" s="29"/>
      <c r="G194" s="29"/>
      <c r="H194" s="29"/>
      <c r="I194" s="27" t="str">
        <f aca="false">IF(C194="○","キ","")&amp;IF(D194="○","ダ","")&amp;IF(E194="○","粗","")&amp;IF(F194="○","超","")</f>
        <v/>
      </c>
    </row>
    <row r="195" customFormat="false" ht="15" hidden="false" customHeight="false" outlineLevel="0" collapsed="false">
      <c r="A195" s="29"/>
      <c r="B195" s="29"/>
      <c r="C195" s="29"/>
      <c r="D195" s="29"/>
      <c r="E195" s="29"/>
      <c r="F195" s="29"/>
      <c r="G195" s="29"/>
      <c r="H195" s="29"/>
      <c r="I195" s="27" t="str">
        <f aca="false">IF(C195="○","キ","")&amp;IF(D195="○","ダ","")&amp;IF(E195="○","粗","")&amp;IF(F195="○","超","")</f>
        <v/>
      </c>
    </row>
    <row r="196" customFormat="false" ht="15" hidden="false" customHeight="false" outlineLevel="0" collapsed="false">
      <c r="A196" s="29"/>
      <c r="B196" s="29"/>
      <c r="C196" s="29"/>
      <c r="D196" s="29"/>
      <c r="E196" s="29"/>
      <c r="F196" s="29"/>
      <c r="G196" s="29"/>
      <c r="H196" s="29"/>
      <c r="I196" s="27" t="str">
        <f aca="false">IF(C196="○","キ","")&amp;IF(D196="○","ダ","")&amp;IF(E196="○","粗","")&amp;IF(F196="○","超","")</f>
        <v/>
      </c>
    </row>
    <row r="197" customFormat="false" ht="15" hidden="false" customHeight="false" outlineLevel="0" collapsed="false">
      <c r="A197" s="29"/>
      <c r="B197" s="29"/>
      <c r="C197" s="29"/>
      <c r="D197" s="29"/>
      <c r="E197" s="29"/>
      <c r="F197" s="29"/>
      <c r="G197" s="29"/>
      <c r="H197" s="29"/>
      <c r="I197" s="27" t="str">
        <f aca="false">IF(C197="○","キ","")&amp;IF(D197="○","ダ","")&amp;IF(E197="○","粗","")&amp;IF(F197="○","超","")</f>
        <v/>
      </c>
    </row>
    <row r="198" customFormat="false" ht="15" hidden="false" customHeight="false" outlineLevel="0" collapsed="false">
      <c r="A198" s="29"/>
      <c r="B198" s="29"/>
      <c r="C198" s="29"/>
      <c r="D198" s="29"/>
      <c r="E198" s="29"/>
      <c r="F198" s="29"/>
      <c r="G198" s="29"/>
      <c r="H198" s="29"/>
      <c r="I198" s="27" t="str">
        <f aca="false">IF(C198="○","キ","")&amp;IF(D198="○","ダ","")&amp;IF(E198="○","粗","")&amp;IF(F198="○","超","")</f>
        <v/>
      </c>
    </row>
    <row r="199" customFormat="false" ht="15" hidden="false" customHeight="false" outlineLevel="0" collapsed="false">
      <c r="A199" s="29"/>
      <c r="B199" s="29"/>
      <c r="C199" s="29"/>
      <c r="D199" s="29"/>
      <c r="E199" s="29"/>
      <c r="F199" s="29"/>
      <c r="G199" s="29"/>
      <c r="H199" s="29"/>
      <c r="I199" s="27" t="str">
        <f aca="false">IF(C199="○","キ","")&amp;IF(D199="○","ダ","")&amp;IF(E199="○","粗","")&amp;IF(F199="○","超","")</f>
        <v/>
      </c>
    </row>
    <row r="200" customFormat="false" ht="15" hidden="false" customHeight="false" outlineLevel="0" collapsed="false">
      <c r="A200" s="29"/>
      <c r="B200" s="29"/>
      <c r="C200" s="29"/>
      <c r="D200" s="29"/>
      <c r="E200" s="29"/>
      <c r="F200" s="29"/>
      <c r="G200" s="29"/>
      <c r="H200" s="29"/>
      <c r="I200" s="27" t="str">
        <f aca="false">IF(C200="○","キ","")&amp;IF(D200="○","ダ","")&amp;IF(E200="○","粗","")&amp;IF(F200="○","超","")</f>
        <v/>
      </c>
    </row>
  </sheetData>
  <dataValidations count="3">
    <dataValidation allowBlank="true" error="区分マスタのリストから選択してください" errorStyle="stop" errorTitle="入力エラー" operator="between" showDropDown="false" showErrorMessage="false" showInputMessage="false" sqref="B2:B200" type="list">
      <formula1>区分マスタ!$A$2:$A$5</formula1>
      <formula2>0</formula2>
    </dataValidation>
    <dataValidation allowBlank="true" errorStyle="stop" operator="between" showDropDown="false" showErrorMessage="false" showInputMessage="false" sqref="C2:F200" type="list">
      <formula1>"○"</formula1>
      <formula2>0</formula2>
    </dataValidation>
    <dataValidation allowBlank="true" errorStyle="stop" operator="between" showDropDown="false" showErrorMessage="false" showInputMessage="false" sqref="G2:G200" type="list">
      <formula1>区分マスタ!$D$2:$D$3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5" hidden="false" customHeight="false" outlineLevel="0" collapsed="false">
      <c r="A1" s="23" t="s">
        <v>81</v>
      </c>
      <c r="B1" s="23" t="s">
        <v>82</v>
      </c>
      <c r="C1" s="23" t="s">
        <v>83</v>
      </c>
      <c r="D1" s="23" t="s">
        <v>68</v>
      </c>
      <c r="F1" s="32" t="s">
        <v>84</v>
      </c>
    </row>
    <row r="2" customFormat="false" ht="15" hidden="false" customHeight="false" outlineLevel="0" collapsed="false">
      <c r="A2" s="4" t="s">
        <v>26</v>
      </c>
      <c r="B2" s="4" t="s">
        <v>53</v>
      </c>
      <c r="C2" s="4" t="s">
        <v>51</v>
      </c>
      <c r="D2" s="4" t="s">
        <v>71</v>
      </c>
    </row>
    <row r="3" customFormat="false" ht="15" hidden="false" customHeight="false" outlineLevel="0" collapsed="false">
      <c r="A3" s="4" t="s">
        <v>27</v>
      </c>
      <c r="B3" s="4" t="s">
        <v>49</v>
      </c>
      <c r="C3" s="4" t="s">
        <v>57</v>
      </c>
      <c r="D3" s="4" t="s">
        <v>79</v>
      </c>
    </row>
    <row r="4" customFormat="false" ht="17.15" hidden="false" customHeight="false" outlineLevel="0" collapsed="false">
      <c r="A4" s="4" t="s">
        <v>85</v>
      </c>
      <c r="B4" s="4" t="s">
        <v>86</v>
      </c>
    </row>
    <row r="5" customFormat="false" ht="17.15" hidden="false" customHeight="false" outlineLevel="0" collapsed="false">
      <c r="A5" s="4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B1" s="32" t="s">
        <v>88</v>
      </c>
      <c r="C1" s="32" t="s">
        <v>89</v>
      </c>
      <c r="D1" s="32" t="s">
        <v>90</v>
      </c>
      <c r="E1" s="32" t="s">
        <v>91</v>
      </c>
      <c r="F1" s="32" t="s">
        <v>92</v>
      </c>
      <c r="G1" s="32" t="s">
        <v>93</v>
      </c>
      <c r="H1" s="32" t="s">
        <v>94</v>
      </c>
      <c r="I1" s="32" t="s">
        <v>95</v>
      </c>
      <c r="J1" s="32" t="s">
        <v>96</v>
      </c>
      <c r="K1" s="32" t="s">
        <v>97</v>
      </c>
      <c r="L1" s="32" t="s">
        <v>98</v>
      </c>
      <c r="M1" s="32" t="s">
        <v>99</v>
      </c>
      <c r="N1" s="32" t="s">
        <v>100</v>
      </c>
      <c r="O1" s="32" t="s">
        <v>101</v>
      </c>
      <c r="P1" s="32" t="s">
        <v>102</v>
      </c>
      <c r="Q1" s="32" t="s">
        <v>103</v>
      </c>
      <c r="R1" s="32" t="s">
        <v>104</v>
      </c>
      <c r="S1" s="32" t="s">
        <v>105</v>
      </c>
      <c r="T1" s="32" t="s">
        <v>106</v>
      </c>
      <c r="U1" s="32" t="s">
        <v>107</v>
      </c>
      <c r="V1" s="32" t="s">
        <v>108</v>
      </c>
      <c r="W1" s="32" t="s">
        <v>109</v>
      </c>
      <c r="X1" s="32" t="s">
        <v>110</v>
      </c>
      <c r="Y1" s="32" t="s">
        <v>111</v>
      </c>
    </row>
    <row r="2" customFormat="false" ht="15" hidden="false" customHeight="false" outlineLevel="0" collapsed="false">
      <c r="B2" s="0" t="n">
        <f aca="false">IF(AND(食数記録!$A2=プレビュー!$C$3,食数記録!$B2="朝",食数記録!$F2="男性入所",食数記録!$D2="欠食"),1,0)</f>
        <v>0</v>
      </c>
      <c r="C2" s="0" t="str">
        <f aca="false">IF(B2=1,SUM($B$2:B2),"")</f>
        <v/>
      </c>
      <c r="D2" s="0" t="n">
        <f aca="false">IF(AND(食数記録!$A2=プレビュー!$C$3,食数記録!$B2="昼",食数記録!$F2="男性入所",食数記録!$D2="欠食"),1,0)</f>
        <v>1</v>
      </c>
      <c r="E2" s="0" t="n">
        <f aca="false">IF(D2=1,SUM($D$2:D2),"")</f>
        <v>1</v>
      </c>
      <c r="F2" s="0" t="n">
        <f aca="false">IF(AND(食数記録!$A2=プレビュー!$C$3,食数記録!$B2="夕",食数記録!$F2="男性入所",食数記録!$D2="欠食"),1,0)</f>
        <v>0</v>
      </c>
      <c r="G2" s="0" t="str">
        <f aca="false">IF(F2=1,SUM($F$2:F2),"")</f>
        <v/>
      </c>
      <c r="H2" s="0" t="n">
        <f aca="false">IF(AND(食数記録!$A2=プレビュー!$C$3,食数記録!$B2="朝",食数記録!$F2="女性入所",食数記録!$D2="欠食"),1,0)</f>
        <v>0</v>
      </c>
      <c r="I2" s="0" t="str">
        <f aca="false">IF(H2=1,SUM($H$2:H2),"")</f>
        <v/>
      </c>
      <c r="J2" s="0" t="n">
        <f aca="false">IF(AND(食数記録!$A2=プレビュー!$C$3,食数記録!$B2="昼",食数記録!$F2="女性入所",食数記録!$D2="欠食"),1,0)</f>
        <v>0</v>
      </c>
      <c r="K2" s="0" t="str">
        <f aca="false">IF(J2=1,SUM($J$2:J2),"")</f>
        <v/>
      </c>
      <c r="L2" s="0" t="n">
        <f aca="false">IF(AND(食数記録!$A2=プレビュー!$C$3,食数記録!$B2="夕",食数記録!$F2="女性入所",食数記録!$D2="欠食"),1,0)</f>
        <v>0</v>
      </c>
      <c r="M2" s="0" t="str">
        <f aca="false">IF(L2=1,SUM($L$2:L2),"")</f>
        <v/>
      </c>
      <c r="N2" s="0" t="n">
        <f aca="false">IF(AND(食数記録!$A2=プレビュー!$C$3,食数記録!$B2="朝",食数記録!$F2="男性GH",食数記録!$D2="臨時喫食"),1,0)</f>
        <v>0</v>
      </c>
      <c r="O2" s="0" t="str">
        <f aca="false">IF(N2=1,SUM($N$2:N2),"")</f>
        <v/>
      </c>
      <c r="P2" s="0" t="n">
        <f aca="false">IF(AND(食数記録!$A2=プレビュー!$C$3,食数記録!$B2="昼",食数記録!$F2="男性GH",食数記録!$D2="臨時喫食"),1,0)</f>
        <v>0</v>
      </c>
      <c r="Q2" s="0" t="str">
        <f aca="false">IF(P2=1,SUM($P$2:P2),"")</f>
        <v/>
      </c>
      <c r="R2" s="0" t="n">
        <f aca="false">IF(AND(食数記録!$A2=プレビュー!$C$3,食数記録!$B2="夕",食数記録!$F2="男性GH",食数記録!$D2="臨時喫食"),1,0)</f>
        <v>0</v>
      </c>
      <c r="S2" s="0" t="str">
        <f aca="false">IF(R2=1,SUM($R$2:R2),"")</f>
        <v/>
      </c>
      <c r="T2" s="0" t="n">
        <f aca="false">IF(AND(食数記録!$A2=プレビュー!$C$3,食数記録!$B2="朝",食数記録!$F2="女性GH",食数記録!$D2="臨時喫食"),1,0)</f>
        <v>0</v>
      </c>
      <c r="U2" s="0" t="str">
        <f aca="false">IF(T2=1,SUM($T$2:T2),"")</f>
        <v/>
      </c>
      <c r="V2" s="0" t="n">
        <f aca="false">IF(AND(食数記録!$A2=プレビュー!$C$3,食数記録!$B2="昼",食数記録!$F2="女性GH",食数記録!$D2="臨時喫食"),1,0)</f>
        <v>0</v>
      </c>
      <c r="W2" s="0" t="str">
        <f aca="false">IF(V2=1,SUM($V$2:V2),"")</f>
        <v/>
      </c>
      <c r="X2" s="0" t="n">
        <f aca="false">IF(AND(食数記録!$A2=プレビュー!$C$3,食数記録!$B2="夕",食数記録!$F2="女性GH",食数記録!$D2="臨時喫食"),1,0)</f>
        <v>0</v>
      </c>
      <c r="Y2" s="0" t="str">
        <f aca="false">IF(X2=1,SUM($X$2:X2),"")</f>
        <v/>
      </c>
    </row>
    <row r="3" customFormat="false" ht="15" hidden="false" customHeight="false" outlineLevel="0" collapsed="false">
      <c r="B3" s="0" t="n">
        <f aca="false">IF(AND(食数記録!$A3=プレビュー!$C$3,食数記録!$B3="朝",食数記録!$F3="男性入所",食数記録!$D3="欠食"),1,0)</f>
        <v>0</v>
      </c>
      <c r="C3" s="0" t="str">
        <f aca="false">IF(B3=1,SUM($B$2:B3),"")</f>
        <v/>
      </c>
      <c r="D3" s="0" t="n">
        <f aca="false">IF(AND(食数記録!$A3=プレビュー!$C$3,食数記録!$B3="昼",食数記録!$F3="男性入所",食数記録!$D3="欠食"),1,0)</f>
        <v>0</v>
      </c>
      <c r="E3" s="0" t="str">
        <f aca="false">IF(D3=1,SUM($D$2:D3),"")</f>
        <v/>
      </c>
      <c r="F3" s="0" t="n">
        <f aca="false">IF(AND(食数記録!$A3=プレビュー!$C$3,食数記録!$B3="夕",食数記録!$F3="男性入所",食数記録!$D3="欠食"),1,0)</f>
        <v>0</v>
      </c>
      <c r="G3" s="0" t="str">
        <f aca="false">IF(F3=1,SUM($F$2:F3),"")</f>
        <v/>
      </c>
      <c r="H3" s="0" t="n">
        <f aca="false">IF(AND(食数記録!$A3=プレビュー!$C$3,食数記録!$B3="朝",食数記録!$F3="女性入所",食数記録!$D3="欠食"),1,0)</f>
        <v>1</v>
      </c>
      <c r="I3" s="0" t="n">
        <f aca="false">IF(H3=1,SUM($H$2:H3),"")</f>
        <v>1</v>
      </c>
      <c r="J3" s="0" t="n">
        <f aca="false">IF(AND(食数記録!$A3=プレビュー!$C$3,食数記録!$B3="昼",食数記録!$F3="女性入所",食数記録!$D3="欠食"),1,0)</f>
        <v>0</v>
      </c>
      <c r="K3" s="0" t="str">
        <f aca="false">IF(J3=1,SUM($J$2:J3),"")</f>
        <v/>
      </c>
      <c r="L3" s="0" t="n">
        <f aca="false">IF(AND(食数記録!$A3=プレビュー!$C$3,食数記録!$B3="夕",食数記録!$F3="女性入所",食数記録!$D3="欠食"),1,0)</f>
        <v>0</v>
      </c>
      <c r="M3" s="0" t="str">
        <f aca="false">IF(L3=1,SUM($L$2:L3),"")</f>
        <v/>
      </c>
      <c r="N3" s="0" t="n">
        <f aca="false">IF(AND(食数記録!$A3=プレビュー!$C$3,食数記録!$B3="朝",食数記録!$F3="男性GH",食数記録!$D3="臨時喫食"),1,0)</f>
        <v>0</v>
      </c>
      <c r="O3" s="0" t="str">
        <f aca="false">IF(N3=1,SUM($N$2:N3),"")</f>
        <v/>
      </c>
      <c r="P3" s="0" t="n">
        <f aca="false">IF(AND(食数記録!$A3=プレビュー!$C$3,食数記録!$B3="昼",食数記録!$F3="男性GH",食数記録!$D3="臨時喫食"),1,0)</f>
        <v>0</v>
      </c>
      <c r="Q3" s="0" t="str">
        <f aca="false">IF(P3=1,SUM($P$2:P3),"")</f>
        <v/>
      </c>
      <c r="R3" s="0" t="n">
        <f aca="false">IF(AND(食数記録!$A3=プレビュー!$C$3,食数記録!$B3="夕",食数記録!$F3="男性GH",食数記録!$D3="臨時喫食"),1,0)</f>
        <v>0</v>
      </c>
      <c r="S3" s="0" t="str">
        <f aca="false">IF(R3=1,SUM($R$2:R3),"")</f>
        <v/>
      </c>
      <c r="T3" s="0" t="n">
        <f aca="false">IF(AND(食数記録!$A3=プレビュー!$C$3,食数記録!$B3="朝",食数記録!$F3="女性GH",食数記録!$D3="臨時喫食"),1,0)</f>
        <v>0</v>
      </c>
      <c r="U3" s="0" t="str">
        <f aca="false">IF(T3=1,SUM($T$2:T3),"")</f>
        <v/>
      </c>
      <c r="V3" s="0" t="n">
        <f aca="false">IF(AND(食数記録!$A3=プレビュー!$C$3,食数記録!$B3="昼",食数記録!$F3="女性GH",食数記録!$D3="臨時喫食"),1,0)</f>
        <v>0</v>
      </c>
      <c r="W3" s="0" t="str">
        <f aca="false">IF(V3=1,SUM($V$2:V3),"")</f>
        <v/>
      </c>
      <c r="X3" s="0" t="n">
        <f aca="false">IF(AND(食数記録!$A3=プレビュー!$C$3,食数記録!$B3="夕",食数記録!$F3="女性GH",食数記録!$D3="臨時喫食"),1,0)</f>
        <v>0</v>
      </c>
      <c r="Y3" s="0" t="str">
        <f aca="false">IF(X3=1,SUM($X$2:X3),"")</f>
        <v/>
      </c>
    </row>
    <row r="4" customFormat="false" ht="15" hidden="false" customHeight="false" outlineLevel="0" collapsed="false">
      <c r="B4" s="0" t="n">
        <f aca="false">IF(AND(食数記録!$A4=プレビュー!$C$3,食数記録!$B4="朝",食数記録!$F4="男性入所",食数記録!$D4="欠食"),1,0)</f>
        <v>0</v>
      </c>
      <c r="C4" s="0" t="str">
        <f aca="false">IF(B4=1,SUM($B$2:B4),"")</f>
        <v/>
      </c>
      <c r="D4" s="0" t="n">
        <f aca="false">IF(AND(食数記録!$A4=プレビュー!$C$3,食数記録!$B4="昼",食数記録!$F4="男性入所",食数記録!$D4="欠食"),1,0)</f>
        <v>0</v>
      </c>
      <c r="E4" s="0" t="str">
        <f aca="false">IF(D4=1,SUM($D$2:D4),"")</f>
        <v/>
      </c>
      <c r="F4" s="0" t="n">
        <f aca="false">IF(AND(食数記録!$A4=プレビュー!$C$3,食数記録!$B4="夕",食数記録!$F4="男性入所",食数記録!$D4="欠食"),1,0)</f>
        <v>0</v>
      </c>
      <c r="G4" s="0" t="str">
        <f aca="false">IF(F4=1,SUM($F$2:F4),"")</f>
        <v/>
      </c>
      <c r="H4" s="0" t="n">
        <f aca="false">IF(AND(食数記録!$A4=プレビュー!$C$3,食数記録!$B4="朝",食数記録!$F4="女性入所",食数記録!$D4="欠食"),1,0)</f>
        <v>0</v>
      </c>
      <c r="I4" s="0" t="str">
        <f aca="false">IF(H4=1,SUM($H$2:H4),"")</f>
        <v/>
      </c>
      <c r="J4" s="0" t="n">
        <f aca="false">IF(AND(食数記録!$A4=プレビュー!$C$3,食数記録!$B4="昼",食数記録!$F4="女性入所",食数記録!$D4="欠食"),1,0)</f>
        <v>0</v>
      </c>
      <c r="K4" s="0" t="str">
        <f aca="false">IF(J4=1,SUM($J$2:J4),"")</f>
        <v/>
      </c>
      <c r="L4" s="0" t="n">
        <f aca="false">IF(AND(食数記録!$A4=プレビュー!$C$3,食数記録!$B4="夕",食数記録!$F4="女性入所",食数記録!$D4="欠食"),1,0)</f>
        <v>0</v>
      </c>
      <c r="M4" s="0" t="str">
        <f aca="false">IF(L4=1,SUM($L$2:L4),"")</f>
        <v/>
      </c>
      <c r="N4" s="0" t="n">
        <f aca="false">IF(AND(食数記録!$A4=プレビュー!$C$3,食数記録!$B4="朝",食数記録!$F4="男性GH",食数記録!$D4="臨時喫食"),1,0)</f>
        <v>0</v>
      </c>
      <c r="O4" s="0" t="str">
        <f aca="false">IF(N4=1,SUM($N$2:N4),"")</f>
        <v/>
      </c>
      <c r="P4" s="0" t="n">
        <f aca="false">IF(AND(食数記録!$A4=プレビュー!$C$3,食数記録!$B4="昼",食数記録!$F4="男性GH",食数記録!$D4="臨時喫食"),1,0)</f>
        <v>0</v>
      </c>
      <c r="Q4" s="0" t="str">
        <f aca="false">IF(P4=1,SUM($P$2:P4),"")</f>
        <v/>
      </c>
      <c r="R4" s="0" t="n">
        <f aca="false">IF(AND(食数記録!$A4=プレビュー!$C$3,食数記録!$B4="夕",食数記録!$F4="男性GH",食数記録!$D4="臨時喫食"),1,0)</f>
        <v>0</v>
      </c>
      <c r="S4" s="0" t="str">
        <f aca="false">IF(R4=1,SUM($R$2:R4),"")</f>
        <v/>
      </c>
      <c r="T4" s="0" t="n">
        <f aca="false">IF(AND(食数記録!$A4=プレビュー!$C$3,食数記録!$B4="朝",食数記録!$F4="女性GH",食数記録!$D4="臨時喫食"),1,0)</f>
        <v>0</v>
      </c>
      <c r="U4" s="0" t="str">
        <f aca="false">IF(T4=1,SUM($T$2:T4),"")</f>
        <v/>
      </c>
      <c r="V4" s="0" t="n">
        <f aca="false">IF(AND(食数記録!$A4=プレビュー!$C$3,食数記録!$B4="昼",食数記録!$F4="女性GH",食数記録!$D4="臨時喫食"),1,0)</f>
        <v>0</v>
      </c>
      <c r="W4" s="0" t="str">
        <f aca="false">IF(V4=1,SUM($V$2:V4),"")</f>
        <v/>
      </c>
      <c r="X4" s="0" t="n">
        <f aca="false">IF(AND(食数記録!$A4=プレビュー!$C$3,食数記録!$B4="夕",食数記録!$F4="女性GH",食数記録!$D4="臨時喫食"),1,0)</f>
        <v>0</v>
      </c>
      <c r="Y4" s="0" t="str">
        <f aca="false">IF(X4=1,SUM($X$2:X4),"")</f>
        <v/>
      </c>
    </row>
    <row r="5" customFormat="false" ht="15" hidden="false" customHeight="false" outlineLevel="0" collapsed="false">
      <c r="B5" s="0" t="n">
        <f aca="false">IF(AND(食数記録!$A5=プレビュー!$C$3,食数記録!$B5="朝",食数記録!$F5="男性入所",食数記録!$D5="欠食"),1,0)</f>
        <v>0</v>
      </c>
      <c r="C5" s="0" t="str">
        <f aca="false">IF(B5=1,SUM($B$2:B5),"")</f>
        <v/>
      </c>
      <c r="D5" s="0" t="n">
        <f aca="false">IF(AND(食数記録!$A5=プレビュー!$C$3,食数記録!$B5="昼",食数記録!$F5="男性入所",食数記録!$D5="欠食"),1,0)</f>
        <v>0</v>
      </c>
      <c r="E5" s="0" t="str">
        <f aca="false">IF(D5=1,SUM($D$2:D5),"")</f>
        <v/>
      </c>
      <c r="F5" s="0" t="n">
        <f aca="false">IF(AND(食数記録!$A5=プレビュー!$C$3,食数記録!$B5="夕",食数記録!$F5="男性入所",食数記録!$D5="欠食"),1,0)</f>
        <v>0</v>
      </c>
      <c r="G5" s="0" t="str">
        <f aca="false">IF(F5=1,SUM($F$2:F5),"")</f>
        <v/>
      </c>
      <c r="H5" s="0" t="n">
        <f aca="false">IF(AND(食数記録!$A5=プレビュー!$C$3,食数記録!$B5="朝",食数記録!$F5="女性入所",食数記録!$D5="欠食"),1,0)</f>
        <v>0</v>
      </c>
      <c r="I5" s="0" t="str">
        <f aca="false">IF(H5=1,SUM($H$2:H5),"")</f>
        <v/>
      </c>
      <c r="J5" s="0" t="n">
        <f aca="false">IF(AND(食数記録!$A5=プレビュー!$C$3,食数記録!$B5="昼",食数記録!$F5="女性入所",食数記録!$D5="欠食"),1,0)</f>
        <v>0</v>
      </c>
      <c r="K5" s="0" t="str">
        <f aca="false">IF(J5=1,SUM($J$2:J5),"")</f>
        <v/>
      </c>
      <c r="L5" s="0" t="n">
        <f aca="false">IF(AND(食数記録!$A5=プレビュー!$C$3,食数記録!$B5="夕",食数記録!$F5="女性入所",食数記録!$D5="欠食"),1,0)</f>
        <v>0</v>
      </c>
      <c r="M5" s="0" t="str">
        <f aca="false">IF(L5=1,SUM($L$2:L5),"")</f>
        <v/>
      </c>
      <c r="N5" s="0" t="n">
        <f aca="false">IF(AND(食数記録!$A5=プレビュー!$C$3,食数記録!$B5="朝",食数記録!$F5="男性GH",食数記録!$D5="臨時喫食"),1,0)</f>
        <v>0</v>
      </c>
      <c r="O5" s="0" t="str">
        <f aca="false">IF(N5=1,SUM($N$2:N5),"")</f>
        <v/>
      </c>
      <c r="P5" s="0" t="n">
        <f aca="false">IF(AND(食数記録!$A5=プレビュー!$C$3,食数記録!$B5="昼",食数記録!$F5="男性GH",食数記録!$D5="臨時喫食"),1,0)</f>
        <v>0</v>
      </c>
      <c r="Q5" s="0" t="str">
        <f aca="false">IF(P5=1,SUM($P$2:P5),"")</f>
        <v/>
      </c>
      <c r="R5" s="0" t="n">
        <f aca="false">IF(AND(食数記録!$A5=プレビュー!$C$3,食数記録!$B5="夕",食数記録!$F5="男性GH",食数記録!$D5="臨時喫食"),1,0)</f>
        <v>0</v>
      </c>
      <c r="S5" s="0" t="str">
        <f aca="false">IF(R5=1,SUM($R$2:R5),"")</f>
        <v/>
      </c>
      <c r="T5" s="0" t="n">
        <f aca="false">IF(AND(食数記録!$A5=プレビュー!$C$3,食数記録!$B5="朝",食数記録!$F5="女性GH",食数記録!$D5="臨時喫食"),1,0)</f>
        <v>0</v>
      </c>
      <c r="U5" s="0" t="str">
        <f aca="false">IF(T5=1,SUM($T$2:T5),"")</f>
        <v/>
      </c>
      <c r="V5" s="0" t="n">
        <f aca="false">IF(AND(食数記録!$A5=プレビュー!$C$3,食数記録!$B5="昼",食数記録!$F5="女性GH",食数記録!$D5="臨時喫食"),1,0)</f>
        <v>0</v>
      </c>
      <c r="W5" s="0" t="str">
        <f aca="false">IF(V5=1,SUM($V$2:V5),"")</f>
        <v/>
      </c>
      <c r="X5" s="0" t="n">
        <f aca="false">IF(AND(食数記録!$A5=プレビュー!$C$3,食数記録!$B5="夕",食数記録!$F5="女性GH",食数記録!$D5="臨時喫食"),1,0)</f>
        <v>0</v>
      </c>
      <c r="Y5" s="0" t="str">
        <f aca="false">IF(X5=1,SUM($X$2:X5),"")</f>
        <v/>
      </c>
    </row>
    <row r="6" customFormat="false" ht="15" hidden="false" customHeight="false" outlineLevel="0" collapsed="false">
      <c r="B6" s="0" t="n">
        <f aca="false">IF(AND(食数記録!$A6=プレビュー!$C$3,食数記録!$B6="朝",食数記録!$F6="男性入所",食数記録!$D6="欠食"),1,0)</f>
        <v>0</v>
      </c>
      <c r="C6" s="0" t="str">
        <f aca="false">IF(B6=1,SUM($B$2:B6),"")</f>
        <v/>
      </c>
      <c r="D6" s="0" t="n">
        <f aca="false">IF(AND(食数記録!$A6=プレビュー!$C$3,食数記録!$B6="昼",食数記録!$F6="男性入所",食数記録!$D6="欠食"),1,0)</f>
        <v>0</v>
      </c>
      <c r="E6" s="0" t="str">
        <f aca="false">IF(D6=1,SUM($D$2:D6),"")</f>
        <v/>
      </c>
      <c r="F6" s="0" t="n">
        <f aca="false">IF(AND(食数記録!$A6=プレビュー!$C$3,食数記録!$B6="夕",食数記録!$F6="男性入所",食数記録!$D6="欠食"),1,0)</f>
        <v>0</v>
      </c>
      <c r="G6" s="0" t="str">
        <f aca="false">IF(F6=1,SUM($F$2:F6),"")</f>
        <v/>
      </c>
      <c r="H6" s="0" t="n">
        <f aca="false">IF(AND(食数記録!$A6=プレビュー!$C$3,食数記録!$B6="朝",食数記録!$F6="女性入所",食数記録!$D6="欠食"),1,0)</f>
        <v>0</v>
      </c>
      <c r="I6" s="0" t="str">
        <f aca="false">IF(H6=1,SUM($H$2:H6),"")</f>
        <v/>
      </c>
      <c r="J6" s="0" t="n">
        <f aca="false">IF(AND(食数記録!$A6=プレビュー!$C$3,食数記録!$B6="昼",食数記録!$F6="女性入所",食数記録!$D6="欠食"),1,0)</f>
        <v>0</v>
      </c>
      <c r="K6" s="0" t="str">
        <f aca="false">IF(J6=1,SUM($J$2:J6),"")</f>
        <v/>
      </c>
      <c r="L6" s="0" t="n">
        <f aca="false">IF(AND(食数記録!$A6=プレビュー!$C$3,食数記録!$B6="夕",食数記録!$F6="女性入所",食数記録!$D6="欠食"),1,0)</f>
        <v>0</v>
      </c>
      <c r="M6" s="0" t="str">
        <f aca="false">IF(L6=1,SUM($L$2:L6),"")</f>
        <v/>
      </c>
      <c r="N6" s="0" t="n">
        <f aca="false">IF(AND(食数記録!$A6=プレビュー!$C$3,食数記録!$B6="朝",食数記録!$F6="男性GH",食数記録!$D6="臨時喫食"),1,0)</f>
        <v>0</v>
      </c>
      <c r="O6" s="0" t="str">
        <f aca="false">IF(N6=1,SUM($N$2:N6),"")</f>
        <v/>
      </c>
      <c r="P6" s="0" t="n">
        <f aca="false">IF(AND(食数記録!$A6=プレビュー!$C$3,食数記録!$B6="昼",食数記録!$F6="男性GH",食数記録!$D6="臨時喫食"),1,0)</f>
        <v>0</v>
      </c>
      <c r="Q6" s="0" t="str">
        <f aca="false">IF(P6=1,SUM($P$2:P6),"")</f>
        <v/>
      </c>
      <c r="R6" s="0" t="n">
        <f aca="false">IF(AND(食数記録!$A6=プレビュー!$C$3,食数記録!$B6="夕",食数記録!$F6="男性GH",食数記録!$D6="臨時喫食"),1,0)</f>
        <v>0</v>
      </c>
      <c r="S6" s="0" t="str">
        <f aca="false">IF(R6=1,SUM($R$2:R6),"")</f>
        <v/>
      </c>
      <c r="T6" s="0" t="n">
        <f aca="false">IF(AND(食数記録!$A6=プレビュー!$C$3,食数記録!$B6="朝",食数記録!$F6="女性GH",食数記録!$D6="臨時喫食"),1,0)</f>
        <v>0</v>
      </c>
      <c r="U6" s="0" t="str">
        <f aca="false">IF(T6=1,SUM($T$2:T6),"")</f>
        <v/>
      </c>
      <c r="V6" s="0" t="n">
        <f aca="false">IF(AND(食数記録!$A6=プレビュー!$C$3,食数記録!$B6="昼",食数記録!$F6="女性GH",食数記録!$D6="臨時喫食"),1,0)</f>
        <v>0</v>
      </c>
      <c r="W6" s="0" t="str">
        <f aca="false">IF(V6=1,SUM($V$2:V6),"")</f>
        <v/>
      </c>
      <c r="X6" s="0" t="n">
        <f aca="false">IF(AND(食数記録!$A6=プレビュー!$C$3,食数記録!$B6="夕",食数記録!$F6="女性GH",食数記録!$D6="臨時喫食"),1,0)</f>
        <v>0</v>
      </c>
      <c r="Y6" s="0" t="str">
        <f aca="false">IF(X6=1,SUM($X$2:X6),"")</f>
        <v/>
      </c>
    </row>
    <row r="7" customFormat="false" ht="15" hidden="false" customHeight="false" outlineLevel="0" collapsed="false">
      <c r="B7" s="0" t="n">
        <f aca="false">IF(AND(食数記録!$A7=プレビュー!$C$3,食数記録!$B7="朝",食数記録!$F7="男性入所",食数記録!$D7="欠食"),1,0)</f>
        <v>0</v>
      </c>
      <c r="C7" s="0" t="str">
        <f aca="false">IF(B7=1,SUM($B$2:B7),"")</f>
        <v/>
      </c>
      <c r="D7" s="0" t="n">
        <f aca="false">IF(AND(食数記録!$A7=プレビュー!$C$3,食数記録!$B7="昼",食数記録!$F7="男性入所",食数記録!$D7="欠食"),1,0)</f>
        <v>0</v>
      </c>
      <c r="E7" s="0" t="str">
        <f aca="false">IF(D7=1,SUM($D$2:D7),"")</f>
        <v/>
      </c>
      <c r="F7" s="0" t="n">
        <f aca="false">IF(AND(食数記録!$A7=プレビュー!$C$3,食数記録!$B7="夕",食数記録!$F7="男性入所",食数記録!$D7="欠食"),1,0)</f>
        <v>0</v>
      </c>
      <c r="G7" s="0" t="str">
        <f aca="false">IF(F7=1,SUM($F$2:F7),"")</f>
        <v/>
      </c>
      <c r="H7" s="0" t="n">
        <f aca="false">IF(AND(食数記録!$A7=プレビュー!$C$3,食数記録!$B7="朝",食数記録!$F7="女性入所",食数記録!$D7="欠食"),1,0)</f>
        <v>0</v>
      </c>
      <c r="I7" s="0" t="str">
        <f aca="false">IF(H7=1,SUM($H$2:H7),"")</f>
        <v/>
      </c>
      <c r="J7" s="0" t="n">
        <f aca="false">IF(AND(食数記録!$A7=プレビュー!$C$3,食数記録!$B7="昼",食数記録!$F7="女性入所",食数記録!$D7="欠食"),1,0)</f>
        <v>0</v>
      </c>
      <c r="K7" s="0" t="str">
        <f aca="false">IF(J7=1,SUM($J$2:J7),"")</f>
        <v/>
      </c>
      <c r="L7" s="0" t="n">
        <f aca="false">IF(AND(食数記録!$A7=プレビュー!$C$3,食数記録!$B7="夕",食数記録!$F7="女性入所",食数記録!$D7="欠食"),1,0)</f>
        <v>0</v>
      </c>
      <c r="M7" s="0" t="str">
        <f aca="false">IF(L7=1,SUM($L$2:L7),"")</f>
        <v/>
      </c>
      <c r="N7" s="0" t="n">
        <f aca="false">IF(AND(食数記録!$A7=プレビュー!$C$3,食数記録!$B7="朝",食数記録!$F7="男性GH",食数記録!$D7="臨時喫食"),1,0)</f>
        <v>0</v>
      </c>
      <c r="O7" s="0" t="str">
        <f aca="false">IF(N7=1,SUM($N$2:N7),"")</f>
        <v/>
      </c>
      <c r="P7" s="0" t="n">
        <f aca="false">IF(AND(食数記録!$A7=プレビュー!$C$3,食数記録!$B7="昼",食数記録!$F7="男性GH",食数記録!$D7="臨時喫食"),1,0)</f>
        <v>0</v>
      </c>
      <c r="Q7" s="0" t="str">
        <f aca="false">IF(P7=1,SUM($P$2:P7),"")</f>
        <v/>
      </c>
      <c r="R7" s="0" t="n">
        <f aca="false">IF(AND(食数記録!$A7=プレビュー!$C$3,食数記録!$B7="夕",食数記録!$F7="男性GH",食数記録!$D7="臨時喫食"),1,0)</f>
        <v>0</v>
      </c>
      <c r="S7" s="0" t="str">
        <f aca="false">IF(R7=1,SUM($R$2:R7),"")</f>
        <v/>
      </c>
      <c r="T7" s="0" t="n">
        <f aca="false">IF(AND(食数記録!$A7=プレビュー!$C$3,食数記録!$B7="朝",食数記録!$F7="女性GH",食数記録!$D7="臨時喫食"),1,0)</f>
        <v>0</v>
      </c>
      <c r="U7" s="0" t="str">
        <f aca="false">IF(T7=1,SUM($T$2:T7),"")</f>
        <v/>
      </c>
      <c r="V7" s="0" t="n">
        <f aca="false">IF(AND(食数記録!$A7=プレビュー!$C$3,食数記録!$B7="昼",食数記録!$F7="女性GH",食数記録!$D7="臨時喫食"),1,0)</f>
        <v>0</v>
      </c>
      <c r="W7" s="0" t="str">
        <f aca="false">IF(V7=1,SUM($V$2:V7),"")</f>
        <v/>
      </c>
      <c r="X7" s="0" t="n">
        <f aca="false">IF(AND(食数記録!$A7=プレビュー!$C$3,食数記録!$B7="夕",食数記録!$F7="女性GH",食数記録!$D7="臨時喫食"),1,0)</f>
        <v>0</v>
      </c>
      <c r="Y7" s="0" t="str">
        <f aca="false">IF(X7=1,SUM($X$2:X7),"")</f>
        <v/>
      </c>
    </row>
    <row r="8" customFormat="false" ht="15" hidden="false" customHeight="false" outlineLevel="0" collapsed="false">
      <c r="B8" s="0" t="n">
        <f aca="false">IF(AND(食数記録!$A8=プレビュー!$C$3,食数記録!$B8="朝",食数記録!$F8="男性入所",食数記録!$D8="欠食"),1,0)</f>
        <v>0</v>
      </c>
      <c r="C8" s="0" t="str">
        <f aca="false">IF(B8=1,SUM($B$2:B8),"")</f>
        <v/>
      </c>
      <c r="D8" s="0" t="n">
        <f aca="false">IF(AND(食数記録!$A8=プレビュー!$C$3,食数記録!$B8="昼",食数記録!$F8="男性入所",食数記録!$D8="欠食"),1,0)</f>
        <v>0</v>
      </c>
      <c r="E8" s="0" t="str">
        <f aca="false">IF(D8=1,SUM($D$2:D8),"")</f>
        <v/>
      </c>
      <c r="F8" s="0" t="n">
        <f aca="false">IF(AND(食数記録!$A8=プレビュー!$C$3,食数記録!$B8="夕",食数記録!$F8="男性入所",食数記録!$D8="欠食"),1,0)</f>
        <v>0</v>
      </c>
      <c r="G8" s="0" t="str">
        <f aca="false">IF(F8=1,SUM($F$2:F8),"")</f>
        <v/>
      </c>
      <c r="H8" s="0" t="n">
        <f aca="false">IF(AND(食数記録!$A8=プレビュー!$C$3,食数記録!$B8="朝",食数記録!$F8="女性入所",食数記録!$D8="欠食"),1,0)</f>
        <v>0</v>
      </c>
      <c r="I8" s="0" t="str">
        <f aca="false">IF(H8=1,SUM($H$2:H8),"")</f>
        <v/>
      </c>
      <c r="J8" s="0" t="n">
        <f aca="false">IF(AND(食数記録!$A8=プレビュー!$C$3,食数記録!$B8="昼",食数記録!$F8="女性入所",食数記録!$D8="欠食"),1,0)</f>
        <v>0</v>
      </c>
      <c r="K8" s="0" t="str">
        <f aca="false">IF(J8=1,SUM($J$2:J8),"")</f>
        <v/>
      </c>
      <c r="L8" s="0" t="n">
        <f aca="false">IF(AND(食数記録!$A8=プレビュー!$C$3,食数記録!$B8="夕",食数記録!$F8="女性入所",食数記録!$D8="欠食"),1,0)</f>
        <v>0</v>
      </c>
      <c r="M8" s="0" t="str">
        <f aca="false">IF(L8=1,SUM($L$2:L8),"")</f>
        <v/>
      </c>
      <c r="N8" s="0" t="n">
        <f aca="false">IF(AND(食数記録!$A8=プレビュー!$C$3,食数記録!$B8="朝",食数記録!$F8="男性GH",食数記録!$D8="臨時喫食"),1,0)</f>
        <v>0</v>
      </c>
      <c r="O8" s="0" t="str">
        <f aca="false">IF(N8=1,SUM($N$2:N8),"")</f>
        <v/>
      </c>
      <c r="P8" s="0" t="n">
        <f aca="false">IF(AND(食数記録!$A8=プレビュー!$C$3,食数記録!$B8="昼",食数記録!$F8="男性GH",食数記録!$D8="臨時喫食"),1,0)</f>
        <v>0</v>
      </c>
      <c r="Q8" s="0" t="str">
        <f aca="false">IF(P8=1,SUM($P$2:P8),"")</f>
        <v/>
      </c>
      <c r="R8" s="0" t="n">
        <f aca="false">IF(AND(食数記録!$A8=プレビュー!$C$3,食数記録!$B8="夕",食数記録!$F8="男性GH",食数記録!$D8="臨時喫食"),1,0)</f>
        <v>0</v>
      </c>
      <c r="S8" s="0" t="str">
        <f aca="false">IF(R8=1,SUM($R$2:R8),"")</f>
        <v/>
      </c>
      <c r="T8" s="0" t="n">
        <f aca="false">IF(AND(食数記録!$A8=プレビュー!$C$3,食数記録!$B8="朝",食数記録!$F8="女性GH",食数記録!$D8="臨時喫食"),1,0)</f>
        <v>0</v>
      </c>
      <c r="U8" s="0" t="str">
        <f aca="false">IF(T8=1,SUM($T$2:T8),"")</f>
        <v/>
      </c>
      <c r="V8" s="0" t="n">
        <f aca="false">IF(AND(食数記録!$A8=プレビュー!$C$3,食数記録!$B8="昼",食数記録!$F8="女性GH",食数記録!$D8="臨時喫食"),1,0)</f>
        <v>0</v>
      </c>
      <c r="W8" s="0" t="str">
        <f aca="false">IF(V8=1,SUM($V$2:V8),"")</f>
        <v/>
      </c>
      <c r="X8" s="0" t="n">
        <f aca="false">IF(AND(食数記録!$A8=プレビュー!$C$3,食数記録!$B8="夕",食数記録!$F8="女性GH",食数記録!$D8="臨時喫食"),1,0)</f>
        <v>0</v>
      </c>
      <c r="Y8" s="0" t="str">
        <f aca="false">IF(X8=1,SUM($X$2:X8),"")</f>
        <v/>
      </c>
    </row>
    <row r="9" customFormat="false" ht="15" hidden="false" customHeight="false" outlineLevel="0" collapsed="false">
      <c r="B9" s="0" t="n">
        <f aca="false">IF(AND(食数記録!$A9=プレビュー!$C$3,食数記録!$B9="朝",食数記録!$F9="男性入所",食数記録!$D9="欠食"),1,0)</f>
        <v>0</v>
      </c>
      <c r="C9" s="0" t="str">
        <f aca="false">IF(B9=1,SUM($B$2:B9),"")</f>
        <v/>
      </c>
      <c r="D9" s="0" t="n">
        <f aca="false">IF(AND(食数記録!$A9=プレビュー!$C$3,食数記録!$B9="昼",食数記録!$F9="男性入所",食数記録!$D9="欠食"),1,0)</f>
        <v>0</v>
      </c>
      <c r="E9" s="0" t="str">
        <f aca="false">IF(D9=1,SUM($D$2:D9),"")</f>
        <v/>
      </c>
      <c r="F9" s="0" t="n">
        <f aca="false">IF(AND(食数記録!$A9=プレビュー!$C$3,食数記録!$B9="夕",食数記録!$F9="男性入所",食数記録!$D9="欠食"),1,0)</f>
        <v>0</v>
      </c>
      <c r="G9" s="0" t="str">
        <f aca="false">IF(F9=1,SUM($F$2:F9),"")</f>
        <v/>
      </c>
      <c r="H9" s="0" t="n">
        <f aca="false">IF(AND(食数記録!$A9=プレビュー!$C$3,食数記録!$B9="朝",食数記録!$F9="女性入所",食数記録!$D9="欠食"),1,0)</f>
        <v>0</v>
      </c>
      <c r="I9" s="0" t="str">
        <f aca="false">IF(H9=1,SUM($H$2:H9),"")</f>
        <v/>
      </c>
      <c r="J9" s="0" t="n">
        <f aca="false">IF(AND(食数記録!$A9=プレビュー!$C$3,食数記録!$B9="昼",食数記録!$F9="女性入所",食数記録!$D9="欠食"),1,0)</f>
        <v>0</v>
      </c>
      <c r="K9" s="0" t="str">
        <f aca="false">IF(J9=1,SUM($J$2:J9),"")</f>
        <v/>
      </c>
      <c r="L9" s="0" t="n">
        <f aca="false">IF(AND(食数記録!$A9=プレビュー!$C$3,食数記録!$B9="夕",食数記録!$F9="女性入所",食数記録!$D9="欠食"),1,0)</f>
        <v>0</v>
      </c>
      <c r="M9" s="0" t="str">
        <f aca="false">IF(L9=1,SUM($L$2:L9),"")</f>
        <v/>
      </c>
      <c r="N9" s="0" t="n">
        <f aca="false">IF(AND(食数記録!$A9=プレビュー!$C$3,食数記録!$B9="朝",食数記録!$F9="男性GH",食数記録!$D9="臨時喫食"),1,0)</f>
        <v>0</v>
      </c>
      <c r="O9" s="0" t="str">
        <f aca="false">IF(N9=1,SUM($N$2:N9),"")</f>
        <v/>
      </c>
      <c r="P9" s="0" t="n">
        <f aca="false">IF(AND(食数記録!$A9=プレビュー!$C$3,食数記録!$B9="昼",食数記録!$F9="男性GH",食数記録!$D9="臨時喫食"),1,0)</f>
        <v>0</v>
      </c>
      <c r="Q9" s="0" t="str">
        <f aca="false">IF(P9=1,SUM($P$2:P9),"")</f>
        <v/>
      </c>
      <c r="R9" s="0" t="n">
        <f aca="false">IF(AND(食数記録!$A9=プレビュー!$C$3,食数記録!$B9="夕",食数記録!$F9="男性GH",食数記録!$D9="臨時喫食"),1,0)</f>
        <v>0</v>
      </c>
      <c r="S9" s="0" t="str">
        <f aca="false">IF(R9=1,SUM($R$2:R9),"")</f>
        <v/>
      </c>
      <c r="T9" s="0" t="n">
        <f aca="false">IF(AND(食数記録!$A9=プレビュー!$C$3,食数記録!$B9="朝",食数記録!$F9="女性GH",食数記録!$D9="臨時喫食"),1,0)</f>
        <v>0</v>
      </c>
      <c r="U9" s="0" t="str">
        <f aca="false">IF(T9=1,SUM($T$2:T9),"")</f>
        <v/>
      </c>
      <c r="V9" s="0" t="n">
        <f aca="false">IF(AND(食数記録!$A9=プレビュー!$C$3,食数記録!$B9="昼",食数記録!$F9="女性GH",食数記録!$D9="臨時喫食"),1,0)</f>
        <v>0</v>
      </c>
      <c r="W9" s="0" t="str">
        <f aca="false">IF(V9=1,SUM($V$2:V9),"")</f>
        <v/>
      </c>
      <c r="X9" s="0" t="n">
        <f aca="false">IF(AND(食数記録!$A9=プレビュー!$C$3,食数記録!$B9="夕",食数記録!$F9="女性GH",食数記録!$D9="臨時喫食"),1,0)</f>
        <v>0</v>
      </c>
      <c r="Y9" s="0" t="str">
        <f aca="false">IF(X9=1,SUM($X$2:X9),"")</f>
        <v/>
      </c>
    </row>
    <row r="10" customFormat="false" ht="15" hidden="false" customHeight="false" outlineLevel="0" collapsed="false">
      <c r="B10" s="0" t="n">
        <f aca="false">IF(AND(食数記録!$A10=プレビュー!$C$3,食数記録!$B10="朝",食数記録!$F10="男性入所",食数記録!$D10="欠食"),1,0)</f>
        <v>0</v>
      </c>
      <c r="C10" s="0" t="str">
        <f aca="false">IF(B10=1,SUM($B$2:B10),"")</f>
        <v/>
      </c>
      <c r="D10" s="0" t="n">
        <f aca="false">IF(AND(食数記録!$A10=プレビュー!$C$3,食数記録!$B10="昼",食数記録!$F10="男性入所",食数記録!$D10="欠食"),1,0)</f>
        <v>0</v>
      </c>
      <c r="E10" s="0" t="str">
        <f aca="false">IF(D10=1,SUM($D$2:D10),"")</f>
        <v/>
      </c>
      <c r="F10" s="0" t="n">
        <f aca="false">IF(AND(食数記録!$A10=プレビュー!$C$3,食数記録!$B10="夕",食数記録!$F10="男性入所",食数記録!$D10="欠食"),1,0)</f>
        <v>0</v>
      </c>
      <c r="G10" s="0" t="str">
        <f aca="false">IF(F10=1,SUM($F$2:F10),"")</f>
        <v/>
      </c>
      <c r="H10" s="0" t="n">
        <f aca="false">IF(AND(食数記録!$A10=プレビュー!$C$3,食数記録!$B10="朝",食数記録!$F10="女性入所",食数記録!$D10="欠食"),1,0)</f>
        <v>0</v>
      </c>
      <c r="I10" s="0" t="str">
        <f aca="false">IF(H10=1,SUM($H$2:H10),"")</f>
        <v/>
      </c>
      <c r="J10" s="0" t="n">
        <f aca="false">IF(AND(食数記録!$A10=プレビュー!$C$3,食数記録!$B10="昼",食数記録!$F10="女性入所",食数記録!$D10="欠食"),1,0)</f>
        <v>0</v>
      </c>
      <c r="K10" s="0" t="str">
        <f aca="false">IF(J10=1,SUM($J$2:J10),"")</f>
        <v/>
      </c>
      <c r="L10" s="0" t="n">
        <f aca="false">IF(AND(食数記録!$A10=プレビュー!$C$3,食数記録!$B10="夕",食数記録!$F10="女性入所",食数記録!$D10="欠食"),1,0)</f>
        <v>0</v>
      </c>
      <c r="M10" s="0" t="str">
        <f aca="false">IF(L10=1,SUM($L$2:L10),"")</f>
        <v/>
      </c>
      <c r="N10" s="0" t="n">
        <f aca="false">IF(AND(食数記録!$A10=プレビュー!$C$3,食数記録!$B10="朝",食数記録!$F10="男性GH",食数記録!$D10="臨時喫食"),1,0)</f>
        <v>0</v>
      </c>
      <c r="O10" s="0" t="str">
        <f aca="false">IF(N10=1,SUM($N$2:N10),"")</f>
        <v/>
      </c>
      <c r="P10" s="0" t="n">
        <f aca="false">IF(AND(食数記録!$A10=プレビュー!$C$3,食数記録!$B10="昼",食数記録!$F10="男性GH",食数記録!$D10="臨時喫食"),1,0)</f>
        <v>0</v>
      </c>
      <c r="Q10" s="0" t="str">
        <f aca="false">IF(P10=1,SUM($P$2:P10),"")</f>
        <v/>
      </c>
      <c r="R10" s="0" t="n">
        <f aca="false">IF(AND(食数記録!$A10=プレビュー!$C$3,食数記録!$B10="夕",食数記録!$F10="男性GH",食数記録!$D10="臨時喫食"),1,0)</f>
        <v>0</v>
      </c>
      <c r="S10" s="0" t="str">
        <f aca="false">IF(R10=1,SUM($R$2:R10),"")</f>
        <v/>
      </c>
      <c r="T10" s="0" t="n">
        <f aca="false">IF(AND(食数記録!$A10=プレビュー!$C$3,食数記録!$B10="朝",食数記録!$F10="女性GH",食数記録!$D10="臨時喫食"),1,0)</f>
        <v>0</v>
      </c>
      <c r="U10" s="0" t="str">
        <f aca="false">IF(T10=1,SUM($T$2:T10),"")</f>
        <v/>
      </c>
      <c r="V10" s="0" t="n">
        <f aca="false">IF(AND(食数記録!$A10=プレビュー!$C$3,食数記録!$B10="昼",食数記録!$F10="女性GH",食数記録!$D10="臨時喫食"),1,0)</f>
        <v>0</v>
      </c>
      <c r="W10" s="0" t="str">
        <f aca="false">IF(V10=1,SUM($V$2:V10),"")</f>
        <v/>
      </c>
      <c r="X10" s="0" t="n">
        <f aca="false">IF(AND(食数記録!$A10=プレビュー!$C$3,食数記録!$B10="夕",食数記録!$F10="女性GH",食数記録!$D10="臨時喫食"),1,0)</f>
        <v>0</v>
      </c>
      <c r="Y10" s="0" t="str">
        <f aca="false">IF(X10=1,SUM($X$2:X10),"")</f>
        <v/>
      </c>
    </row>
    <row r="11" customFormat="false" ht="15" hidden="false" customHeight="false" outlineLevel="0" collapsed="false">
      <c r="B11" s="0" t="n">
        <f aca="false">IF(AND(食数記録!$A11=プレビュー!$C$3,食数記録!$B11="朝",食数記録!$F11="男性入所",食数記録!$D11="欠食"),1,0)</f>
        <v>0</v>
      </c>
      <c r="C11" s="0" t="str">
        <f aca="false">IF(B11=1,SUM($B$2:B11),"")</f>
        <v/>
      </c>
      <c r="D11" s="0" t="n">
        <f aca="false">IF(AND(食数記録!$A11=プレビュー!$C$3,食数記録!$B11="昼",食数記録!$F11="男性入所",食数記録!$D11="欠食"),1,0)</f>
        <v>0</v>
      </c>
      <c r="E11" s="0" t="str">
        <f aca="false">IF(D11=1,SUM($D$2:D11),"")</f>
        <v/>
      </c>
      <c r="F11" s="0" t="n">
        <f aca="false">IF(AND(食数記録!$A11=プレビュー!$C$3,食数記録!$B11="夕",食数記録!$F11="男性入所",食数記録!$D11="欠食"),1,0)</f>
        <v>0</v>
      </c>
      <c r="G11" s="0" t="str">
        <f aca="false">IF(F11=1,SUM($F$2:F11),"")</f>
        <v/>
      </c>
      <c r="H11" s="0" t="n">
        <f aca="false">IF(AND(食数記録!$A11=プレビュー!$C$3,食数記録!$B11="朝",食数記録!$F11="女性入所",食数記録!$D11="欠食"),1,0)</f>
        <v>0</v>
      </c>
      <c r="I11" s="0" t="str">
        <f aca="false">IF(H11=1,SUM($H$2:H11),"")</f>
        <v/>
      </c>
      <c r="J11" s="0" t="n">
        <f aca="false">IF(AND(食数記録!$A11=プレビュー!$C$3,食数記録!$B11="昼",食数記録!$F11="女性入所",食数記録!$D11="欠食"),1,0)</f>
        <v>0</v>
      </c>
      <c r="K11" s="0" t="str">
        <f aca="false">IF(J11=1,SUM($J$2:J11),"")</f>
        <v/>
      </c>
      <c r="L11" s="0" t="n">
        <f aca="false">IF(AND(食数記録!$A11=プレビュー!$C$3,食数記録!$B11="夕",食数記録!$F11="女性入所",食数記録!$D11="欠食"),1,0)</f>
        <v>0</v>
      </c>
      <c r="M11" s="0" t="str">
        <f aca="false">IF(L11=1,SUM($L$2:L11),"")</f>
        <v/>
      </c>
      <c r="N11" s="0" t="n">
        <f aca="false">IF(AND(食数記録!$A11=プレビュー!$C$3,食数記録!$B11="朝",食数記録!$F11="男性GH",食数記録!$D11="臨時喫食"),1,0)</f>
        <v>0</v>
      </c>
      <c r="O11" s="0" t="str">
        <f aca="false">IF(N11=1,SUM($N$2:N11),"")</f>
        <v/>
      </c>
      <c r="P11" s="0" t="n">
        <f aca="false">IF(AND(食数記録!$A11=プレビュー!$C$3,食数記録!$B11="昼",食数記録!$F11="男性GH",食数記録!$D11="臨時喫食"),1,0)</f>
        <v>0</v>
      </c>
      <c r="Q11" s="0" t="str">
        <f aca="false">IF(P11=1,SUM($P$2:P11),"")</f>
        <v/>
      </c>
      <c r="R11" s="0" t="n">
        <f aca="false">IF(AND(食数記録!$A11=プレビュー!$C$3,食数記録!$B11="夕",食数記録!$F11="男性GH",食数記録!$D11="臨時喫食"),1,0)</f>
        <v>0</v>
      </c>
      <c r="S11" s="0" t="str">
        <f aca="false">IF(R11=1,SUM($R$2:R11),"")</f>
        <v/>
      </c>
      <c r="T11" s="0" t="n">
        <f aca="false">IF(AND(食数記録!$A11=プレビュー!$C$3,食数記録!$B11="朝",食数記録!$F11="女性GH",食数記録!$D11="臨時喫食"),1,0)</f>
        <v>0</v>
      </c>
      <c r="U11" s="0" t="str">
        <f aca="false">IF(T11=1,SUM($T$2:T11),"")</f>
        <v/>
      </c>
      <c r="V11" s="0" t="n">
        <f aca="false">IF(AND(食数記録!$A11=プレビュー!$C$3,食数記録!$B11="昼",食数記録!$F11="女性GH",食数記録!$D11="臨時喫食"),1,0)</f>
        <v>0</v>
      </c>
      <c r="W11" s="0" t="str">
        <f aca="false">IF(V11=1,SUM($V$2:V11),"")</f>
        <v/>
      </c>
      <c r="X11" s="0" t="n">
        <f aca="false">IF(AND(食数記録!$A11=プレビュー!$C$3,食数記録!$B11="夕",食数記録!$F11="女性GH",食数記録!$D11="臨時喫食"),1,0)</f>
        <v>0</v>
      </c>
      <c r="Y11" s="0" t="str">
        <f aca="false">IF(X11=1,SUM($X$2:X11),"")</f>
        <v/>
      </c>
    </row>
    <row r="12" customFormat="false" ht="15" hidden="false" customHeight="false" outlineLevel="0" collapsed="false">
      <c r="B12" s="0" t="n">
        <f aca="false">IF(AND(食数記録!$A12=プレビュー!$C$3,食数記録!$B12="朝",食数記録!$F12="男性入所",食数記録!$D12="欠食"),1,0)</f>
        <v>0</v>
      </c>
      <c r="C12" s="0" t="str">
        <f aca="false">IF(B12=1,SUM($B$2:B12),"")</f>
        <v/>
      </c>
      <c r="D12" s="0" t="n">
        <f aca="false">IF(AND(食数記録!$A12=プレビュー!$C$3,食数記録!$B12="昼",食数記録!$F12="男性入所",食数記録!$D12="欠食"),1,0)</f>
        <v>0</v>
      </c>
      <c r="E12" s="0" t="str">
        <f aca="false">IF(D12=1,SUM($D$2:D12),"")</f>
        <v/>
      </c>
      <c r="F12" s="0" t="n">
        <f aca="false">IF(AND(食数記録!$A12=プレビュー!$C$3,食数記録!$B12="夕",食数記録!$F12="男性入所",食数記録!$D12="欠食"),1,0)</f>
        <v>0</v>
      </c>
      <c r="G12" s="0" t="str">
        <f aca="false">IF(F12=1,SUM($F$2:F12),"")</f>
        <v/>
      </c>
      <c r="H12" s="0" t="n">
        <f aca="false">IF(AND(食数記録!$A12=プレビュー!$C$3,食数記録!$B12="朝",食数記録!$F12="女性入所",食数記録!$D12="欠食"),1,0)</f>
        <v>0</v>
      </c>
      <c r="I12" s="0" t="str">
        <f aca="false">IF(H12=1,SUM($H$2:H12),"")</f>
        <v/>
      </c>
      <c r="J12" s="0" t="n">
        <f aca="false">IF(AND(食数記録!$A12=プレビュー!$C$3,食数記録!$B12="昼",食数記録!$F12="女性入所",食数記録!$D12="欠食"),1,0)</f>
        <v>0</v>
      </c>
      <c r="K12" s="0" t="str">
        <f aca="false">IF(J12=1,SUM($J$2:J12),"")</f>
        <v/>
      </c>
      <c r="L12" s="0" t="n">
        <f aca="false">IF(AND(食数記録!$A12=プレビュー!$C$3,食数記録!$B12="夕",食数記録!$F12="女性入所",食数記録!$D12="欠食"),1,0)</f>
        <v>0</v>
      </c>
      <c r="M12" s="0" t="str">
        <f aca="false">IF(L12=1,SUM($L$2:L12),"")</f>
        <v/>
      </c>
      <c r="N12" s="0" t="n">
        <f aca="false">IF(AND(食数記録!$A12=プレビュー!$C$3,食数記録!$B12="朝",食数記録!$F12="男性GH",食数記録!$D12="臨時喫食"),1,0)</f>
        <v>0</v>
      </c>
      <c r="O12" s="0" t="str">
        <f aca="false">IF(N12=1,SUM($N$2:N12),"")</f>
        <v/>
      </c>
      <c r="P12" s="0" t="n">
        <f aca="false">IF(AND(食数記録!$A12=プレビュー!$C$3,食数記録!$B12="昼",食数記録!$F12="男性GH",食数記録!$D12="臨時喫食"),1,0)</f>
        <v>0</v>
      </c>
      <c r="Q12" s="0" t="str">
        <f aca="false">IF(P12=1,SUM($P$2:P12),"")</f>
        <v/>
      </c>
      <c r="R12" s="0" t="n">
        <f aca="false">IF(AND(食数記録!$A12=プレビュー!$C$3,食数記録!$B12="夕",食数記録!$F12="男性GH",食数記録!$D12="臨時喫食"),1,0)</f>
        <v>0</v>
      </c>
      <c r="S12" s="0" t="str">
        <f aca="false">IF(R12=1,SUM($R$2:R12),"")</f>
        <v/>
      </c>
      <c r="T12" s="0" t="n">
        <f aca="false">IF(AND(食数記録!$A12=プレビュー!$C$3,食数記録!$B12="朝",食数記録!$F12="女性GH",食数記録!$D12="臨時喫食"),1,0)</f>
        <v>0</v>
      </c>
      <c r="U12" s="0" t="str">
        <f aca="false">IF(T12=1,SUM($T$2:T12),"")</f>
        <v/>
      </c>
      <c r="V12" s="0" t="n">
        <f aca="false">IF(AND(食数記録!$A12=プレビュー!$C$3,食数記録!$B12="昼",食数記録!$F12="女性GH",食数記録!$D12="臨時喫食"),1,0)</f>
        <v>0</v>
      </c>
      <c r="W12" s="0" t="str">
        <f aca="false">IF(V12=1,SUM($V$2:V12),"")</f>
        <v/>
      </c>
      <c r="X12" s="0" t="n">
        <f aca="false">IF(AND(食数記録!$A12=プレビュー!$C$3,食数記録!$B12="夕",食数記録!$F12="女性GH",食数記録!$D12="臨時喫食"),1,0)</f>
        <v>0</v>
      </c>
      <c r="Y12" s="0" t="str">
        <f aca="false">IF(X12=1,SUM($X$2:X12),"")</f>
        <v/>
      </c>
    </row>
    <row r="13" customFormat="false" ht="15" hidden="false" customHeight="false" outlineLevel="0" collapsed="false">
      <c r="B13" s="0" t="n">
        <f aca="false">IF(AND(食数記録!$A13=プレビュー!$C$3,食数記録!$B13="朝",食数記録!$F13="男性入所",食数記録!$D13="欠食"),1,0)</f>
        <v>0</v>
      </c>
      <c r="C13" s="0" t="str">
        <f aca="false">IF(B13=1,SUM($B$2:B13),"")</f>
        <v/>
      </c>
      <c r="D13" s="0" t="n">
        <f aca="false">IF(AND(食数記録!$A13=プレビュー!$C$3,食数記録!$B13="昼",食数記録!$F13="男性入所",食数記録!$D13="欠食"),1,0)</f>
        <v>0</v>
      </c>
      <c r="E13" s="0" t="str">
        <f aca="false">IF(D13=1,SUM($D$2:D13),"")</f>
        <v/>
      </c>
      <c r="F13" s="0" t="n">
        <f aca="false">IF(AND(食数記録!$A13=プレビュー!$C$3,食数記録!$B13="夕",食数記録!$F13="男性入所",食数記録!$D13="欠食"),1,0)</f>
        <v>0</v>
      </c>
      <c r="G13" s="0" t="str">
        <f aca="false">IF(F13=1,SUM($F$2:F13),"")</f>
        <v/>
      </c>
      <c r="H13" s="0" t="n">
        <f aca="false">IF(AND(食数記録!$A13=プレビュー!$C$3,食数記録!$B13="朝",食数記録!$F13="女性入所",食数記録!$D13="欠食"),1,0)</f>
        <v>0</v>
      </c>
      <c r="I13" s="0" t="str">
        <f aca="false">IF(H13=1,SUM($H$2:H13),"")</f>
        <v/>
      </c>
      <c r="J13" s="0" t="n">
        <f aca="false">IF(AND(食数記録!$A13=プレビュー!$C$3,食数記録!$B13="昼",食数記録!$F13="女性入所",食数記録!$D13="欠食"),1,0)</f>
        <v>0</v>
      </c>
      <c r="K13" s="0" t="str">
        <f aca="false">IF(J13=1,SUM($J$2:J13),"")</f>
        <v/>
      </c>
      <c r="L13" s="0" t="n">
        <f aca="false">IF(AND(食数記録!$A13=プレビュー!$C$3,食数記録!$B13="夕",食数記録!$F13="女性入所",食数記録!$D13="欠食"),1,0)</f>
        <v>0</v>
      </c>
      <c r="M13" s="0" t="str">
        <f aca="false">IF(L13=1,SUM($L$2:L13),"")</f>
        <v/>
      </c>
      <c r="N13" s="0" t="n">
        <f aca="false">IF(AND(食数記録!$A13=プレビュー!$C$3,食数記録!$B13="朝",食数記録!$F13="男性GH",食数記録!$D13="臨時喫食"),1,0)</f>
        <v>0</v>
      </c>
      <c r="O13" s="0" t="str">
        <f aca="false">IF(N13=1,SUM($N$2:N13),"")</f>
        <v/>
      </c>
      <c r="P13" s="0" t="n">
        <f aca="false">IF(AND(食数記録!$A13=プレビュー!$C$3,食数記録!$B13="昼",食数記録!$F13="男性GH",食数記録!$D13="臨時喫食"),1,0)</f>
        <v>0</v>
      </c>
      <c r="Q13" s="0" t="str">
        <f aca="false">IF(P13=1,SUM($P$2:P13),"")</f>
        <v/>
      </c>
      <c r="R13" s="0" t="n">
        <f aca="false">IF(AND(食数記録!$A13=プレビュー!$C$3,食数記録!$B13="夕",食数記録!$F13="男性GH",食数記録!$D13="臨時喫食"),1,0)</f>
        <v>0</v>
      </c>
      <c r="S13" s="0" t="str">
        <f aca="false">IF(R13=1,SUM($R$2:R13),"")</f>
        <v/>
      </c>
      <c r="T13" s="0" t="n">
        <f aca="false">IF(AND(食数記録!$A13=プレビュー!$C$3,食数記録!$B13="朝",食数記録!$F13="女性GH",食数記録!$D13="臨時喫食"),1,0)</f>
        <v>0</v>
      </c>
      <c r="U13" s="0" t="str">
        <f aca="false">IF(T13=1,SUM($T$2:T13),"")</f>
        <v/>
      </c>
      <c r="V13" s="0" t="n">
        <f aca="false">IF(AND(食数記録!$A13=プレビュー!$C$3,食数記録!$B13="昼",食数記録!$F13="女性GH",食数記録!$D13="臨時喫食"),1,0)</f>
        <v>0</v>
      </c>
      <c r="W13" s="0" t="str">
        <f aca="false">IF(V13=1,SUM($V$2:V13),"")</f>
        <v/>
      </c>
      <c r="X13" s="0" t="n">
        <f aca="false">IF(AND(食数記録!$A13=プレビュー!$C$3,食数記録!$B13="夕",食数記録!$F13="女性GH",食数記録!$D13="臨時喫食"),1,0)</f>
        <v>0</v>
      </c>
      <c r="Y13" s="0" t="str">
        <f aca="false">IF(X13=1,SUM($X$2:X13),"")</f>
        <v/>
      </c>
    </row>
    <row r="14" customFormat="false" ht="15" hidden="false" customHeight="false" outlineLevel="0" collapsed="false">
      <c r="B14" s="0" t="n">
        <f aca="false">IF(AND(食数記録!$A14=プレビュー!$C$3,食数記録!$B14="朝",食数記録!$F14="男性入所",食数記録!$D14="欠食"),1,0)</f>
        <v>0</v>
      </c>
      <c r="C14" s="0" t="str">
        <f aca="false">IF(B14=1,SUM($B$2:B14),"")</f>
        <v/>
      </c>
      <c r="D14" s="0" t="n">
        <f aca="false">IF(AND(食数記録!$A14=プレビュー!$C$3,食数記録!$B14="昼",食数記録!$F14="男性入所",食数記録!$D14="欠食"),1,0)</f>
        <v>0</v>
      </c>
      <c r="E14" s="0" t="str">
        <f aca="false">IF(D14=1,SUM($D$2:D14),"")</f>
        <v/>
      </c>
      <c r="F14" s="0" t="n">
        <f aca="false">IF(AND(食数記録!$A14=プレビュー!$C$3,食数記録!$B14="夕",食数記録!$F14="男性入所",食数記録!$D14="欠食"),1,0)</f>
        <v>0</v>
      </c>
      <c r="G14" s="0" t="str">
        <f aca="false">IF(F14=1,SUM($F$2:F14),"")</f>
        <v/>
      </c>
      <c r="H14" s="0" t="n">
        <f aca="false">IF(AND(食数記録!$A14=プレビュー!$C$3,食数記録!$B14="朝",食数記録!$F14="女性入所",食数記録!$D14="欠食"),1,0)</f>
        <v>0</v>
      </c>
      <c r="I14" s="0" t="str">
        <f aca="false">IF(H14=1,SUM($H$2:H14),"")</f>
        <v/>
      </c>
      <c r="J14" s="0" t="n">
        <f aca="false">IF(AND(食数記録!$A14=プレビュー!$C$3,食数記録!$B14="昼",食数記録!$F14="女性入所",食数記録!$D14="欠食"),1,0)</f>
        <v>0</v>
      </c>
      <c r="K14" s="0" t="str">
        <f aca="false">IF(J14=1,SUM($J$2:J14),"")</f>
        <v/>
      </c>
      <c r="L14" s="0" t="n">
        <f aca="false">IF(AND(食数記録!$A14=プレビュー!$C$3,食数記録!$B14="夕",食数記録!$F14="女性入所",食数記録!$D14="欠食"),1,0)</f>
        <v>0</v>
      </c>
      <c r="M14" s="0" t="str">
        <f aca="false">IF(L14=1,SUM($L$2:L14),"")</f>
        <v/>
      </c>
      <c r="N14" s="0" t="n">
        <f aca="false">IF(AND(食数記録!$A14=プレビュー!$C$3,食数記録!$B14="朝",食数記録!$F14="男性GH",食数記録!$D14="臨時喫食"),1,0)</f>
        <v>0</v>
      </c>
      <c r="O14" s="0" t="str">
        <f aca="false">IF(N14=1,SUM($N$2:N14),"")</f>
        <v/>
      </c>
      <c r="P14" s="0" t="n">
        <f aca="false">IF(AND(食数記録!$A14=プレビュー!$C$3,食数記録!$B14="昼",食数記録!$F14="男性GH",食数記録!$D14="臨時喫食"),1,0)</f>
        <v>0</v>
      </c>
      <c r="Q14" s="0" t="str">
        <f aca="false">IF(P14=1,SUM($P$2:P14),"")</f>
        <v/>
      </c>
      <c r="R14" s="0" t="n">
        <f aca="false">IF(AND(食数記録!$A14=プレビュー!$C$3,食数記録!$B14="夕",食数記録!$F14="男性GH",食数記録!$D14="臨時喫食"),1,0)</f>
        <v>0</v>
      </c>
      <c r="S14" s="0" t="str">
        <f aca="false">IF(R14=1,SUM($R$2:R14),"")</f>
        <v/>
      </c>
      <c r="T14" s="0" t="n">
        <f aca="false">IF(AND(食数記録!$A14=プレビュー!$C$3,食数記録!$B14="朝",食数記録!$F14="女性GH",食数記録!$D14="臨時喫食"),1,0)</f>
        <v>0</v>
      </c>
      <c r="U14" s="0" t="str">
        <f aca="false">IF(T14=1,SUM($T$2:T14),"")</f>
        <v/>
      </c>
      <c r="V14" s="0" t="n">
        <f aca="false">IF(AND(食数記録!$A14=プレビュー!$C$3,食数記録!$B14="昼",食数記録!$F14="女性GH",食数記録!$D14="臨時喫食"),1,0)</f>
        <v>0</v>
      </c>
      <c r="W14" s="0" t="str">
        <f aca="false">IF(V14=1,SUM($V$2:V14),"")</f>
        <v/>
      </c>
      <c r="X14" s="0" t="n">
        <f aca="false">IF(AND(食数記録!$A14=プレビュー!$C$3,食数記録!$B14="夕",食数記録!$F14="女性GH",食数記録!$D14="臨時喫食"),1,0)</f>
        <v>0</v>
      </c>
      <c r="Y14" s="0" t="str">
        <f aca="false">IF(X14=1,SUM($X$2:X14),"")</f>
        <v/>
      </c>
    </row>
    <row r="15" customFormat="false" ht="15" hidden="false" customHeight="false" outlineLevel="0" collapsed="false">
      <c r="B15" s="0" t="n">
        <f aca="false">IF(AND(食数記録!$A15=プレビュー!$C$3,食数記録!$B15="朝",食数記録!$F15="男性入所",食数記録!$D15="欠食"),1,0)</f>
        <v>0</v>
      </c>
      <c r="C15" s="0" t="str">
        <f aca="false">IF(B15=1,SUM($B$2:B15),"")</f>
        <v/>
      </c>
      <c r="D15" s="0" t="n">
        <f aca="false">IF(AND(食数記録!$A15=プレビュー!$C$3,食数記録!$B15="昼",食数記録!$F15="男性入所",食数記録!$D15="欠食"),1,0)</f>
        <v>0</v>
      </c>
      <c r="E15" s="0" t="str">
        <f aca="false">IF(D15=1,SUM($D$2:D15),"")</f>
        <v/>
      </c>
      <c r="F15" s="0" t="n">
        <f aca="false">IF(AND(食数記録!$A15=プレビュー!$C$3,食数記録!$B15="夕",食数記録!$F15="男性入所",食数記録!$D15="欠食"),1,0)</f>
        <v>0</v>
      </c>
      <c r="G15" s="0" t="str">
        <f aca="false">IF(F15=1,SUM($F$2:F15),"")</f>
        <v/>
      </c>
      <c r="H15" s="0" t="n">
        <f aca="false">IF(AND(食数記録!$A15=プレビュー!$C$3,食数記録!$B15="朝",食数記録!$F15="女性入所",食数記録!$D15="欠食"),1,0)</f>
        <v>0</v>
      </c>
      <c r="I15" s="0" t="str">
        <f aca="false">IF(H15=1,SUM($H$2:H15),"")</f>
        <v/>
      </c>
      <c r="J15" s="0" t="n">
        <f aca="false">IF(AND(食数記録!$A15=プレビュー!$C$3,食数記録!$B15="昼",食数記録!$F15="女性入所",食数記録!$D15="欠食"),1,0)</f>
        <v>0</v>
      </c>
      <c r="K15" s="0" t="str">
        <f aca="false">IF(J15=1,SUM($J$2:J15),"")</f>
        <v/>
      </c>
      <c r="L15" s="0" t="n">
        <f aca="false">IF(AND(食数記録!$A15=プレビュー!$C$3,食数記録!$B15="夕",食数記録!$F15="女性入所",食数記録!$D15="欠食"),1,0)</f>
        <v>0</v>
      </c>
      <c r="M15" s="0" t="str">
        <f aca="false">IF(L15=1,SUM($L$2:L15),"")</f>
        <v/>
      </c>
      <c r="N15" s="0" t="n">
        <f aca="false">IF(AND(食数記録!$A15=プレビュー!$C$3,食数記録!$B15="朝",食数記録!$F15="男性GH",食数記録!$D15="臨時喫食"),1,0)</f>
        <v>0</v>
      </c>
      <c r="O15" s="0" t="str">
        <f aca="false">IF(N15=1,SUM($N$2:N15),"")</f>
        <v/>
      </c>
      <c r="P15" s="0" t="n">
        <f aca="false">IF(AND(食数記録!$A15=プレビュー!$C$3,食数記録!$B15="昼",食数記録!$F15="男性GH",食数記録!$D15="臨時喫食"),1,0)</f>
        <v>0</v>
      </c>
      <c r="Q15" s="0" t="str">
        <f aca="false">IF(P15=1,SUM($P$2:P15),"")</f>
        <v/>
      </c>
      <c r="R15" s="0" t="n">
        <f aca="false">IF(AND(食数記録!$A15=プレビュー!$C$3,食数記録!$B15="夕",食数記録!$F15="男性GH",食数記録!$D15="臨時喫食"),1,0)</f>
        <v>0</v>
      </c>
      <c r="S15" s="0" t="str">
        <f aca="false">IF(R15=1,SUM($R$2:R15),"")</f>
        <v/>
      </c>
      <c r="T15" s="0" t="n">
        <f aca="false">IF(AND(食数記録!$A15=プレビュー!$C$3,食数記録!$B15="朝",食数記録!$F15="女性GH",食数記録!$D15="臨時喫食"),1,0)</f>
        <v>0</v>
      </c>
      <c r="U15" s="0" t="str">
        <f aca="false">IF(T15=1,SUM($T$2:T15),"")</f>
        <v/>
      </c>
      <c r="V15" s="0" t="n">
        <f aca="false">IF(AND(食数記録!$A15=プレビュー!$C$3,食数記録!$B15="昼",食数記録!$F15="女性GH",食数記録!$D15="臨時喫食"),1,0)</f>
        <v>0</v>
      </c>
      <c r="W15" s="0" t="str">
        <f aca="false">IF(V15=1,SUM($V$2:V15),"")</f>
        <v/>
      </c>
      <c r="X15" s="0" t="n">
        <f aca="false">IF(AND(食数記録!$A15=プレビュー!$C$3,食数記録!$B15="夕",食数記録!$F15="女性GH",食数記録!$D15="臨時喫食"),1,0)</f>
        <v>0</v>
      </c>
      <c r="Y15" s="0" t="str">
        <f aca="false">IF(X15=1,SUM($X$2:X15),"")</f>
        <v/>
      </c>
    </row>
    <row r="16" customFormat="false" ht="15" hidden="false" customHeight="false" outlineLevel="0" collapsed="false">
      <c r="B16" s="0" t="n">
        <f aca="false">IF(AND(食数記録!$A16=プレビュー!$C$3,食数記録!$B16="朝",食数記録!$F16="男性入所",食数記録!$D16="欠食"),1,0)</f>
        <v>0</v>
      </c>
      <c r="C16" s="0" t="str">
        <f aca="false">IF(B16=1,SUM($B$2:B16),"")</f>
        <v/>
      </c>
      <c r="D16" s="0" t="n">
        <f aca="false">IF(AND(食数記録!$A16=プレビュー!$C$3,食数記録!$B16="昼",食数記録!$F16="男性入所",食数記録!$D16="欠食"),1,0)</f>
        <v>0</v>
      </c>
      <c r="E16" s="0" t="str">
        <f aca="false">IF(D16=1,SUM($D$2:D16),"")</f>
        <v/>
      </c>
      <c r="F16" s="0" t="n">
        <f aca="false">IF(AND(食数記録!$A16=プレビュー!$C$3,食数記録!$B16="夕",食数記録!$F16="男性入所",食数記録!$D16="欠食"),1,0)</f>
        <v>0</v>
      </c>
      <c r="G16" s="0" t="str">
        <f aca="false">IF(F16=1,SUM($F$2:F16),"")</f>
        <v/>
      </c>
      <c r="H16" s="0" t="n">
        <f aca="false">IF(AND(食数記録!$A16=プレビュー!$C$3,食数記録!$B16="朝",食数記録!$F16="女性入所",食数記録!$D16="欠食"),1,0)</f>
        <v>0</v>
      </c>
      <c r="I16" s="0" t="str">
        <f aca="false">IF(H16=1,SUM($H$2:H16),"")</f>
        <v/>
      </c>
      <c r="J16" s="0" t="n">
        <f aca="false">IF(AND(食数記録!$A16=プレビュー!$C$3,食数記録!$B16="昼",食数記録!$F16="女性入所",食数記録!$D16="欠食"),1,0)</f>
        <v>0</v>
      </c>
      <c r="K16" s="0" t="str">
        <f aca="false">IF(J16=1,SUM($J$2:J16),"")</f>
        <v/>
      </c>
      <c r="L16" s="0" t="n">
        <f aca="false">IF(AND(食数記録!$A16=プレビュー!$C$3,食数記録!$B16="夕",食数記録!$F16="女性入所",食数記録!$D16="欠食"),1,0)</f>
        <v>0</v>
      </c>
      <c r="M16" s="0" t="str">
        <f aca="false">IF(L16=1,SUM($L$2:L16),"")</f>
        <v/>
      </c>
      <c r="N16" s="0" t="n">
        <f aca="false">IF(AND(食数記録!$A16=プレビュー!$C$3,食数記録!$B16="朝",食数記録!$F16="男性GH",食数記録!$D16="臨時喫食"),1,0)</f>
        <v>0</v>
      </c>
      <c r="O16" s="0" t="str">
        <f aca="false">IF(N16=1,SUM($N$2:N16),"")</f>
        <v/>
      </c>
      <c r="P16" s="0" t="n">
        <f aca="false">IF(AND(食数記録!$A16=プレビュー!$C$3,食数記録!$B16="昼",食数記録!$F16="男性GH",食数記録!$D16="臨時喫食"),1,0)</f>
        <v>0</v>
      </c>
      <c r="Q16" s="0" t="str">
        <f aca="false">IF(P16=1,SUM($P$2:P16),"")</f>
        <v/>
      </c>
      <c r="R16" s="0" t="n">
        <f aca="false">IF(AND(食数記録!$A16=プレビュー!$C$3,食数記録!$B16="夕",食数記録!$F16="男性GH",食数記録!$D16="臨時喫食"),1,0)</f>
        <v>0</v>
      </c>
      <c r="S16" s="0" t="str">
        <f aca="false">IF(R16=1,SUM($R$2:R16),"")</f>
        <v/>
      </c>
      <c r="T16" s="0" t="n">
        <f aca="false">IF(AND(食数記録!$A16=プレビュー!$C$3,食数記録!$B16="朝",食数記録!$F16="女性GH",食数記録!$D16="臨時喫食"),1,0)</f>
        <v>0</v>
      </c>
      <c r="U16" s="0" t="str">
        <f aca="false">IF(T16=1,SUM($T$2:T16),"")</f>
        <v/>
      </c>
      <c r="V16" s="0" t="n">
        <f aca="false">IF(AND(食数記録!$A16=プレビュー!$C$3,食数記録!$B16="昼",食数記録!$F16="女性GH",食数記録!$D16="臨時喫食"),1,0)</f>
        <v>0</v>
      </c>
      <c r="W16" s="0" t="str">
        <f aca="false">IF(V16=1,SUM($V$2:V16),"")</f>
        <v/>
      </c>
      <c r="X16" s="0" t="n">
        <f aca="false">IF(AND(食数記録!$A16=プレビュー!$C$3,食数記録!$B16="夕",食数記録!$F16="女性GH",食数記録!$D16="臨時喫食"),1,0)</f>
        <v>0</v>
      </c>
      <c r="Y16" s="0" t="str">
        <f aca="false">IF(X16=1,SUM($X$2:X16),"")</f>
        <v/>
      </c>
    </row>
    <row r="17" customFormat="false" ht="15" hidden="false" customHeight="false" outlineLevel="0" collapsed="false">
      <c r="B17" s="0" t="n">
        <f aca="false">IF(AND(食数記録!$A17=プレビュー!$C$3,食数記録!$B17="朝",食数記録!$F17="男性入所",食数記録!$D17="欠食"),1,0)</f>
        <v>0</v>
      </c>
      <c r="C17" s="0" t="str">
        <f aca="false">IF(B17=1,SUM($B$2:B17),"")</f>
        <v/>
      </c>
      <c r="D17" s="0" t="n">
        <f aca="false">IF(AND(食数記録!$A17=プレビュー!$C$3,食数記録!$B17="昼",食数記録!$F17="男性入所",食数記録!$D17="欠食"),1,0)</f>
        <v>0</v>
      </c>
      <c r="E17" s="0" t="str">
        <f aca="false">IF(D17=1,SUM($D$2:D17),"")</f>
        <v/>
      </c>
      <c r="F17" s="0" t="n">
        <f aca="false">IF(AND(食数記録!$A17=プレビュー!$C$3,食数記録!$B17="夕",食数記録!$F17="男性入所",食数記録!$D17="欠食"),1,0)</f>
        <v>0</v>
      </c>
      <c r="G17" s="0" t="str">
        <f aca="false">IF(F17=1,SUM($F$2:F17),"")</f>
        <v/>
      </c>
      <c r="H17" s="0" t="n">
        <f aca="false">IF(AND(食数記録!$A17=プレビュー!$C$3,食数記録!$B17="朝",食数記録!$F17="女性入所",食数記録!$D17="欠食"),1,0)</f>
        <v>0</v>
      </c>
      <c r="I17" s="0" t="str">
        <f aca="false">IF(H17=1,SUM($H$2:H17),"")</f>
        <v/>
      </c>
      <c r="J17" s="0" t="n">
        <f aca="false">IF(AND(食数記録!$A17=プレビュー!$C$3,食数記録!$B17="昼",食数記録!$F17="女性入所",食数記録!$D17="欠食"),1,0)</f>
        <v>0</v>
      </c>
      <c r="K17" s="0" t="str">
        <f aca="false">IF(J17=1,SUM($J$2:J17),"")</f>
        <v/>
      </c>
      <c r="L17" s="0" t="n">
        <f aca="false">IF(AND(食数記録!$A17=プレビュー!$C$3,食数記録!$B17="夕",食数記録!$F17="女性入所",食数記録!$D17="欠食"),1,0)</f>
        <v>0</v>
      </c>
      <c r="M17" s="0" t="str">
        <f aca="false">IF(L17=1,SUM($L$2:L17),"")</f>
        <v/>
      </c>
      <c r="N17" s="0" t="n">
        <f aca="false">IF(AND(食数記録!$A17=プレビュー!$C$3,食数記録!$B17="朝",食数記録!$F17="男性GH",食数記録!$D17="臨時喫食"),1,0)</f>
        <v>0</v>
      </c>
      <c r="O17" s="0" t="str">
        <f aca="false">IF(N17=1,SUM($N$2:N17),"")</f>
        <v/>
      </c>
      <c r="P17" s="0" t="n">
        <f aca="false">IF(AND(食数記録!$A17=プレビュー!$C$3,食数記録!$B17="昼",食数記録!$F17="男性GH",食数記録!$D17="臨時喫食"),1,0)</f>
        <v>0</v>
      </c>
      <c r="Q17" s="0" t="str">
        <f aca="false">IF(P17=1,SUM($P$2:P17),"")</f>
        <v/>
      </c>
      <c r="R17" s="0" t="n">
        <f aca="false">IF(AND(食数記録!$A17=プレビュー!$C$3,食数記録!$B17="夕",食数記録!$F17="男性GH",食数記録!$D17="臨時喫食"),1,0)</f>
        <v>0</v>
      </c>
      <c r="S17" s="0" t="str">
        <f aca="false">IF(R17=1,SUM($R$2:R17),"")</f>
        <v/>
      </c>
      <c r="T17" s="0" t="n">
        <f aca="false">IF(AND(食数記録!$A17=プレビュー!$C$3,食数記録!$B17="朝",食数記録!$F17="女性GH",食数記録!$D17="臨時喫食"),1,0)</f>
        <v>0</v>
      </c>
      <c r="U17" s="0" t="str">
        <f aca="false">IF(T17=1,SUM($T$2:T17),"")</f>
        <v/>
      </c>
      <c r="V17" s="0" t="n">
        <f aca="false">IF(AND(食数記録!$A17=プレビュー!$C$3,食数記録!$B17="昼",食数記録!$F17="女性GH",食数記録!$D17="臨時喫食"),1,0)</f>
        <v>0</v>
      </c>
      <c r="W17" s="0" t="str">
        <f aca="false">IF(V17=1,SUM($V$2:V17),"")</f>
        <v/>
      </c>
      <c r="X17" s="0" t="n">
        <f aca="false">IF(AND(食数記録!$A17=プレビュー!$C$3,食数記録!$B17="夕",食数記録!$F17="女性GH",食数記録!$D17="臨時喫食"),1,0)</f>
        <v>0</v>
      </c>
      <c r="Y17" s="0" t="str">
        <f aca="false">IF(X17=1,SUM($X$2:X17),"")</f>
        <v/>
      </c>
    </row>
    <row r="18" customFormat="false" ht="15" hidden="false" customHeight="false" outlineLevel="0" collapsed="false">
      <c r="B18" s="0" t="n">
        <f aca="false">IF(AND(食数記録!$A18=プレビュー!$C$3,食数記録!$B18="朝",食数記録!$F18="男性入所",食数記録!$D18="欠食"),1,0)</f>
        <v>0</v>
      </c>
      <c r="C18" s="0" t="str">
        <f aca="false">IF(B18=1,SUM($B$2:B18),"")</f>
        <v/>
      </c>
      <c r="D18" s="0" t="n">
        <f aca="false">IF(AND(食数記録!$A18=プレビュー!$C$3,食数記録!$B18="昼",食数記録!$F18="男性入所",食数記録!$D18="欠食"),1,0)</f>
        <v>0</v>
      </c>
      <c r="E18" s="0" t="str">
        <f aca="false">IF(D18=1,SUM($D$2:D18),"")</f>
        <v/>
      </c>
      <c r="F18" s="0" t="n">
        <f aca="false">IF(AND(食数記録!$A18=プレビュー!$C$3,食数記録!$B18="夕",食数記録!$F18="男性入所",食数記録!$D18="欠食"),1,0)</f>
        <v>0</v>
      </c>
      <c r="G18" s="0" t="str">
        <f aca="false">IF(F18=1,SUM($F$2:F18),"")</f>
        <v/>
      </c>
      <c r="H18" s="0" t="n">
        <f aca="false">IF(AND(食数記録!$A18=プレビュー!$C$3,食数記録!$B18="朝",食数記録!$F18="女性入所",食数記録!$D18="欠食"),1,0)</f>
        <v>0</v>
      </c>
      <c r="I18" s="0" t="str">
        <f aca="false">IF(H18=1,SUM($H$2:H18),"")</f>
        <v/>
      </c>
      <c r="J18" s="0" t="n">
        <f aca="false">IF(AND(食数記録!$A18=プレビュー!$C$3,食数記録!$B18="昼",食数記録!$F18="女性入所",食数記録!$D18="欠食"),1,0)</f>
        <v>0</v>
      </c>
      <c r="K18" s="0" t="str">
        <f aca="false">IF(J18=1,SUM($J$2:J18),"")</f>
        <v/>
      </c>
      <c r="L18" s="0" t="n">
        <f aca="false">IF(AND(食数記録!$A18=プレビュー!$C$3,食数記録!$B18="夕",食数記録!$F18="女性入所",食数記録!$D18="欠食"),1,0)</f>
        <v>0</v>
      </c>
      <c r="M18" s="0" t="str">
        <f aca="false">IF(L18=1,SUM($L$2:L18),"")</f>
        <v/>
      </c>
      <c r="N18" s="0" t="n">
        <f aca="false">IF(AND(食数記録!$A18=プレビュー!$C$3,食数記録!$B18="朝",食数記録!$F18="男性GH",食数記録!$D18="臨時喫食"),1,0)</f>
        <v>0</v>
      </c>
      <c r="O18" s="0" t="str">
        <f aca="false">IF(N18=1,SUM($N$2:N18),"")</f>
        <v/>
      </c>
      <c r="P18" s="0" t="n">
        <f aca="false">IF(AND(食数記録!$A18=プレビュー!$C$3,食数記録!$B18="昼",食数記録!$F18="男性GH",食数記録!$D18="臨時喫食"),1,0)</f>
        <v>0</v>
      </c>
      <c r="Q18" s="0" t="str">
        <f aca="false">IF(P18=1,SUM($P$2:P18),"")</f>
        <v/>
      </c>
      <c r="R18" s="0" t="n">
        <f aca="false">IF(AND(食数記録!$A18=プレビュー!$C$3,食数記録!$B18="夕",食数記録!$F18="男性GH",食数記録!$D18="臨時喫食"),1,0)</f>
        <v>0</v>
      </c>
      <c r="S18" s="0" t="str">
        <f aca="false">IF(R18=1,SUM($R$2:R18),"")</f>
        <v/>
      </c>
      <c r="T18" s="0" t="n">
        <f aca="false">IF(AND(食数記録!$A18=プレビュー!$C$3,食数記録!$B18="朝",食数記録!$F18="女性GH",食数記録!$D18="臨時喫食"),1,0)</f>
        <v>0</v>
      </c>
      <c r="U18" s="0" t="str">
        <f aca="false">IF(T18=1,SUM($T$2:T18),"")</f>
        <v/>
      </c>
      <c r="V18" s="0" t="n">
        <f aca="false">IF(AND(食数記録!$A18=プレビュー!$C$3,食数記録!$B18="昼",食数記録!$F18="女性GH",食数記録!$D18="臨時喫食"),1,0)</f>
        <v>0</v>
      </c>
      <c r="W18" s="0" t="str">
        <f aca="false">IF(V18=1,SUM($V$2:V18),"")</f>
        <v/>
      </c>
      <c r="X18" s="0" t="n">
        <f aca="false">IF(AND(食数記録!$A18=プレビュー!$C$3,食数記録!$B18="夕",食数記録!$F18="女性GH",食数記録!$D18="臨時喫食"),1,0)</f>
        <v>0</v>
      </c>
      <c r="Y18" s="0" t="str">
        <f aca="false">IF(X18=1,SUM($X$2:X18),"")</f>
        <v/>
      </c>
    </row>
    <row r="19" customFormat="false" ht="15" hidden="false" customHeight="false" outlineLevel="0" collapsed="false">
      <c r="B19" s="0" t="n">
        <f aca="false">IF(AND(食数記録!$A19=プレビュー!$C$3,食数記録!$B19="朝",食数記録!$F19="男性入所",食数記録!$D19="欠食"),1,0)</f>
        <v>0</v>
      </c>
      <c r="C19" s="0" t="str">
        <f aca="false">IF(B19=1,SUM($B$2:B19),"")</f>
        <v/>
      </c>
      <c r="D19" s="0" t="n">
        <f aca="false">IF(AND(食数記録!$A19=プレビュー!$C$3,食数記録!$B19="昼",食数記録!$F19="男性入所",食数記録!$D19="欠食"),1,0)</f>
        <v>0</v>
      </c>
      <c r="E19" s="0" t="str">
        <f aca="false">IF(D19=1,SUM($D$2:D19),"")</f>
        <v/>
      </c>
      <c r="F19" s="0" t="n">
        <f aca="false">IF(AND(食数記録!$A19=プレビュー!$C$3,食数記録!$B19="夕",食数記録!$F19="男性入所",食数記録!$D19="欠食"),1,0)</f>
        <v>0</v>
      </c>
      <c r="G19" s="0" t="str">
        <f aca="false">IF(F19=1,SUM($F$2:F19),"")</f>
        <v/>
      </c>
      <c r="H19" s="0" t="n">
        <f aca="false">IF(AND(食数記録!$A19=プレビュー!$C$3,食数記録!$B19="朝",食数記録!$F19="女性入所",食数記録!$D19="欠食"),1,0)</f>
        <v>0</v>
      </c>
      <c r="I19" s="0" t="str">
        <f aca="false">IF(H19=1,SUM($H$2:H19),"")</f>
        <v/>
      </c>
      <c r="J19" s="0" t="n">
        <f aca="false">IF(AND(食数記録!$A19=プレビュー!$C$3,食数記録!$B19="昼",食数記録!$F19="女性入所",食数記録!$D19="欠食"),1,0)</f>
        <v>0</v>
      </c>
      <c r="K19" s="0" t="str">
        <f aca="false">IF(J19=1,SUM($J$2:J19),"")</f>
        <v/>
      </c>
      <c r="L19" s="0" t="n">
        <f aca="false">IF(AND(食数記録!$A19=プレビュー!$C$3,食数記録!$B19="夕",食数記録!$F19="女性入所",食数記録!$D19="欠食"),1,0)</f>
        <v>0</v>
      </c>
      <c r="M19" s="0" t="str">
        <f aca="false">IF(L19=1,SUM($L$2:L19),"")</f>
        <v/>
      </c>
      <c r="N19" s="0" t="n">
        <f aca="false">IF(AND(食数記録!$A19=プレビュー!$C$3,食数記録!$B19="朝",食数記録!$F19="男性GH",食数記録!$D19="臨時喫食"),1,0)</f>
        <v>0</v>
      </c>
      <c r="O19" s="0" t="str">
        <f aca="false">IF(N19=1,SUM($N$2:N19),"")</f>
        <v/>
      </c>
      <c r="P19" s="0" t="n">
        <f aca="false">IF(AND(食数記録!$A19=プレビュー!$C$3,食数記録!$B19="昼",食数記録!$F19="男性GH",食数記録!$D19="臨時喫食"),1,0)</f>
        <v>0</v>
      </c>
      <c r="Q19" s="0" t="str">
        <f aca="false">IF(P19=1,SUM($P$2:P19),"")</f>
        <v/>
      </c>
      <c r="R19" s="0" t="n">
        <f aca="false">IF(AND(食数記録!$A19=プレビュー!$C$3,食数記録!$B19="夕",食数記録!$F19="男性GH",食数記録!$D19="臨時喫食"),1,0)</f>
        <v>0</v>
      </c>
      <c r="S19" s="0" t="str">
        <f aca="false">IF(R19=1,SUM($R$2:R19),"")</f>
        <v/>
      </c>
      <c r="T19" s="0" t="n">
        <f aca="false">IF(AND(食数記録!$A19=プレビュー!$C$3,食数記録!$B19="朝",食数記録!$F19="女性GH",食数記録!$D19="臨時喫食"),1,0)</f>
        <v>0</v>
      </c>
      <c r="U19" s="0" t="str">
        <f aca="false">IF(T19=1,SUM($T$2:T19),"")</f>
        <v/>
      </c>
      <c r="V19" s="0" t="n">
        <f aca="false">IF(AND(食数記録!$A19=プレビュー!$C$3,食数記録!$B19="昼",食数記録!$F19="女性GH",食数記録!$D19="臨時喫食"),1,0)</f>
        <v>0</v>
      </c>
      <c r="W19" s="0" t="str">
        <f aca="false">IF(V19=1,SUM($V$2:V19),"")</f>
        <v/>
      </c>
      <c r="X19" s="0" t="n">
        <f aca="false">IF(AND(食数記録!$A19=プレビュー!$C$3,食数記録!$B19="夕",食数記録!$F19="女性GH",食数記録!$D19="臨時喫食"),1,0)</f>
        <v>0</v>
      </c>
      <c r="Y19" s="0" t="str">
        <f aca="false">IF(X19=1,SUM($X$2:X19),"")</f>
        <v/>
      </c>
    </row>
    <row r="20" customFormat="false" ht="15" hidden="false" customHeight="false" outlineLevel="0" collapsed="false">
      <c r="B20" s="0" t="n">
        <f aca="false">IF(AND(食数記録!$A20=プレビュー!$C$3,食数記録!$B20="朝",食数記録!$F20="男性入所",食数記録!$D20="欠食"),1,0)</f>
        <v>0</v>
      </c>
      <c r="C20" s="0" t="str">
        <f aca="false">IF(B20=1,SUM($B$2:B20),"")</f>
        <v/>
      </c>
      <c r="D20" s="0" t="n">
        <f aca="false">IF(AND(食数記録!$A20=プレビュー!$C$3,食数記録!$B20="昼",食数記録!$F20="男性入所",食数記録!$D20="欠食"),1,0)</f>
        <v>0</v>
      </c>
      <c r="E20" s="0" t="str">
        <f aca="false">IF(D20=1,SUM($D$2:D20),"")</f>
        <v/>
      </c>
      <c r="F20" s="0" t="n">
        <f aca="false">IF(AND(食数記録!$A20=プレビュー!$C$3,食数記録!$B20="夕",食数記録!$F20="男性入所",食数記録!$D20="欠食"),1,0)</f>
        <v>0</v>
      </c>
      <c r="G20" s="0" t="str">
        <f aca="false">IF(F20=1,SUM($F$2:F20),"")</f>
        <v/>
      </c>
      <c r="H20" s="0" t="n">
        <f aca="false">IF(AND(食数記録!$A20=プレビュー!$C$3,食数記録!$B20="朝",食数記録!$F20="女性入所",食数記録!$D20="欠食"),1,0)</f>
        <v>0</v>
      </c>
      <c r="I20" s="0" t="str">
        <f aca="false">IF(H20=1,SUM($H$2:H20),"")</f>
        <v/>
      </c>
      <c r="J20" s="0" t="n">
        <f aca="false">IF(AND(食数記録!$A20=プレビュー!$C$3,食数記録!$B20="昼",食数記録!$F20="女性入所",食数記録!$D20="欠食"),1,0)</f>
        <v>0</v>
      </c>
      <c r="K20" s="0" t="str">
        <f aca="false">IF(J20=1,SUM($J$2:J20),"")</f>
        <v/>
      </c>
      <c r="L20" s="0" t="n">
        <f aca="false">IF(AND(食数記録!$A20=プレビュー!$C$3,食数記録!$B20="夕",食数記録!$F20="女性入所",食数記録!$D20="欠食"),1,0)</f>
        <v>0</v>
      </c>
      <c r="M20" s="0" t="str">
        <f aca="false">IF(L20=1,SUM($L$2:L20),"")</f>
        <v/>
      </c>
      <c r="N20" s="0" t="n">
        <f aca="false">IF(AND(食数記録!$A20=プレビュー!$C$3,食数記録!$B20="朝",食数記録!$F20="男性GH",食数記録!$D20="臨時喫食"),1,0)</f>
        <v>0</v>
      </c>
      <c r="O20" s="0" t="str">
        <f aca="false">IF(N20=1,SUM($N$2:N20),"")</f>
        <v/>
      </c>
      <c r="P20" s="0" t="n">
        <f aca="false">IF(AND(食数記録!$A20=プレビュー!$C$3,食数記録!$B20="昼",食数記録!$F20="男性GH",食数記録!$D20="臨時喫食"),1,0)</f>
        <v>0</v>
      </c>
      <c r="Q20" s="0" t="str">
        <f aca="false">IF(P20=1,SUM($P$2:P20),"")</f>
        <v/>
      </c>
      <c r="R20" s="0" t="n">
        <f aca="false">IF(AND(食数記録!$A20=プレビュー!$C$3,食数記録!$B20="夕",食数記録!$F20="男性GH",食数記録!$D20="臨時喫食"),1,0)</f>
        <v>0</v>
      </c>
      <c r="S20" s="0" t="str">
        <f aca="false">IF(R20=1,SUM($R$2:R20),"")</f>
        <v/>
      </c>
      <c r="T20" s="0" t="n">
        <f aca="false">IF(AND(食数記録!$A20=プレビュー!$C$3,食数記録!$B20="朝",食数記録!$F20="女性GH",食数記録!$D20="臨時喫食"),1,0)</f>
        <v>0</v>
      </c>
      <c r="U20" s="0" t="str">
        <f aca="false">IF(T20=1,SUM($T$2:T20),"")</f>
        <v/>
      </c>
      <c r="V20" s="0" t="n">
        <f aca="false">IF(AND(食数記録!$A20=プレビュー!$C$3,食数記録!$B20="昼",食数記録!$F20="女性GH",食数記録!$D20="臨時喫食"),1,0)</f>
        <v>0</v>
      </c>
      <c r="W20" s="0" t="str">
        <f aca="false">IF(V20=1,SUM($V$2:V20),"")</f>
        <v/>
      </c>
      <c r="X20" s="0" t="n">
        <f aca="false">IF(AND(食数記録!$A20=プレビュー!$C$3,食数記録!$B20="夕",食数記録!$F20="女性GH",食数記録!$D20="臨時喫食"),1,0)</f>
        <v>0</v>
      </c>
      <c r="Y20" s="0" t="str">
        <f aca="false">IF(X20=1,SUM($X$2:X20),"")</f>
        <v/>
      </c>
    </row>
    <row r="21" customFormat="false" ht="15" hidden="false" customHeight="false" outlineLevel="0" collapsed="false">
      <c r="B21" s="0" t="n">
        <f aca="false">IF(AND(食数記録!$A21=プレビュー!$C$3,食数記録!$B21="朝",食数記録!$F21="男性入所",食数記録!$D21="欠食"),1,0)</f>
        <v>0</v>
      </c>
      <c r="C21" s="0" t="str">
        <f aca="false">IF(B21=1,SUM($B$2:B21),"")</f>
        <v/>
      </c>
      <c r="D21" s="0" t="n">
        <f aca="false">IF(AND(食数記録!$A21=プレビュー!$C$3,食数記録!$B21="昼",食数記録!$F21="男性入所",食数記録!$D21="欠食"),1,0)</f>
        <v>0</v>
      </c>
      <c r="E21" s="0" t="str">
        <f aca="false">IF(D21=1,SUM($D$2:D21),"")</f>
        <v/>
      </c>
      <c r="F21" s="0" t="n">
        <f aca="false">IF(AND(食数記録!$A21=プレビュー!$C$3,食数記録!$B21="夕",食数記録!$F21="男性入所",食数記録!$D21="欠食"),1,0)</f>
        <v>0</v>
      </c>
      <c r="G21" s="0" t="str">
        <f aca="false">IF(F21=1,SUM($F$2:F21),"")</f>
        <v/>
      </c>
      <c r="H21" s="0" t="n">
        <f aca="false">IF(AND(食数記録!$A21=プレビュー!$C$3,食数記録!$B21="朝",食数記録!$F21="女性入所",食数記録!$D21="欠食"),1,0)</f>
        <v>0</v>
      </c>
      <c r="I21" s="0" t="str">
        <f aca="false">IF(H21=1,SUM($H$2:H21),"")</f>
        <v/>
      </c>
      <c r="J21" s="0" t="n">
        <f aca="false">IF(AND(食数記録!$A21=プレビュー!$C$3,食数記録!$B21="昼",食数記録!$F21="女性入所",食数記録!$D21="欠食"),1,0)</f>
        <v>0</v>
      </c>
      <c r="K21" s="0" t="str">
        <f aca="false">IF(J21=1,SUM($J$2:J21),"")</f>
        <v/>
      </c>
      <c r="L21" s="0" t="n">
        <f aca="false">IF(AND(食数記録!$A21=プレビュー!$C$3,食数記録!$B21="夕",食数記録!$F21="女性入所",食数記録!$D21="欠食"),1,0)</f>
        <v>0</v>
      </c>
      <c r="M21" s="0" t="str">
        <f aca="false">IF(L21=1,SUM($L$2:L21),"")</f>
        <v/>
      </c>
      <c r="N21" s="0" t="n">
        <f aca="false">IF(AND(食数記録!$A21=プレビュー!$C$3,食数記録!$B21="朝",食数記録!$F21="男性GH",食数記録!$D21="臨時喫食"),1,0)</f>
        <v>0</v>
      </c>
      <c r="O21" s="0" t="str">
        <f aca="false">IF(N21=1,SUM($N$2:N21),"")</f>
        <v/>
      </c>
      <c r="P21" s="0" t="n">
        <f aca="false">IF(AND(食数記録!$A21=プレビュー!$C$3,食数記録!$B21="昼",食数記録!$F21="男性GH",食数記録!$D21="臨時喫食"),1,0)</f>
        <v>0</v>
      </c>
      <c r="Q21" s="0" t="str">
        <f aca="false">IF(P21=1,SUM($P$2:P21),"")</f>
        <v/>
      </c>
      <c r="R21" s="0" t="n">
        <f aca="false">IF(AND(食数記録!$A21=プレビュー!$C$3,食数記録!$B21="夕",食数記録!$F21="男性GH",食数記録!$D21="臨時喫食"),1,0)</f>
        <v>0</v>
      </c>
      <c r="S21" s="0" t="str">
        <f aca="false">IF(R21=1,SUM($R$2:R21),"")</f>
        <v/>
      </c>
      <c r="T21" s="0" t="n">
        <f aca="false">IF(AND(食数記録!$A21=プレビュー!$C$3,食数記録!$B21="朝",食数記録!$F21="女性GH",食数記録!$D21="臨時喫食"),1,0)</f>
        <v>0</v>
      </c>
      <c r="U21" s="0" t="str">
        <f aca="false">IF(T21=1,SUM($T$2:T21),"")</f>
        <v/>
      </c>
      <c r="V21" s="0" t="n">
        <f aca="false">IF(AND(食数記録!$A21=プレビュー!$C$3,食数記録!$B21="昼",食数記録!$F21="女性GH",食数記録!$D21="臨時喫食"),1,0)</f>
        <v>0</v>
      </c>
      <c r="W21" s="0" t="str">
        <f aca="false">IF(V21=1,SUM($V$2:V21),"")</f>
        <v/>
      </c>
      <c r="X21" s="0" t="n">
        <f aca="false">IF(AND(食数記録!$A21=プレビュー!$C$3,食数記録!$B21="夕",食数記録!$F21="女性GH",食数記録!$D21="臨時喫食"),1,0)</f>
        <v>0</v>
      </c>
      <c r="Y21" s="0" t="str">
        <f aca="false">IF(X21=1,SUM($X$2:X21),"")</f>
        <v/>
      </c>
    </row>
    <row r="22" customFormat="false" ht="15" hidden="false" customHeight="false" outlineLevel="0" collapsed="false">
      <c r="B22" s="0" t="n">
        <f aca="false">IF(AND(食数記録!$A22=プレビュー!$C$3,食数記録!$B22="朝",食数記録!$F22="男性入所",食数記録!$D22="欠食"),1,0)</f>
        <v>0</v>
      </c>
      <c r="C22" s="0" t="str">
        <f aca="false">IF(B22=1,SUM($B$2:B22),"")</f>
        <v/>
      </c>
      <c r="D22" s="0" t="n">
        <f aca="false">IF(AND(食数記録!$A22=プレビュー!$C$3,食数記録!$B22="昼",食数記録!$F22="男性入所",食数記録!$D22="欠食"),1,0)</f>
        <v>0</v>
      </c>
      <c r="E22" s="0" t="str">
        <f aca="false">IF(D22=1,SUM($D$2:D22),"")</f>
        <v/>
      </c>
      <c r="F22" s="0" t="n">
        <f aca="false">IF(AND(食数記録!$A22=プレビュー!$C$3,食数記録!$B22="夕",食数記録!$F22="男性入所",食数記録!$D22="欠食"),1,0)</f>
        <v>0</v>
      </c>
      <c r="G22" s="0" t="str">
        <f aca="false">IF(F22=1,SUM($F$2:F22),"")</f>
        <v/>
      </c>
      <c r="H22" s="0" t="n">
        <f aca="false">IF(AND(食数記録!$A22=プレビュー!$C$3,食数記録!$B22="朝",食数記録!$F22="女性入所",食数記録!$D22="欠食"),1,0)</f>
        <v>0</v>
      </c>
      <c r="I22" s="0" t="str">
        <f aca="false">IF(H22=1,SUM($H$2:H22),"")</f>
        <v/>
      </c>
      <c r="J22" s="0" t="n">
        <f aca="false">IF(AND(食数記録!$A22=プレビュー!$C$3,食数記録!$B22="昼",食数記録!$F22="女性入所",食数記録!$D22="欠食"),1,0)</f>
        <v>0</v>
      </c>
      <c r="K22" s="0" t="str">
        <f aca="false">IF(J22=1,SUM($J$2:J22),"")</f>
        <v/>
      </c>
      <c r="L22" s="0" t="n">
        <f aca="false">IF(AND(食数記録!$A22=プレビュー!$C$3,食数記録!$B22="夕",食数記録!$F22="女性入所",食数記録!$D22="欠食"),1,0)</f>
        <v>0</v>
      </c>
      <c r="M22" s="0" t="str">
        <f aca="false">IF(L22=1,SUM($L$2:L22),"")</f>
        <v/>
      </c>
      <c r="N22" s="0" t="n">
        <f aca="false">IF(AND(食数記録!$A22=プレビュー!$C$3,食数記録!$B22="朝",食数記録!$F22="男性GH",食数記録!$D22="臨時喫食"),1,0)</f>
        <v>0</v>
      </c>
      <c r="O22" s="0" t="str">
        <f aca="false">IF(N22=1,SUM($N$2:N22),"")</f>
        <v/>
      </c>
      <c r="P22" s="0" t="n">
        <f aca="false">IF(AND(食数記録!$A22=プレビュー!$C$3,食数記録!$B22="昼",食数記録!$F22="男性GH",食数記録!$D22="臨時喫食"),1,0)</f>
        <v>0</v>
      </c>
      <c r="Q22" s="0" t="str">
        <f aca="false">IF(P22=1,SUM($P$2:P22),"")</f>
        <v/>
      </c>
      <c r="R22" s="0" t="n">
        <f aca="false">IF(AND(食数記録!$A22=プレビュー!$C$3,食数記録!$B22="夕",食数記録!$F22="男性GH",食数記録!$D22="臨時喫食"),1,0)</f>
        <v>0</v>
      </c>
      <c r="S22" s="0" t="str">
        <f aca="false">IF(R22=1,SUM($R$2:R22),"")</f>
        <v/>
      </c>
      <c r="T22" s="0" t="n">
        <f aca="false">IF(AND(食数記録!$A22=プレビュー!$C$3,食数記録!$B22="朝",食数記録!$F22="女性GH",食数記録!$D22="臨時喫食"),1,0)</f>
        <v>0</v>
      </c>
      <c r="U22" s="0" t="str">
        <f aca="false">IF(T22=1,SUM($T$2:T22),"")</f>
        <v/>
      </c>
      <c r="V22" s="0" t="n">
        <f aca="false">IF(AND(食数記録!$A22=プレビュー!$C$3,食数記録!$B22="昼",食数記録!$F22="女性GH",食数記録!$D22="臨時喫食"),1,0)</f>
        <v>0</v>
      </c>
      <c r="W22" s="0" t="str">
        <f aca="false">IF(V22=1,SUM($V$2:V22),"")</f>
        <v/>
      </c>
      <c r="X22" s="0" t="n">
        <f aca="false">IF(AND(食数記録!$A22=プレビュー!$C$3,食数記録!$B22="夕",食数記録!$F22="女性GH",食数記録!$D22="臨時喫食"),1,0)</f>
        <v>0</v>
      </c>
      <c r="Y22" s="0" t="str">
        <f aca="false">IF(X22=1,SUM($X$2:X22),"")</f>
        <v/>
      </c>
    </row>
    <row r="23" customFormat="false" ht="15" hidden="false" customHeight="false" outlineLevel="0" collapsed="false">
      <c r="B23" s="0" t="n">
        <f aca="false">IF(AND(食数記録!$A23=プレビュー!$C$3,食数記録!$B23="朝",食数記録!$F23="男性入所",食数記録!$D23="欠食"),1,0)</f>
        <v>0</v>
      </c>
      <c r="C23" s="0" t="str">
        <f aca="false">IF(B23=1,SUM($B$2:B23),"")</f>
        <v/>
      </c>
      <c r="D23" s="0" t="n">
        <f aca="false">IF(AND(食数記録!$A23=プレビュー!$C$3,食数記録!$B23="昼",食数記録!$F23="男性入所",食数記録!$D23="欠食"),1,0)</f>
        <v>0</v>
      </c>
      <c r="E23" s="0" t="str">
        <f aca="false">IF(D23=1,SUM($D$2:D23),"")</f>
        <v/>
      </c>
      <c r="F23" s="0" t="n">
        <f aca="false">IF(AND(食数記録!$A23=プレビュー!$C$3,食数記録!$B23="夕",食数記録!$F23="男性入所",食数記録!$D23="欠食"),1,0)</f>
        <v>0</v>
      </c>
      <c r="G23" s="0" t="str">
        <f aca="false">IF(F23=1,SUM($F$2:F23),"")</f>
        <v/>
      </c>
      <c r="H23" s="0" t="n">
        <f aca="false">IF(AND(食数記録!$A23=プレビュー!$C$3,食数記録!$B23="朝",食数記録!$F23="女性入所",食数記録!$D23="欠食"),1,0)</f>
        <v>0</v>
      </c>
      <c r="I23" s="0" t="str">
        <f aca="false">IF(H23=1,SUM($H$2:H23),"")</f>
        <v/>
      </c>
      <c r="J23" s="0" t="n">
        <f aca="false">IF(AND(食数記録!$A23=プレビュー!$C$3,食数記録!$B23="昼",食数記録!$F23="女性入所",食数記録!$D23="欠食"),1,0)</f>
        <v>0</v>
      </c>
      <c r="K23" s="0" t="str">
        <f aca="false">IF(J23=1,SUM($J$2:J23),"")</f>
        <v/>
      </c>
      <c r="L23" s="0" t="n">
        <f aca="false">IF(AND(食数記録!$A23=プレビュー!$C$3,食数記録!$B23="夕",食数記録!$F23="女性入所",食数記録!$D23="欠食"),1,0)</f>
        <v>0</v>
      </c>
      <c r="M23" s="0" t="str">
        <f aca="false">IF(L23=1,SUM($L$2:L23),"")</f>
        <v/>
      </c>
      <c r="N23" s="0" t="n">
        <f aca="false">IF(AND(食数記録!$A23=プレビュー!$C$3,食数記録!$B23="朝",食数記録!$F23="男性GH",食数記録!$D23="臨時喫食"),1,0)</f>
        <v>0</v>
      </c>
      <c r="O23" s="0" t="str">
        <f aca="false">IF(N23=1,SUM($N$2:N23),"")</f>
        <v/>
      </c>
      <c r="P23" s="0" t="n">
        <f aca="false">IF(AND(食数記録!$A23=プレビュー!$C$3,食数記録!$B23="昼",食数記録!$F23="男性GH",食数記録!$D23="臨時喫食"),1,0)</f>
        <v>0</v>
      </c>
      <c r="Q23" s="0" t="str">
        <f aca="false">IF(P23=1,SUM($P$2:P23),"")</f>
        <v/>
      </c>
      <c r="R23" s="0" t="n">
        <f aca="false">IF(AND(食数記録!$A23=プレビュー!$C$3,食数記録!$B23="夕",食数記録!$F23="男性GH",食数記録!$D23="臨時喫食"),1,0)</f>
        <v>0</v>
      </c>
      <c r="S23" s="0" t="str">
        <f aca="false">IF(R23=1,SUM($R$2:R23),"")</f>
        <v/>
      </c>
      <c r="T23" s="0" t="n">
        <f aca="false">IF(AND(食数記録!$A23=プレビュー!$C$3,食数記録!$B23="朝",食数記録!$F23="女性GH",食数記録!$D23="臨時喫食"),1,0)</f>
        <v>0</v>
      </c>
      <c r="U23" s="0" t="str">
        <f aca="false">IF(T23=1,SUM($T$2:T23),"")</f>
        <v/>
      </c>
      <c r="V23" s="0" t="n">
        <f aca="false">IF(AND(食数記録!$A23=プレビュー!$C$3,食数記録!$B23="昼",食数記録!$F23="女性GH",食数記録!$D23="臨時喫食"),1,0)</f>
        <v>0</v>
      </c>
      <c r="W23" s="0" t="str">
        <f aca="false">IF(V23=1,SUM($V$2:V23),"")</f>
        <v/>
      </c>
      <c r="X23" s="0" t="n">
        <f aca="false">IF(AND(食数記録!$A23=プレビュー!$C$3,食数記録!$B23="夕",食数記録!$F23="女性GH",食数記録!$D23="臨時喫食"),1,0)</f>
        <v>0</v>
      </c>
      <c r="Y23" s="0" t="str">
        <f aca="false">IF(X23=1,SUM($X$2:X23),"")</f>
        <v/>
      </c>
    </row>
    <row r="24" customFormat="false" ht="15" hidden="false" customHeight="false" outlineLevel="0" collapsed="false">
      <c r="B24" s="0" t="n">
        <f aca="false">IF(AND(食数記録!$A24=プレビュー!$C$3,食数記録!$B24="朝",食数記録!$F24="男性入所",食数記録!$D24="欠食"),1,0)</f>
        <v>0</v>
      </c>
      <c r="C24" s="0" t="str">
        <f aca="false">IF(B24=1,SUM($B$2:B24),"")</f>
        <v/>
      </c>
      <c r="D24" s="0" t="n">
        <f aca="false">IF(AND(食数記録!$A24=プレビュー!$C$3,食数記録!$B24="昼",食数記録!$F24="男性入所",食数記録!$D24="欠食"),1,0)</f>
        <v>0</v>
      </c>
      <c r="E24" s="0" t="str">
        <f aca="false">IF(D24=1,SUM($D$2:D24),"")</f>
        <v/>
      </c>
      <c r="F24" s="0" t="n">
        <f aca="false">IF(AND(食数記録!$A24=プレビュー!$C$3,食数記録!$B24="夕",食数記録!$F24="男性入所",食数記録!$D24="欠食"),1,0)</f>
        <v>0</v>
      </c>
      <c r="G24" s="0" t="str">
        <f aca="false">IF(F24=1,SUM($F$2:F24),"")</f>
        <v/>
      </c>
      <c r="H24" s="0" t="n">
        <f aca="false">IF(AND(食数記録!$A24=プレビュー!$C$3,食数記録!$B24="朝",食数記録!$F24="女性入所",食数記録!$D24="欠食"),1,0)</f>
        <v>0</v>
      </c>
      <c r="I24" s="0" t="str">
        <f aca="false">IF(H24=1,SUM($H$2:H24),"")</f>
        <v/>
      </c>
      <c r="J24" s="0" t="n">
        <f aca="false">IF(AND(食数記録!$A24=プレビュー!$C$3,食数記録!$B24="昼",食数記録!$F24="女性入所",食数記録!$D24="欠食"),1,0)</f>
        <v>0</v>
      </c>
      <c r="K24" s="0" t="str">
        <f aca="false">IF(J24=1,SUM($J$2:J24),"")</f>
        <v/>
      </c>
      <c r="L24" s="0" t="n">
        <f aca="false">IF(AND(食数記録!$A24=プレビュー!$C$3,食数記録!$B24="夕",食数記録!$F24="女性入所",食数記録!$D24="欠食"),1,0)</f>
        <v>0</v>
      </c>
      <c r="M24" s="0" t="str">
        <f aca="false">IF(L24=1,SUM($L$2:L24),"")</f>
        <v/>
      </c>
      <c r="N24" s="0" t="n">
        <f aca="false">IF(AND(食数記録!$A24=プレビュー!$C$3,食数記録!$B24="朝",食数記録!$F24="男性GH",食数記録!$D24="臨時喫食"),1,0)</f>
        <v>0</v>
      </c>
      <c r="O24" s="0" t="str">
        <f aca="false">IF(N24=1,SUM($N$2:N24),"")</f>
        <v/>
      </c>
      <c r="P24" s="0" t="n">
        <f aca="false">IF(AND(食数記録!$A24=プレビュー!$C$3,食数記録!$B24="昼",食数記録!$F24="男性GH",食数記録!$D24="臨時喫食"),1,0)</f>
        <v>0</v>
      </c>
      <c r="Q24" s="0" t="str">
        <f aca="false">IF(P24=1,SUM($P$2:P24),"")</f>
        <v/>
      </c>
      <c r="R24" s="0" t="n">
        <f aca="false">IF(AND(食数記録!$A24=プレビュー!$C$3,食数記録!$B24="夕",食数記録!$F24="男性GH",食数記録!$D24="臨時喫食"),1,0)</f>
        <v>0</v>
      </c>
      <c r="S24" s="0" t="str">
        <f aca="false">IF(R24=1,SUM($R$2:R24),"")</f>
        <v/>
      </c>
      <c r="T24" s="0" t="n">
        <f aca="false">IF(AND(食数記録!$A24=プレビュー!$C$3,食数記録!$B24="朝",食数記録!$F24="女性GH",食数記録!$D24="臨時喫食"),1,0)</f>
        <v>0</v>
      </c>
      <c r="U24" s="0" t="str">
        <f aca="false">IF(T24=1,SUM($T$2:T24),"")</f>
        <v/>
      </c>
      <c r="V24" s="0" t="n">
        <f aca="false">IF(AND(食数記録!$A24=プレビュー!$C$3,食数記録!$B24="昼",食数記録!$F24="女性GH",食数記録!$D24="臨時喫食"),1,0)</f>
        <v>0</v>
      </c>
      <c r="W24" s="0" t="str">
        <f aca="false">IF(V24=1,SUM($V$2:V24),"")</f>
        <v/>
      </c>
      <c r="X24" s="0" t="n">
        <f aca="false">IF(AND(食数記録!$A24=プレビュー!$C$3,食数記録!$B24="夕",食数記録!$F24="女性GH",食数記録!$D24="臨時喫食"),1,0)</f>
        <v>0</v>
      </c>
      <c r="Y24" s="0" t="str">
        <f aca="false">IF(X24=1,SUM($X$2:X24),"")</f>
        <v/>
      </c>
    </row>
    <row r="25" customFormat="false" ht="15" hidden="false" customHeight="false" outlineLevel="0" collapsed="false">
      <c r="B25" s="0" t="n">
        <f aca="false">IF(AND(食数記録!$A25=プレビュー!$C$3,食数記録!$B25="朝",食数記録!$F25="男性入所",食数記録!$D25="欠食"),1,0)</f>
        <v>0</v>
      </c>
      <c r="C25" s="0" t="str">
        <f aca="false">IF(B25=1,SUM($B$2:B25),"")</f>
        <v/>
      </c>
      <c r="D25" s="0" t="n">
        <f aca="false">IF(AND(食数記録!$A25=プレビュー!$C$3,食数記録!$B25="昼",食数記録!$F25="男性入所",食数記録!$D25="欠食"),1,0)</f>
        <v>0</v>
      </c>
      <c r="E25" s="0" t="str">
        <f aca="false">IF(D25=1,SUM($D$2:D25),"")</f>
        <v/>
      </c>
      <c r="F25" s="0" t="n">
        <f aca="false">IF(AND(食数記録!$A25=プレビュー!$C$3,食数記録!$B25="夕",食数記録!$F25="男性入所",食数記録!$D25="欠食"),1,0)</f>
        <v>0</v>
      </c>
      <c r="G25" s="0" t="str">
        <f aca="false">IF(F25=1,SUM($F$2:F25),"")</f>
        <v/>
      </c>
      <c r="H25" s="0" t="n">
        <f aca="false">IF(AND(食数記録!$A25=プレビュー!$C$3,食数記録!$B25="朝",食数記録!$F25="女性入所",食数記録!$D25="欠食"),1,0)</f>
        <v>0</v>
      </c>
      <c r="I25" s="0" t="str">
        <f aca="false">IF(H25=1,SUM($H$2:H25),"")</f>
        <v/>
      </c>
      <c r="J25" s="0" t="n">
        <f aca="false">IF(AND(食数記録!$A25=プレビュー!$C$3,食数記録!$B25="昼",食数記録!$F25="女性入所",食数記録!$D25="欠食"),1,0)</f>
        <v>0</v>
      </c>
      <c r="K25" s="0" t="str">
        <f aca="false">IF(J25=1,SUM($J$2:J25),"")</f>
        <v/>
      </c>
      <c r="L25" s="0" t="n">
        <f aca="false">IF(AND(食数記録!$A25=プレビュー!$C$3,食数記録!$B25="夕",食数記録!$F25="女性入所",食数記録!$D25="欠食"),1,0)</f>
        <v>0</v>
      </c>
      <c r="M25" s="0" t="str">
        <f aca="false">IF(L25=1,SUM($L$2:L25),"")</f>
        <v/>
      </c>
      <c r="N25" s="0" t="n">
        <f aca="false">IF(AND(食数記録!$A25=プレビュー!$C$3,食数記録!$B25="朝",食数記録!$F25="男性GH",食数記録!$D25="臨時喫食"),1,0)</f>
        <v>0</v>
      </c>
      <c r="O25" s="0" t="str">
        <f aca="false">IF(N25=1,SUM($N$2:N25),"")</f>
        <v/>
      </c>
      <c r="P25" s="0" t="n">
        <f aca="false">IF(AND(食数記録!$A25=プレビュー!$C$3,食数記録!$B25="昼",食数記録!$F25="男性GH",食数記録!$D25="臨時喫食"),1,0)</f>
        <v>0</v>
      </c>
      <c r="Q25" s="0" t="str">
        <f aca="false">IF(P25=1,SUM($P$2:P25),"")</f>
        <v/>
      </c>
      <c r="R25" s="0" t="n">
        <f aca="false">IF(AND(食数記録!$A25=プレビュー!$C$3,食数記録!$B25="夕",食数記録!$F25="男性GH",食数記録!$D25="臨時喫食"),1,0)</f>
        <v>0</v>
      </c>
      <c r="S25" s="0" t="str">
        <f aca="false">IF(R25=1,SUM($R$2:R25),"")</f>
        <v/>
      </c>
      <c r="T25" s="0" t="n">
        <f aca="false">IF(AND(食数記録!$A25=プレビュー!$C$3,食数記録!$B25="朝",食数記録!$F25="女性GH",食数記録!$D25="臨時喫食"),1,0)</f>
        <v>0</v>
      </c>
      <c r="U25" s="0" t="str">
        <f aca="false">IF(T25=1,SUM($T$2:T25),"")</f>
        <v/>
      </c>
      <c r="V25" s="0" t="n">
        <f aca="false">IF(AND(食数記録!$A25=プレビュー!$C$3,食数記録!$B25="昼",食数記録!$F25="女性GH",食数記録!$D25="臨時喫食"),1,0)</f>
        <v>0</v>
      </c>
      <c r="W25" s="0" t="str">
        <f aca="false">IF(V25=1,SUM($V$2:V25),"")</f>
        <v/>
      </c>
      <c r="X25" s="0" t="n">
        <f aca="false">IF(AND(食数記録!$A25=プレビュー!$C$3,食数記録!$B25="夕",食数記録!$F25="女性GH",食数記録!$D25="臨時喫食"),1,0)</f>
        <v>0</v>
      </c>
      <c r="Y25" s="0" t="str">
        <f aca="false">IF(X25=1,SUM($X$2:X25),"")</f>
        <v/>
      </c>
    </row>
    <row r="26" customFormat="false" ht="15" hidden="false" customHeight="false" outlineLevel="0" collapsed="false">
      <c r="B26" s="0" t="n">
        <f aca="false">IF(AND(食数記録!$A26=プレビュー!$C$3,食数記録!$B26="朝",食数記録!$F26="男性入所",食数記録!$D26="欠食"),1,0)</f>
        <v>0</v>
      </c>
      <c r="C26" s="0" t="str">
        <f aca="false">IF(B26=1,SUM($B$2:B26),"")</f>
        <v/>
      </c>
      <c r="D26" s="0" t="n">
        <f aca="false">IF(AND(食数記録!$A26=プレビュー!$C$3,食数記録!$B26="昼",食数記録!$F26="男性入所",食数記録!$D26="欠食"),1,0)</f>
        <v>0</v>
      </c>
      <c r="E26" s="0" t="str">
        <f aca="false">IF(D26=1,SUM($D$2:D26),"")</f>
        <v/>
      </c>
      <c r="F26" s="0" t="n">
        <f aca="false">IF(AND(食数記録!$A26=プレビュー!$C$3,食数記録!$B26="夕",食数記録!$F26="男性入所",食数記録!$D26="欠食"),1,0)</f>
        <v>0</v>
      </c>
      <c r="G26" s="0" t="str">
        <f aca="false">IF(F26=1,SUM($F$2:F26),"")</f>
        <v/>
      </c>
      <c r="H26" s="0" t="n">
        <f aca="false">IF(AND(食数記録!$A26=プレビュー!$C$3,食数記録!$B26="朝",食数記録!$F26="女性入所",食数記録!$D26="欠食"),1,0)</f>
        <v>0</v>
      </c>
      <c r="I26" s="0" t="str">
        <f aca="false">IF(H26=1,SUM($H$2:H26),"")</f>
        <v/>
      </c>
      <c r="J26" s="0" t="n">
        <f aca="false">IF(AND(食数記録!$A26=プレビュー!$C$3,食数記録!$B26="昼",食数記録!$F26="女性入所",食数記録!$D26="欠食"),1,0)</f>
        <v>0</v>
      </c>
      <c r="K26" s="0" t="str">
        <f aca="false">IF(J26=1,SUM($J$2:J26),"")</f>
        <v/>
      </c>
      <c r="L26" s="0" t="n">
        <f aca="false">IF(AND(食数記録!$A26=プレビュー!$C$3,食数記録!$B26="夕",食数記録!$F26="女性入所",食数記録!$D26="欠食"),1,0)</f>
        <v>0</v>
      </c>
      <c r="M26" s="0" t="str">
        <f aca="false">IF(L26=1,SUM($L$2:L26),"")</f>
        <v/>
      </c>
      <c r="N26" s="0" t="n">
        <f aca="false">IF(AND(食数記録!$A26=プレビュー!$C$3,食数記録!$B26="朝",食数記録!$F26="男性GH",食数記録!$D26="臨時喫食"),1,0)</f>
        <v>0</v>
      </c>
      <c r="O26" s="0" t="str">
        <f aca="false">IF(N26=1,SUM($N$2:N26),"")</f>
        <v/>
      </c>
      <c r="P26" s="0" t="n">
        <f aca="false">IF(AND(食数記録!$A26=プレビュー!$C$3,食数記録!$B26="昼",食数記録!$F26="男性GH",食数記録!$D26="臨時喫食"),1,0)</f>
        <v>0</v>
      </c>
      <c r="Q26" s="0" t="str">
        <f aca="false">IF(P26=1,SUM($P$2:P26),"")</f>
        <v/>
      </c>
      <c r="R26" s="0" t="n">
        <f aca="false">IF(AND(食数記録!$A26=プレビュー!$C$3,食数記録!$B26="夕",食数記録!$F26="男性GH",食数記録!$D26="臨時喫食"),1,0)</f>
        <v>0</v>
      </c>
      <c r="S26" s="0" t="str">
        <f aca="false">IF(R26=1,SUM($R$2:R26),"")</f>
        <v/>
      </c>
      <c r="T26" s="0" t="n">
        <f aca="false">IF(AND(食数記録!$A26=プレビュー!$C$3,食数記録!$B26="朝",食数記録!$F26="女性GH",食数記録!$D26="臨時喫食"),1,0)</f>
        <v>0</v>
      </c>
      <c r="U26" s="0" t="str">
        <f aca="false">IF(T26=1,SUM($T$2:T26),"")</f>
        <v/>
      </c>
      <c r="V26" s="0" t="n">
        <f aca="false">IF(AND(食数記録!$A26=プレビュー!$C$3,食数記録!$B26="昼",食数記録!$F26="女性GH",食数記録!$D26="臨時喫食"),1,0)</f>
        <v>0</v>
      </c>
      <c r="W26" s="0" t="str">
        <f aca="false">IF(V26=1,SUM($V$2:V26),"")</f>
        <v/>
      </c>
      <c r="X26" s="0" t="n">
        <f aca="false">IF(AND(食数記録!$A26=プレビュー!$C$3,食数記録!$B26="夕",食数記録!$F26="女性GH",食数記録!$D26="臨時喫食"),1,0)</f>
        <v>0</v>
      </c>
      <c r="Y26" s="0" t="str">
        <f aca="false">IF(X26=1,SUM($X$2:X26),"")</f>
        <v/>
      </c>
    </row>
    <row r="27" customFormat="false" ht="15" hidden="false" customHeight="false" outlineLevel="0" collapsed="false">
      <c r="B27" s="0" t="n">
        <f aca="false">IF(AND(食数記録!$A27=プレビュー!$C$3,食数記録!$B27="朝",食数記録!$F27="男性入所",食数記録!$D27="欠食"),1,0)</f>
        <v>0</v>
      </c>
      <c r="C27" s="0" t="str">
        <f aca="false">IF(B27=1,SUM($B$2:B27),"")</f>
        <v/>
      </c>
      <c r="D27" s="0" t="n">
        <f aca="false">IF(AND(食数記録!$A27=プレビュー!$C$3,食数記録!$B27="昼",食数記録!$F27="男性入所",食数記録!$D27="欠食"),1,0)</f>
        <v>0</v>
      </c>
      <c r="E27" s="0" t="str">
        <f aca="false">IF(D27=1,SUM($D$2:D27),"")</f>
        <v/>
      </c>
      <c r="F27" s="0" t="n">
        <f aca="false">IF(AND(食数記録!$A27=プレビュー!$C$3,食数記録!$B27="夕",食数記録!$F27="男性入所",食数記録!$D27="欠食"),1,0)</f>
        <v>0</v>
      </c>
      <c r="G27" s="0" t="str">
        <f aca="false">IF(F27=1,SUM($F$2:F27),"")</f>
        <v/>
      </c>
      <c r="H27" s="0" t="n">
        <f aca="false">IF(AND(食数記録!$A27=プレビュー!$C$3,食数記録!$B27="朝",食数記録!$F27="女性入所",食数記録!$D27="欠食"),1,0)</f>
        <v>0</v>
      </c>
      <c r="I27" s="0" t="str">
        <f aca="false">IF(H27=1,SUM($H$2:H27),"")</f>
        <v/>
      </c>
      <c r="J27" s="0" t="n">
        <f aca="false">IF(AND(食数記録!$A27=プレビュー!$C$3,食数記録!$B27="昼",食数記録!$F27="女性入所",食数記録!$D27="欠食"),1,0)</f>
        <v>0</v>
      </c>
      <c r="K27" s="0" t="str">
        <f aca="false">IF(J27=1,SUM($J$2:J27),"")</f>
        <v/>
      </c>
      <c r="L27" s="0" t="n">
        <f aca="false">IF(AND(食数記録!$A27=プレビュー!$C$3,食数記録!$B27="夕",食数記録!$F27="女性入所",食数記録!$D27="欠食"),1,0)</f>
        <v>0</v>
      </c>
      <c r="M27" s="0" t="str">
        <f aca="false">IF(L27=1,SUM($L$2:L27),"")</f>
        <v/>
      </c>
      <c r="N27" s="0" t="n">
        <f aca="false">IF(AND(食数記録!$A27=プレビュー!$C$3,食数記録!$B27="朝",食数記録!$F27="男性GH",食数記録!$D27="臨時喫食"),1,0)</f>
        <v>0</v>
      </c>
      <c r="O27" s="0" t="str">
        <f aca="false">IF(N27=1,SUM($N$2:N27),"")</f>
        <v/>
      </c>
      <c r="P27" s="0" t="n">
        <f aca="false">IF(AND(食数記録!$A27=プレビュー!$C$3,食数記録!$B27="昼",食数記録!$F27="男性GH",食数記録!$D27="臨時喫食"),1,0)</f>
        <v>0</v>
      </c>
      <c r="Q27" s="0" t="str">
        <f aca="false">IF(P27=1,SUM($P$2:P27),"")</f>
        <v/>
      </c>
      <c r="R27" s="0" t="n">
        <f aca="false">IF(AND(食数記録!$A27=プレビュー!$C$3,食数記録!$B27="夕",食数記録!$F27="男性GH",食数記録!$D27="臨時喫食"),1,0)</f>
        <v>0</v>
      </c>
      <c r="S27" s="0" t="str">
        <f aca="false">IF(R27=1,SUM($R$2:R27),"")</f>
        <v/>
      </c>
      <c r="T27" s="0" t="n">
        <f aca="false">IF(AND(食数記録!$A27=プレビュー!$C$3,食数記録!$B27="朝",食数記録!$F27="女性GH",食数記録!$D27="臨時喫食"),1,0)</f>
        <v>0</v>
      </c>
      <c r="U27" s="0" t="str">
        <f aca="false">IF(T27=1,SUM($T$2:T27),"")</f>
        <v/>
      </c>
      <c r="V27" s="0" t="n">
        <f aca="false">IF(AND(食数記録!$A27=プレビュー!$C$3,食数記録!$B27="昼",食数記録!$F27="女性GH",食数記録!$D27="臨時喫食"),1,0)</f>
        <v>0</v>
      </c>
      <c r="W27" s="0" t="str">
        <f aca="false">IF(V27=1,SUM($V$2:V27),"")</f>
        <v/>
      </c>
      <c r="X27" s="0" t="n">
        <f aca="false">IF(AND(食数記録!$A27=プレビュー!$C$3,食数記録!$B27="夕",食数記録!$F27="女性GH",食数記録!$D27="臨時喫食"),1,0)</f>
        <v>0</v>
      </c>
      <c r="Y27" s="0" t="str">
        <f aca="false">IF(X27=1,SUM($X$2:X27),"")</f>
        <v/>
      </c>
    </row>
    <row r="28" customFormat="false" ht="15" hidden="false" customHeight="false" outlineLevel="0" collapsed="false">
      <c r="B28" s="0" t="n">
        <f aca="false">IF(AND(食数記録!$A28=プレビュー!$C$3,食数記録!$B28="朝",食数記録!$F28="男性入所",食数記録!$D28="欠食"),1,0)</f>
        <v>0</v>
      </c>
      <c r="C28" s="0" t="str">
        <f aca="false">IF(B28=1,SUM($B$2:B28),"")</f>
        <v/>
      </c>
      <c r="D28" s="0" t="n">
        <f aca="false">IF(AND(食数記録!$A28=プレビュー!$C$3,食数記録!$B28="昼",食数記録!$F28="男性入所",食数記録!$D28="欠食"),1,0)</f>
        <v>0</v>
      </c>
      <c r="E28" s="0" t="str">
        <f aca="false">IF(D28=1,SUM($D$2:D28),"")</f>
        <v/>
      </c>
      <c r="F28" s="0" t="n">
        <f aca="false">IF(AND(食数記録!$A28=プレビュー!$C$3,食数記録!$B28="夕",食数記録!$F28="男性入所",食数記録!$D28="欠食"),1,0)</f>
        <v>0</v>
      </c>
      <c r="G28" s="0" t="str">
        <f aca="false">IF(F28=1,SUM($F$2:F28),"")</f>
        <v/>
      </c>
      <c r="H28" s="0" t="n">
        <f aca="false">IF(AND(食数記録!$A28=プレビュー!$C$3,食数記録!$B28="朝",食数記録!$F28="女性入所",食数記録!$D28="欠食"),1,0)</f>
        <v>0</v>
      </c>
      <c r="I28" s="0" t="str">
        <f aca="false">IF(H28=1,SUM($H$2:H28),"")</f>
        <v/>
      </c>
      <c r="J28" s="0" t="n">
        <f aca="false">IF(AND(食数記録!$A28=プレビュー!$C$3,食数記録!$B28="昼",食数記録!$F28="女性入所",食数記録!$D28="欠食"),1,0)</f>
        <v>0</v>
      </c>
      <c r="K28" s="0" t="str">
        <f aca="false">IF(J28=1,SUM($J$2:J28),"")</f>
        <v/>
      </c>
      <c r="L28" s="0" t="n">
        <f aca="false">IF(AND(食数記録!$A28=プレビュー!$C$3,食数記録!$B28="夕",食数記録!$F28="女性入所",食数記録!$D28="欠食"),1,0)</f>
        <v>0</v>
      </c>
      <c r="M28" s="0" t="str">
        <f aca="false">IF(L28=1,SUM($L$2:L28),"")</f>
        <v/>
      </c>
      <c r="N28" s="0" t="n">
        <f aca="false">IF(AND(食数記録!$A28=プレビュー!$C$3,食数記録!$B28="朝",食数記録!$F28="男性GH",食数記録!$D28="臨時喫食"),1,0)</f>
        <v>0</v>
      </c>
      <c r="O28" s="0" t="str">
        <f aca="false">IF(N28=1,SUM($N$2:N28),"")</f>
        <v/>
      </c>
      <c r="P28" s="0" t="n">
        <f aca="false">IF(AND(食数記録!$A28=プレビュー!$C$3,食数記録!$B28="昼",食数記録!$F28="男性GH",食数記録!$D28="臨時喫食"),1,0)</f>
        <v>0</v>
      </c>
      <c r="Q28" s="0" t="str">
        <f aca="false">IF(P28=1,SUM($P$2:P28),"")</f>
        <v/>
      </c>
      <c r="R28" s="0" t="n">
        <f aca="false">IF(AND(食数記録!$A28=プレビュー!$C$3,食数記録!$B28="夕",食数記録!$F28="男性GH",食数記録!$D28="臨時喫食"),1,0)</f>
        <v>0</v>
      </c>
      <c r="S28" s="0" t="str">
        <f aca="false">IF(R28=1,SUM($R$2:R28),"")</f>
        <v/>
      </c>
      <c r="T28" s="0" t="n">
        <f aca="false">IF(AND(食数記録!$A28=プレビュー!$C$3,食数記録!$B28="朝",食数記録!$F28="女性GH",食数記録!$D28="臨時喫食"),1,0)</f>
        <v>0</v>
      </c>
      <c r="U28" s="0" t="str">
        <f aca="false">IF(T28=1,SUM($T$2:T28),"")</f>
        <v/>
      </c>
      <c r="V28" s="0" t="n">
        <f aca="false">IF(AND(食数記録!$A28=プレビュー!$C$3,食数記録!$B28="昼",食数記録!$F28="女性GH",食数記録!$D28="臨時喫食"),1,0)</f>
        <v>0</v>
      </c>
      <c r="W28" s="0" t="str">
        <f aca="false">IF(V28=1,SUM($V$2:V28),"")</f>
        <v/>
      </c>
      <c r="X28" s="0" t="n">
        <f aca="false">IF(AND(食数記録!$A28=プレビュー!$C$3,食数記録!$B28="夕",食数記録!$F28="女性GH",食数記録!$D28="臨時喫食"),1,0)</f>
        <v>0</v>
      </c>
      <c r="Y28" s="0" t="str">
        <f aca="false">IF(X28=1,SUM($X$2:X28),"")</f>
        <v/>
      </c>
    </row>
    <row r="29" customFormat="false" ht="15" hidden="false" customHeight="false" outlineLevel="0" collapsed="false">
      <c r="B29" s="0" t="n">
        <f aca="false">IF(AND(食数記録!$A29=プレビュー!$C$3,食数記録!$B29="朝",食数記録!$F29="男性入所",食数記録!$D29="欠食"),1,0)</f>
        <v>0</v>
      </c>
      <c r="C29" s="0" t="str">
        <f aca="false">IF(B29=1,SUM($B$2:B29),"")</f>
        <v/>
      </c>
      <c r="D29" s="0" t="n">
        <f aca="false">IF(AND(食数記録!$A29=プレビュー!$C$3,食数記録!$B29="昼",食数記録!$F29="男性入所",食数記録!$D29="欠食"),1,0)</f>
        <v>0</v>
      </c>
      <c r="E29" s="0" t="str">
        <f aca="false">IF(D29=1,SUM($D$2:D29),"")</f>
        <v/>
      </c>
      <c r="F29" s="0" t="n">
        <f aca="false">IF(AND(食数記録!$A29=プレビュー!$C$3,食数記録!$B29="夕",食数記録!$F29="男性入所",食数記録!$D29="欠食"),1,0)</f>
        <v>0</v>
      </c>
      <c r="G29" s="0" t="str">
        <f aca="false">IF(F29=1,SUM($F$2:F29),"")</f>
        <v/>
      </c>
      <c r="H29" s="0" t="n">
        <f aca="false">IF(AND(食数記録!$A29=プレビュー!$C$3,食数記録!$B29="朝",食数記録!$F29="女性入所",食数記録!$D29="欠食"),1,0)</f>
        <v>0</v>
      </c>
      <c r="I29" s="0" t="str">
        <f aca="false">IF(H29=1,SUM($H$2:H29),"")</f>
        <v/>
      </c>
      <c r="J29" s="0" t="n">
        <f aca="false">IF(AND(食数記録!$A29=プレビュー!$C$3,食数記録!$B29="昼",食数記録!$F29="女性入所",食数記録!$D29="欠食"),1,0)</f>
        <v>0</v>
      </c>
      <c r="K29" s="0" t="str">
        <f aca="false">IF(J29=1,SUM($J$2:J29),"")</f>
        <v/>
      </c>
      <c r="L29" s="0" t="n">
        <f aca="false">IF(AND(食数記録!$A29=プレビュー!$C$3,食数記録!$B29="夕",食数記録!$F29="女性入所",食数記録!$D29="欠食"),1,0)</f>
        <v>0</v>
      </c>
      <c r="M29" s="0" t="str">
        <f aca="false">IF(L29=1,SUM($L$2:L29),"")</f>
        <v/>
      </c>
      <c r="N29" s="0" t="n">
        <f aca="false">IF(AND(食数記録!$A29=プレビュー!$C$3,食数記録!$B29="朝",食数記録!$F29="男性GH",食数記録!$D29="臨時喫食"),1,0)</f>
        <v>0</v>
      </c>
      <c r="O29" s="0" t="str">
        <f aca="false">IF(N29=1,SUM($N$2:N29),"")</f>
        <v/>
      </c>
      <c r="P29" s="0" t="n">
        <f aca="false">IF(AND(食数記録!$A29=プレビュー!$C$3,食数記録!$B29="昼",食数記録!$F29="男性GH",食数記録!$D29="臨時喫食"),1,0)</f>
        <v>0</v>
      </c>
      <c r="Q29" s="0" t="str">
        <f aca="false">IF(P29=1,SUM($P$2:P29),"")</f>
        <v/>
      </c>
      <c r="R29" s="0" t="n">
        <f aca="false">IF(AND(食数記録!$A29=プレビュー!$C$3,食数記録!$B29="夕",食数記録!$F29="男性GH",食数記録!$D29="臨時喫食"),1,0)</f>
        <v>0</v>
      </c>
      <c r="S29" s="0" t="str">
        <f aca="false">IF(R29=1,SUM($R$2:R29),"")</f>
        <v/>
      </c>
      <c r="T29" s="0" t="n">
        <f aca="false">IF(AND(食数記録!$A29=プレビュー!$C$3,食数記録!$B29="朝",食数記録!$F29="女性GH",食数記録!$D29="臨時喫食"),1,0)</f>
        <v>0</v>
      </c>
      <c r="U29" s="0" t="str">
        <f aca="false">IF(T29=1,SUM($T$2:T29),"")</f>
        <v/>
      </c>
      <c r="V29" s="0" t="n">
        <f aca="false">IF(AND(食数記録!$A29=プレビュー!$C$3,食数記録!$B29="昼",食数記録!$F29="女性GH",食数記録!$D29="臨時喫食"),1,0)</f>
        <v>0</v>
      </c>
      <c r="W29" s="0" t="str">
        <f aca="false">IF(V29=1,SUM($V$2:V29),"")</f>
        <v/>
      </c>
      <c r="X29" s="0" t="n">
        <f aca="false">IF(AND(食数記録!$A29=プレビュー!$C$3,食数記録!$B29="夕",食数記録!$F29="女性GH",食数記録!$D29="臨時喫食"),1,0)</f>
        <v>0</v>
      </c>
      <c r="Y29" s="0" t="str">
        <f aca="false">IF(X29=1,SUM($X$2:X29),"")</f>
        <v/>
      </c>
    </row>
    <row r="30" customFormat="false" ht="15" hidden="false" customHeight="false" outlineLevel="0" collapsed="false">
      <c r="B30" s="0" t="n">
        <f aca="false">IF(AND(食数記録!$A30=プレビュー!$C$3,食数記録!$B30="朝",食数記録!$F30="男性入所",食数記録!$D30="欠食"),1,0)</f>
        <v>0</v>
      </c>
      <c r="C30" s="0" t="str">
        <f aca="false">IF(B30=1,SUM($B$2:B30),"")</f>
        <v/>
      </c>
      <c r="D30" s="0" t="n">
        <f aca="false">IF(AND(食数記録!$A30=プレビュー!$C$3,食数記録!$B30="昼",食数記録!$F30="男性入所",食数記録!$D30="欠食"),1,0)</f>
        <v>0</v>
      </c>
      <c r="E30" s="0" t="str">
        <f aca="false">IF(D30=1,SUM($D$2:D30),"")</f>
        <v/>
      </c>
      <c r="F30" s="0" t="n">
        <f aca="false">IF(AND(食数記録!$A30=プレビュー!$C$3,食数記録!$B30="夕",食数記録!$F30="男性入所",食数記録!$D30="欠食"),1,0)</f>
        <v>0</v>
      </c>
      <c r="G30" s="0" t="str">
        <f aca="false">IF(F30=1,SUM($F$2:F30),"")</f>
        <v/>
      </c>
      <c r="H30" s="0" t="n">
        <f aca="false">IF(AND(食数記録!$A30=プレビュー!$C$3,食数記録!$B30="朝",食数記録!$F30="女性入所",食数記録!$D30="欠食"),1,0)</f>
        <v>0</v>
      </c>
      <c r="I30" s="0" t="str">
        <f aca="false">IF(H30=1,SUM($H$2:H30),"")</f>
        <v/>
      </c>
      <c r="J30" s="0" t="n">
        <f aca="false">IF(AND(食数記録!$A30=プレビュー!$C$3,食数記録!$B30="昼",食数記録!$F30="女性入所",食数記録!$D30="欠食"),1,0)</f>
        <v>0</v>
      </c>
      <c r="K30" s="0" t="str">
        <f aca="false">IF(J30=1,SUM($J$2:J30),"")</f>
        <v/>
      </c>
      <c r="L30" s="0" t="n">
        <f aca="false">IF(AND(食数記録!$A30=プレビュー!$C$3,食数記録!$B30="夕",食数記録!$F30="女性入所",食数記録!$D30="欠食"),1,0)</f>
        <v>0</v>
      </c>
      <c r="M30" s="0" t="str">
        <f aca="false">IF(L30=1,SUM($L$2:L30),"")</f>
        <v/>
      </c>
      <c r="N30" s="0" t="n">
        <f aca="false">IF(AND(食数記録!$A30=プレビュー!$C$3,食数記録!$B30="朝",食数記録!$F30="男性GH",食数記録!$D30="臨時喫食"),1,0)</f>
        <v>0</v>
      </c>
      <c r="O30" s="0" t="str">
        <f aca="false">IF(N30=1,SUM($N$2:N30),"")</f>
        <v/>
      </c>
      <c r="P30" s="0" t="n">
        <f aca="false">IF(AND(食数記録!$A30=プレビュー!$C$3,食数記録!$B30="昼",食数記録!$F30="男性GH",食数記録!$D30="臨時喫食"),1,0)</f>
        <v>0</v>
      </c>
      <c r="Q30" s="0" t="str">
        <f aca="false">IF(P30=1,SUM($P$2:P30),"")</f>
        <v/>
      </c>
      <c r="R30" s="0" t="n">
        <f aca="false">IF(AND(食数記録!$A30=プレビュー!$C$3,食数記録!$B30="夕",食数記録!$F30="男性GH",食数記録!$D30="臨時喫食"),1,0)</f>
        <v>0</v>
      </c>
      <c r="S30" s="0" t="str">
        <f aca="false">IF(R30=1,SUM($R$2:R30),"")</f>
        <v/>
      </c>
      <c r="T30" s="0" t="n">
        <f aca="false">IF(AND(食数記録!$A30=プレビュー!$C$3,食数記録!$B30="朝",食数記録!$F30="女性GH",食数記録!$D30="臨時喫食"),1,0)</f>
        <v>0</v>
      </c>
      <c r="U30" s="0" t="str">
        <f aca="false">IF(T30=1,SUM($T$2:T30),"")</f>
        <v/>
      </c>
      <c r="V30" s="0" t="n">
        <f aca="false">IF(AND(食数記録!$A30=プレビュー!$C$3,食数記録!$B30="昼",食数記録!$F30="女性GH",食数記録!$D30="臨時喫食"),1,0)</f>
        <v>0</v>
      </c>
      <c r="W30" s="0" t="str">
        <f aca="false">IF(V30=1,SUM($V$2:V30),"")</f>
        <v/>
      </c>
      <c r="X30" s="0" t="n">
        <f aca="false">IF(AND(食数記録!$A30=プレビュー!$C$3,食数記録!$B30="夕",食数記録!$F30="女性GH",食数記録!$D30="臨時喫食"),1,0)</f>
        <v>0</v>
      </c>
      <c r="Y30" s="0" t="str">
        <f aca="false">IF(X30=1,SUM($X$2:X30),"")</f>
        <v/>
      </c>
    </row>
    <row r="31" customFormat="false" ht="15" hidden="false" customHeight="false" outlineLevel="0" collapsed="false">
      <c r="B31" s="0" t="n">
        <f aca="false">IF(AND(食数記録!$A31=プレビュー!$C$3,食数記録!$B31="朝",食数記録!$F31="男性入所",食数記録!$D31="欠食"),1,0)</f>
        <v>0</v>
      </c>
      <c r="C31" s="0" t="str">
        <f aca="false">IF(B31=1,SUM($B$2:B31),"")</f>
        <v/>
      </c>
      <c r="D31" s="0" t="n">
        <f aca="false">IF(AND(食数記録!$A31=プレビュー!$C$3,食数記録!$B31="昼",食数記録!$F31="男性入所",食数記録!$D31="欠食"),1,0)</f>
        <v>0</v>
      </c>
      <c r="E31" s="0" t="str">
        <f aca="false">IF(D31=1,SUM($D$2:D31),"")</f>
        <v/>
      </c>
      <c r="F31" s="0" t="n">
        <f aca="false">IF(AND(食数記録!$A31=プレビュー!$C$3,食数記録!$B31="夕",食数記録!$F31="男性入所",食数記録!$D31="欠食"),1,0)</f>
        <v>0</v>
      </c>
      <c r="G31" s="0" t="str">
        <f aca="false">IF(F31=1,SUM($F$2:F31),"")</f>
        <v/>
      </c>
      <c r="H31" s="0" t="n">
        <f aca="false">IF(AND(食数記録!$A31=プレビュー!$C$3,食数記録!$B31="朝",食数記録!$F31="女性入所",食数記録!$D31="欠食"),1,0)</f>
        <v>0</v>
      </c>
      <c r="I31" s="0" t="str">
        <f aca="false">IF(H31=1,SUM($H$2:H31),"")</f>
        <v/>
      </c>
      <c r="J31" s="0" t="n">
        <f aca="false">IF(AND(食数記録!$A31=プレビュー!$C$3,食数記録!$B31="昼",食数記録!$F31="女性入所",食数記録!$D31="欠食"),1,0)</f>
        <v>0</v>
      </c>
      <c r="K31" s="0" t="str">
        <f aca="false">IF(J31=1,SUM($J$2:J31),"")</f>
        <v/>
      </c>
      <c r="L31" s="0" t="n">
        <f aca="false">IF(AND(食数記録!$A31=プレビュー!$C$3,食数記録!$B31="夕",食数記録!$F31="女性入所",食数記録!$D31="欠食"),1,0)</f>
        <v>0</v>
      </c>
      <c r="M31" s="0" t="str">
        <f aca="false">IF(L31=1,SUM($L$2:L31),"")</f>
        <v/>
      </c>
      <c r="N31" s="0" t="n">
        <f aca="false">IF(AND(食数記録!$A31=プレビュー!$C$3,食数記録!$B31="朝",食数記録!$F31="男性GH",食数記録!$D31="臨時喫食"),1,0)</f>
        <v>0</v>
      </c>
      <c r="O31" s="0" t="str">
        <f aca="false">IF(N31=1,SUM($N$2:N31),"")</f>
        <v/>
      </c>
      <c r="P31" s="0" t="n">
        <f aca="false">IF(AND(食数記録!$A31=プレビュー!$C$3,食数記録!$B31="昼",食数記録!$F31="男性GH",食数記録!$D31="臨時喫食"),1,0)</f>
        <v>0</v>
      </c>
      <c r="Q31" s="0" t="str">
        <f aca="false">IF(P31=1,SUM($P$2:P31),"")</f>
        <v/>
      </c>
      <c r="R31" s="0" t="n">
        <f aca="false">IF(AND(食数記録!$A31=プレビュー!$C$3,食数記録!$B31="夕",食数記録!$F31="男性GH",食数記録!$D31="臨時喫食"),1,0)</f>
        <v>0</v>
      </c>
      <c r="S31" s="0" t="str">
        <f aca="false">IF(R31=1,SUM($R$2:R31),"")</f>
        <v/>
      </c>
      <c r="T31" s="0" t="n">
        <f aca="false">IF(AND(食数記録!$A31=プレビュー!$C$3,食数記録!$B31="朝",食数記録!$F31="女性GH",食数記録!$D31="臨時喫食"),1,0)</f>
        <v>0</v>
      </c>
      <c r="U31" s="0" t="str">
        <f aca="false">IF(T31=1,SUM($T$2:T31),"")</f>
        <v/>
      </c>
      <c r="V31" s="0" t="n">
        <f aca="false">IF(AND(食数記録!$A31=プレビュー!$C$3,食数記録!$B31="昼",食数記録!$F31="女性GH",食数記録!$D31="臨時喫食"),1,0)</f>
        <v>0</v>
      </c>
      <c r="W31" s="0" t="str">
        <f aca="false">IF(V31=1,SUM($V$2:V31),"")</f>
        <v/>
      </c>
      <c r="X31" s="0" t="n">
        <f aca="false">IF(AND(食数記録!$A31=プレビュー!$C$3,食数記録!$B31="夕",食数記録!$F31="女性GH",食数記録!$D31="臨時喫食"),1,0)</f>
        <v>0</v>
      </c>
      <c r="Y31" s="0" t="str">
        <f aca="false">IF(X31=1,SUM($X$2:X31),"")</f>
        <v/>
      </c>
    </row>
    <row r="32" customFormat="false" ht="15" hidden="false" customHeight="false" outlineLevel="0" collapsed="false">
      <c r="B32" s="0" t="n">
        <f aca="false">IF(AND(食数記録!$A32=プレビュー!$C$3,食数記録!$B32="朝",食数記録!$F32="男性入所",食数記録!$D32="欠食"),1,0)</f>
        <v>0</v>
      </c>
      <c r="C32" s="0" t="str">
        <f aca="false">IF(B32=1,SUM($B$2:B32),"")</f>
        <v/>
      </c>
      <c r="D32" s="0" t="n">
        <f aca="false">IF(AND(食数記録!$A32=プレビュー!$C$3,食数記録!$B32="昼",食数記録!$F32="男性入所",食数記録!$D32="欠食"),1,0)</f>
        <v>0</v>
      </c>
      <c r="E32" s="0" t="str">
        <f aca="false">IF(D32=1,SUM($D$2:D32),"")</f>
        <v/>
      </c>
      <c r="F32" s="0" t="n">
        <f aca="false">IF(AND(食数記録!$A32=プレビュー!$C$3,食数記録!$B32="夕",食数記録!$F32="男性入所",食数記録!$D32="欠食"),1,0)</f>
        <v>0</v>
      </c>
      <c r="G32" s="0" t="str">
        <f aca="false">IF(F32=1,SUM($F$2:F32),"")</f>
        <v/>
      </c>
      <c r="H32" s="0" t="n">
        <f aca="false">IF(AND(食数記録!$A32=プレビュー!$C$3,食数記録!$B32="朝",食数記録!$F32="女性入所",食数記録!$D32="欠食"),1,0)</f>
        <v>0</v>
      </c>
      <c r="I32" s="0" t="str">
        <f aca="false">IF(H32=1,SUM($H$2:H32),"")</f>
        <v/>
      </c>
      <c r="J32" s="0" t="n">
        <f aca="false">IF(AND(食数記録!$A32=プレビュー!$C$3,食数記録!$B32="昼",食数記録!$F32="女性入所",食数記録!$D32="欠食"),1,0)</f>
        <v>0</v>
      </c>
      <c r="K32" s="0" t="str">
        <f aca="false">IF(J32=1,SUM($J$2:J32),"")</f>
        <v/>
      </c>
      <c r="L32" s="0" t="n">
        <f aca="false">IF(AND(食数記録!$A32=プレビュー!$C$3,食数記録!$B32="夕",食数記録!$F32="女性入所",食数記録!$D32="欠食"),1,0)</f>
        <v>0</v>
      </c>
      <c r="M32" s="0" t="str">
        <f aca="false">IF(L32=1,SUM($L$2:L32),"")</f>
        <v/>
      </c>
      <c r="N32" s="0" t="n">
        <f aca="false">IF(AND(食数記録!$A32=プレビュー!$C$3,食数記録!$B32="朝",食数記録!$F32="男性GH",食数記録!$D32="臨時喫食"),1,0)</f>
        <v>0</v>
      </c>
      <c r="O32" s="0" t="str">
        <f aca="false">IF(N32=1,SUM($N$2:N32),"")</f>
        <v/>
      </c>
      <c r="P32" s="0" t="n">
        <f aca="false">IF(AND(食数記録!$A32=プレビュー!$C$3,食数記録!$B32="昼",食数記録!$F32="男性GH",食数記録!$D32="臨時喫食"),1,0)</f>
        <v>0</v>
      </c>
      <c r="Q32" s="0" t="str">
        <f aca="false">IF(P32=1,SUM($P$2:P32),"")</f>
        <v/>
      </c>
      <c r="R32" s="0" t="n">
        <f aca="false">IF(AND(食数記録!$A32=プレビュー!$C$3,食数記録!$B32="夕",食数記録!$F32="男性GH",食数記録!$D32="臨時喫食"),1,0)</f>
        <v>0</v>
      </c>
      <c r="S32" s="0" t="str">
        <f aca="false">IF(R32=1,SUM($R$2:R32),"")</f>
        <v/>
      </c>
      <c r="T32" s="0" t="n">
        <f aca="false">IF(AND(食数記録!$A32=プレビュー!$C$3,食数記録!$B32="朝",食数記録!$F32="女性GH",食数記録!$D32="臨時喫食"),1,0)</f>
        <v>0</v>
      </c>
      <c r="U32" s="0" t="str">
        <f aca="false">IF(T32=1,SUM($T$2:T32),"")</f>
        <v/>
      </c>
      <c r="V32" s="0" t="n">
        <f aca="false">IF(AND(食数記録!$A32=プレビュー!$C$3,食数記録!$B32="昼",食数記録!$F32="女性GH",食数記録!$D32="臨時喫食"),1,0)</f>
        <v>0</v>
      </c>
      <c r="W32" s="0" t="str">
        <f aca="false">IF(V32=1,SUM($V$2:V32),"")</f>
        <v/>
      </c>
      <c r="X32" s="0" t="n">
        <f aca="false">IF(AND(食数記録!$A32=プレビュー!$C$3,食数記録!$B32="夕",食数記録!$F32="女性GH",食数記録!$D32="臨時喫食"),1,0)</f>
        <v>0</v>
      </c>
      <c r="Y32" s="0" t="str">
        <f aca="false">IF(X32=1,SUM($X$2:X32),"")</f>
        <v/>
      </c>
    </row>
    <row r="33" customFormat="false" ht="15" hidden="false" customHeight="false" outlineLevel="0" collapsed="false">
      <c r="B33" s="0" t="n">
        <f aca="false">IF(AND(食数記録!$A33=プレビュー!$C$3,食数記録!$B33="朝",食数記録!$F33="男性入所",食数記録!$D33="欠食"),1,0)</f>
        <v>0</v>
      </c>
      <c r="C33" s="0" t="str">
        <f aca="false">IF(B33=1,SUM($B$2:B33),"")</f>
        <v/>
      </c>
      <c r="D33" s="0" t="n">
        <f aca="false">IF(AND(食数記録!$A33=プレビュー!$C$3,食数記録!$B33="昼",食数記録!$F33="男性入所",食数記録!$D33="欠食"),1,0)</f>
        <v>0</v>
      </c>
      <c r="E33" s="0" t="str">
        <f aca="false">IF(D33=1,SUM($D$2:D33),"")</f>
        <v/>
      </c>
      <c r="F33" s="0" t="n">
        <f aca="false">IF(AND(食数記録!$A33=プレビュー!$C$3,食数記録!$B33="夕",食数記録!$F33="男性入所",食数記録!$D33="欠食"),1,0)</f>
        <v>0</v>
      </c>
      <c r="G33" s="0" t="str">
        <f aca="false">IF(F33=1,SUM($F$2:F33),"")</f>
        <v/>
      </c>
      <c r="H33" s="0" t="n">
        <f aca="false">IF(AND(食数記録!$A33=プレビュー!$C$3,食数記録!$B33="朝",食数記録!$F33="女性入所",食数記録!$D33="欠食"),1,0)</f>
        <v>0</v>
      </c>
      <c r="I33" s="0" t="str">
        <f aca="false">IF(H33=1,SUM($H$2:H33),"")</f>
        <v/>
      </c>
      <c r="J33" s="0" t="n">
        <f aca="false">IF(AND(食数記録!$A33=プレビュー!$C$3,食数記録!$B33="昼",食数記録!$F33="女性入所",食数記録!$D33="欠食"),1,0)</f>
        <v>0</v>
      </c>
      <c r="K33" s="0" t="str">
        <f aca="false">IF(J33=1,SUM($J$2:J33),"")</f>
        <v/>
      </c>
      <c r="L33" s="0" t="n">
        <f aca="false">IF(AND(食数記録!$A33=プレビュー!$C$3,食数記録!$B33="夕",食数記録!$F33="女性入所",食数記録!$D33="欠食"),1,0)</f>
        <v>0</v>
      </c>
      <c r="M33" s="0" t="str">
        <f aca="false">IF(L33=1,SUM($L$2:L33),"")</f>
        <v/>
      </c>
      <c r="N33" s="0" t="n">
        <f aca="false">IF(AND(食数記録!$A33=プレビュー!$C$3,食数記録!$B33="朝",食数記録!$F33="男性GH",食数記録!$D33="臨時喫食"),1,0)</f>
        <v>0</v>
      </c>
      <c r="O33" s="0" t="str">
        <f aca="false">IF(N33=1,SUM($N$2:N33),"")</f>
        <v/>
      </c>
      <c r="P33" s="0" t="n">
        <f aca="false">IF(AND(食数記録!$A33=プレビュー!$C$3,食数記録!$B33="昼",食数記録!$F33="男性GH",食数記録!$D33="臨時喫食"),1,0)</f>
        <v>0</v>
      </c>
      <c r="Q33" s="0" t="str">
        <f aca="false">IF(P33=1,SUM($P$2:P33),"")</f>
        <v/>
      </c>
      <c r="R33" s="0" t="n">
        <f aca="false">IF(AND(食数記録!$A33=プレビュー!$C$3,食数記録!$B33="夕",食数記録!$F33="男性GH",食数記録!$D33="臨時喫食"),1,0)</f>
        <v>0</v>
      </c>
      <c r="S33" s="0" t="str">
        <f aca="false">IF(R33=1,SUM($R$2:R33),"")</f>
        <v/>
      </c>
      <c r="T33" s="0" t="n">
        <f aca="false">IF(AND(食数記録!$A33=プレビュー!$C$3,食数記録!$B33="朝",食数記録!$F33="女性GH",食数記録!$D33="臨時喫食"),1,0)</f>
        <v>0</v>
      </c>
      <c r="U33" s="0" t="str">
        <f aca="false">IF(T33=1,SUM($T$2:T33),"")</f>
        <v/>
      </c>
      <c r="V33" s="0" t="n">
        <f aca="false">IF(AND(食数記録!$A33=プレビュー!$C$3,食数記録!$B33="昼",食数記録!$F33="女性GH",食数記録!$D33="臨時喫食"),1,0)</f>
        <v>0</v>
      </c>
      <c r="W33" s="0" t="str">
        <f aca="false">IF(V33=1,SUM($V$2:V33),"")</f>
        <v/>
      </c>
      <c r="X33" s="0" t="n">
        <f aca="false">IF(AND(食数記録!$A33=プレビュー!$C$3,食数記録!$B33="夕",食数記録!$F33="女性GH",食数記録!$D33="臨時喫食"),1,0)</f>
        <v>0</v>
      </c>
      <c r="Y33" s="0" t="str">
        <f aca="false">IF(X33=1,SUM($X$2:X33),"")</f>
        <v/>
      </c>
    </row>
    <row r="34" customFormat="false" ht="15" hidden="false" customHeight="false" outlineLevel="0" collapsed="false">
      <c r="B34" s="0" t="n">
        <f aca="false">IF(AND(食数記録!$A34=プレビュー!$C$3,食数記録!$B34="朝",食数記録!$F34="男性入所",食数記録!$D34="欠食"),1,0)</f>
        <v>0</v>
      </c>
      <c r="C34" s="0" t="str">
        <f aca="false">IF(B34=1,SUM($B$2:B34),"")</f>
        <v/>
      </c>
      <c r="D34" s="0" t="n">
        <f aca="false">IF(AND(食数記録!$A34=プレビュー!$C$3,食数記録!$B34="昼",食数記録!$F34="男性入所",食数記録!$D34="欠食"),1,0)</f>
        <v>0</v>
      </c>
      <c r="E34" s="0" t="str">
        <f aca="false">IF(D34=1,SUM($D$2:D34),"")</f>
        <v/>
      </c>
      <c r="F34" s="0" t="n">
        <f aca="false">IF(AND(食数記録!$A34=プレビュー!$C$3,食数記録!$B34="夕",食数記録!$F34="男性入所",食数記録!$D34="欠食"),1,0)</f>
        <v>0</v>
      </c>
      <c r="G34" s="0" t="str">
        <f aca="false">IF(F34=1,SUM($F$2:F34),"")</f>
        <v/>
      </c>
      <c r="H34" s="0" t="n">
        <f aca="false">IF(AND(食数記録!$A34=プレビュー!$C$3,食数記録!$B34="朝",食数記録!$F34="女性入所",食数記録!$D34="欠食"),1,0)</f>
        <v>0</v>
      </c>
      <c r="I34" s="0" t="str">
        <f aca="false">IF(H34=1,SUM($H$2:H34),"")</f>
        <v/>
      </c>
      <c r="J34" s="0" t="n">
        <f aca="false">IF(AND(食数記録!$A34=プレビュー!$C$3,食数記録!$B34="昼",食数記録!$F34="女性入所",食数記録!$D34="欠食"),1,0)</f>
        <v>0</v>
      </c>
      <c r="K34" s="0" t="str">
        <f aca="false">IF(J34=1,SUM($J$2:J34),"")</f>
        <v/>
      </c>
      <c r="L34" s="0" t="n">
        <f aca="false">IF(AND(食数記録!$A34=プレビュー!$C$3,食数記録!$B34="夕",食数記録!$F34="女性入所",食数記録!$D34="欠食"),1,0)</f>
        <v>0</v>
      </c>
      <c r="M34" s="0" t="str">
        <f aca="false">IF(L34=1,SUM($L$2:L34),"")</f>
        <v/>
      </c>
      <c r="N34" s="0" t="n">
        <f aca="false">IF(AND(食数記録!$A34=プレビュー!$C$3,食数記録!$B34="朝",食数記録!$F34="男性GH",食数記録!$D34="臨時喫食"),1,0)</f>
        <v>0</v>
      </c>
      <c r="O34" s="0" t="str">
        <f aca="false">IF(N34=1,SUM($N$2:N34),"")</f>
        <v/>
      </c>
      <c r="P34" s="0" t="n">
        <f aca="false">IF(AND(食数記録!$A34=プレビュー!$C$3,食数記録!$B34="昼",食数記録!$F34="男性GH",食数記録!$D34="臨時喫食"),1,0)</f>
        <v>0</v>
      </c>
      <c r="Q34" s="0" t="str">
        <f aca="false">IF(P34=1,SUM($P$2:P34),"")</f>
        <v/>
      </c>
      <c r="R34" s="0" t="n">
        <f aca="false">IF(AND(食数記録!$A34=プレビュー!$C$3,食数記録!$B34="夕",食数記録!$F34="男性GH",食数記録!$D34="臨時喫食"),1,0)</f>
        <v>0</v>
      </c>
      <c r="S34" s="0" t="str">
        <f aca="false">IF(R34=1,SUM($R$2:R34),"")</f>
        <v/>
      </c>
      <c r="T34" s="0" t="n">
        <f aca="false">IF(AND(食数記録!$A34=プレビュー!$C$3,食数記録!$B34="朝",食数記録!$F34="女性GH",食数記録!$D34="臨時喫食"),1,0)</f>
        <v>0</v>
      </c>
      <c r="U34" s="0" t="str">
        <f aca="false">IF(T34=1,SUM($T$2:T34),"")</f>
        <v/>
      </c>
      <c r="V34" s="0" t="n">
        <f aca="false">IF(AND(食数記録!$A34=プレビュー!$C$3,食数記録!$B34="昼",食数記録!$F34="女性GH",食数記録!$D34="臨時喫食"),1,0)</f>
        <v>0</v>
      </c>
      <c r="W34" s="0" t="str">
        <f aca="false">IF(V34=1,SUM($V$2:V34),"")</f>
        <v/>
      </c>
      <c r="X34" s="0" t="n">
        <f aca="false">IF(AND(食数記録!$A34=プレビュー!$C$3,食数記録!$B34="夕",食数記録!$F34="女性GH",食数記録!$D34="臨時喫食"),1,0)</f>
        <v>0</v>
      </c>
      <c r="Y34" s="0" t="str">
        <f aca="false">IF(X34=1,SUM($X$2:X34),"")</f>
        <v/>
      </c>
    </row>
    <row r="35" customFormat="false" ht="15" hidden="false" customHeight="false" outlineLevel="0" collapsed="false">
      <c r="B35" s="0" t="n">
        <f aca="false">IF(AND(食数記録!$A35=プレビュー!$C$3,食数記録!$B35="朝",食数記録!$F35="男性入所",食数記録!$D35="欠食"),1,0)</f>
        <v>0</v>
      </c>
      <c r="C35" s="0" t="str">
        <f aca="false">IF(B35=1,SUM($B$2:B35),"")</f>
        <v/>
      </c>
      <c r="D35" s="0" t="n">
        <f aca="false">IF(AND(食数記録!$A35=プレビュー!$C$3,食数記録!$B35="昼",食数記録!$F35="男性入所",食数記録!$D35="欠食"),1,0)</f>
        <v>0</v>
      </c>
      <c r="E35" s="0" t="str">
        <f aca="false">IF(D35=1,SUM($D$2:D35),"")</f>
        <v/>
      </c>
      <c r="F35" s="0" t="n">
        <f aca="false">IF(AND(食数記録!$A35=プレビュー!$C$3,食数記録!$B35="夕",食数記録!$F35="男性入所",食数記録!$D35="欠食"),1,0)</f>
        <v>0</v>
      </c>
      <c r="G35" s="0" t="str">
        <f aca="false">IF(F35=1,SUM($F$2:F35),"")</f>
        <v/>
      </c>
      <c r="H35" s="0" t="n">
        <f aca="false">IF(AND(食数記録!$A35=プレビュー!$C$3,食数記録!$B35="朝",食数記録!$F35="女性入所",食数記録!$D35="欠食"),1,0)</f>
        <v>0</v>
      </c>
      <c r="I35" s="0" t="str">
        <f aca="false">IF(H35=1,SUM($H$2:H35),"")</f>
        <v/>
      </c>
      <c r="J35" s="0" t="n">
        <f aca="false">IF(AND(食数記録!$A35=プレビュー!$C$3,食数記録!$B35="昼",食数記録!$F35="女性入所",食数記録!$D35="欠食"),1,0)</f>
        <v>0</v>
      </c>
      <c r="K35" s="0" t="str">
        <f aca="false">IF(J35=1,SUM($J$2:J35),"")</f>
        <v/>
      </c>
      <c r="L35" s="0" t="n">
        <f aca="false">IF(AND(食数記録!$A35=プレビュー!$C$3,食数記録!$B35="夕",食数記録!$F35="女性入所",食数記録!$D35="欠食"),1,0)</f>
        <v>0</v>
      </c>
      <c r="M35" s="0" t="str">
        <f aca="false">IF(L35=1,SUM($L$2:L35),"")</f>
        <v/>
      </c>
      <c r="N35" s="0" t="n">
        <f aca="false">IF(AND(食数記録!$A35=プレビュー!$C$3,食数記録!$B35="朝",食数記録!$F35="男性GH",食数記録!$D35="臨時喫食"),1,0)</f>
        <v>0</v>
      </c>
      <c r="O35" s="0" t="str">
        <f aca="false">IF(N35=1,SUM($N$2:N35),"")</f>
        <v/>
      </c>
      <c r="P35" s="0" t="n">
        <f aca="false">IF(AND(食数記録!$A35=プレビュー!$C$3,食数記録!$B35="昼",食数記録!$F35="男性GH",食数記録!$D35="臨時喫食"),1,0)</f>
        <v>0</v>
      </c>
      <c r="Q35" s="0" t="str">
        <f aca="false">IF(P35=1,SUM($P$2:P35),"")</f>
        <v/>
      </c>
      <c r="R35" s="0" t="n">
        <f aca="false">IF(AND(食数記録!$A35=プレビュー!$C$3,食数記録!$B35="夕",食数記録!$F35="男性GH",食数記録!$D35="臨時喫食"),1,0)</f>
        <v>0</v>
      </c>
      <c r="S35" s="0" t="str">
        <f aca="false">IF(R35=1,SUM($R$2:R35),"")</f>
        <v/>
      </c>
      <c r="T35" s="0" t="n">
        <f aca="false">IF(AND(食数記録!$A35=プレビュー!$C$3,食数記録!$B35="朝",食数記録!$F35="女性GH",食数記録!$D35="臨時喫食"),1,0)</f>
        <v>0</v>
      </c>
      <c r="U35" s="0" t="str">
        <f aca="false">IF(T35=1,SUM($T$2:T35),"")</f>
        <v/>
      </c>
      <c r="V35" s="0" t="n">
        <f aca="false">IF(AND(食数記録!$A35=プレビュー!$C$3,食数記録!$B35="昼",食数記録!$F35="女性GH",食数記録!$D35="臨時喫食"),1,0)</f>
        <v>0</v>
      </c>
      <c r="W35" s="0" t="str">
        <f aca="false">IF(V35=1,SUM($V$2:V35),"")</f>
        <v/>
      </c>
      <c r="X35" s="0" t="n">
        <f aca="false">IF(AND(食数記録!$A35=プレビュー!$C$3,食数記録!$B35="夕",食数記録!$F35="女性GH",食数記録!$D35="臨時喫食"),1,0)</f>
        <v>0</v>
      </c>
      <c r="Y35" s="0" t="str">
        <f aca="false">IF(X35=1,SUM($X$2:X35),"")</f>
        <v/>
      </c>
    </row>
    <row r="36" customFormat="false" ht="15" hidden="false" customHeight="false" outlineLevel="0" collapsed="false">
      <c r="B36" s="0" t="n">
        <f aca="false">IF(AND(食数記録!$A36=プレビュー!$C$3,食数記録!$B36="朝",食数記録!$F36="男性入所",食数記録!$D36="欠食"),1,0)</f>
        <v>0</v>
      </c>
      <c r="C36" s="0" t="str">
        <f aca="false">IF(B36=1,SUM($B$2:B36),"")</f>
        <v/>
      </c>
      <c r="D36" s="0" t="n">
        <f aca="false">IF(AND(食数記録!$A36=プレビュー!$C$3,食数記録!$B36="昼",食数記録!$F36="男性入所",食数記録!$D36="欠食"),1,0)</f>
        <v>0</v>
      </c>
      <c r="E36" s="0" t="str">
        <f aca="false">IF(D36=1,SUM($D$2:D36),"")</f>
        <v/>
      </c>
      <c r="F36" s="0" t="n">
        <f aca="false">IF(AND(食数記録!$A36=プレビュー!$C$3,食数記録!$B36="夕",食数記録!$F36="男性入所",食数記録!$D36="欠食"),1,0)</f>
        <v>0</v>
      </c>
      <c r="G36" s="0" t="str">
        <f aca="false">IF(F36=1,SUM($F$2:F36),"")</f>
        <v/>
      </c>
      <c r="H36" s="0" t="n">
        <f aca="false">IF(AND(食数記録!$A36=プレビュー!$C$3,食数記録!$B36="朝",食数記録!$F36="女性入所",食数記録!$D36="欠食"),1,0)</f>
        <v>0</v>
      </c>
      <c r="I36" s="0" t="str">
        <f aca="false">IF(H36=1,SUM($H$2:H36),"")</f>
        <v/>
      </c>
      <c r="J36" s="0" t="n">
        <f aca="false">IF(AND(食数記録!$A36=プレビュー!$C$3,食数記録!$B36="昼",食数記録!$F36="女性入所",食数記録!$D36="欠食"),1,0)</f>
        <v>0</v>
      </c>
      <c r="K36" s="0" t="str">
        <f aca="false">IF(J36=1,SUM($J$2:J36),"")</f>
        <v/>
      </c>
      <c r="L36" s="0" t="n">
        <f aca="false">IF(AND(食数記録!$A36=プレビュー!$C$3,食数記録!$B36="夕",食数記録!$F36="女性入所",食数記録!$D36="欠食"),1,0)</f>
        <v>0</v>
      </c>
      <c r="M36" s="0" t="str">
        <f aca="false">IF(L36=1,SUM($L$2:L36),"")</f>
        <v/>
      </c>
      <c r="N36" s="0" t="n">
        <f aca="false">IF(AND(食数記録!$A36=プレビュー!$C$3,食数記録!$B36="朝",食数記録!$F36="男性GH",食数記録!$D36="臨時喫食"),1,0)</f>
        <v>0</v>
      </c>
      <c r="O36" s="0" t="str">
        <f aca="false">IF(N36=1,SUM($N$2:N36),"")</f>
        <v/>
      </c>
      <c r="P36" s="0" t="n">
        <f aca="false">IF(AND(食数記録!$A36=プレビュー!$C$3,食数記録!$B36="昼",食数記録!$F36="男性GH",食数記録!$D36="臨時喫食"),1,0)</f>
        <v>0</v>
      </c>
      <c r="Q36" s="0" t="str">
        <f aca="false">IF(P36=1,SUM($P$2:P36),"")</f>
        <v/>
      </c>
      <c r="R36" s="0" t="n">
        <f aca="false">IF(AND(食数記録!$A36=プレビュー!$C$3,食数記録!$B36="夕",食数記録!$F36="男性GH",食数記録!$D36="臨時喫食"),1,0)</f>
        <v>0</v>
      </c>
      <c r="S36" s="0" t="str">
        <f aca="false">IF(R36=1,SUM($R$2:R36),"")</f>
        <v/>
      </c>
      <c r="T36" s="0" t="n">
        <f aca="false">IF(AND(食数記録!$A36=プレビュー!$C$3,食数記録!$B36="朝",食数記録!$F36="女性GH",食数記録!$D36="臨時喫食"),1,0)</f>
        <v>0</v>
      </c>
      <c r="U36" s="0" t="str">
        <f aca="false">IF(T36=1,SUM($T$2:T36),"")</f>
        <v/>
      </c>
      <c r="V36" s="0" t="n">
        <f aca="false">IF(AND(食数記録!$A36=プレビュー!$C$3,食数記録!$B36="昼",食数記録!$F36="女性GH",食数記録!$D36="臨時喫食"),1,0)</f>
        <v>0</v>
      </c>
      <c r="W36" s="0" t="str">
        <f aca="false">IF(V36=1,SUM($V$2:V36),"")</f>
        <v/>
      </c>
      <c r="X36" s="0" t="n">
        <f aca="false">IF(AND(食数記録!$A36=プレビュー!$C$3,食数記録!$B36="夕",食数記録!$F36="女性GH",食数記録!$D36="臨時喫食"),1,0)</f>
        <v>0</v>
      </c>
      <c r="Y36" s="0" t="str">
        <f aca="false">IF(X36=1,SUM($X$2:X36),"")</f>
        <v/>
      </c>
    </row>
    <row r="37" customFormat="false" ht="15" hidden="false" customHeight="false" outlineLevel="0" collapsed="false">
      <c r="B37" s="0" t="n">
        <f aca="false">IF(AND(食数記録!$A37=プレビュー!$C$3,食数記録!$B37="朝",食数記録!$F37="男性入所",食数記録!$D37="欠食"),1,0)</f>
        <v>0</v>
      </c>
      <c r="C37" s="0" t="str">
        <f aca="false">IF(B37=1,SUM($B$2:B37),"")</f>
        <v/>
      </c>
      <c r="D37" s="0" t="n">
        <f aca="false">IF(AND(食数記録!$A37=プレビュー!$C$3,食数記録!$B37="昼",食数記録!$F37="男性入所",食数記録!$D37="欠食"),1,0)</f>
        <v>0</v>
      </c>
      <c r="E37" s="0" t="str">
        <f aca="false">IF(D37=1,SUM($D$2:D37),"")</f>
        <v/>
      </c>
      <c r="F37" s="0" t="n">
        <f aca="false">IF(AND(食数記録!$A37=プレビュー!$C$3,食数記録!$B37="夕",食数記録!$F37="男性入所",食数記録!$D37="欠食"),1,0)</f>
        <v>0</v>
      </c>
      <c r="G37" s="0" t="str">
        <f aca="false">IF(F37=1,SUM($F$2:F37),"")</f>
        <v/>
      </c>
      <c r="H37" s="0" t="n">
        <f aca="false">IF(AND(食数記録!$A37=プレビュー!$C$3,食数記録!$B37="朝",食数記録!$F37="女性入所",食数記録!$D37="欠食"),1,0)</f>
        <v>0</v>
      </c>
      <c r="I37" s="0" t="str">
        <f aca="false">IF(H37=1,SUM($H$2:H37),"")</f>
        <v/>
      </c>
      <c r="J37" s="0" t="n">
        <f aca="false">IF(AND(食数記録!$A37=プレビュー!$C$3,食数記録!$B37="昼",食数記録!$F37="女性入所",食数記録!$D37="欠食"),1,0)</f>
        <v>0</v>
      </c>
      <c r="K37" s="0" t="str">
        <f aca="false">IF(J37=1,SUM($J$2:J37),"")</f>
        <v/>
      </c>
      <c r="L37" s="0" t="n">
        <f aca="false">IF(AND(食数記録!$A37=プレビュー!$C$3,食数記録!$B37="夕",食数記録!$F37="女性入所",食数記録!$D37="欠食"),1,0)</f>
        <v>0</v>
      </c>
      <c r="M37" s="0" t="str">
        <f aca="false">IF(L37=1,SUM($L$2:L37),"")</f>
        <v/>
      </c>
      <c r="N37" s="0" t="n">
        <f aca="false">IF(AND(食数記録!$A37=プレビュー!$C$3,食数記録!$B37="朝",食数記録!$F37="男性GH",食数記録!$D37="臨時喫食"),1,0)</f>
        <v>0</v>
      </c>
      <c r="O37" s="0" t="str">
        <f aca="false">IF(N37=1,SUM($N$2:N37),"")</f>
        <v/>
      </c>
      <c r="P37" s="0" t="n">
        <f aca="false">IF(AND(食数記録!$A37=プレビュー!$C$3,食数記録!$B37="昼",食数記録!$F37="男性GH",食数記録!$D37="臨時喫食"),1,0)</f>
        <v>0</v>
      </c>
      <c r="Q37" s="0" t="str">
        <f aca="false">IF(P37=1,SUM($P$2:P37),"")</f>
        <v/>
      </c>
      <c r="R37" s="0" t="n">
        <f aca="false">IF(AND(食数記録!$A37=プレビュー!$C$3,食数記録!$B37="夕",食数記録!$F37="男性GH",食数記録!$D37="臨時喫食"),1,0)</f>
        <v>0</v>
      </c>
      <c r="S37" s="0" t="str">
        <f aca="false">IF(R37=1,SUM($R$2:R37),"")</f>
        <v/>
      </c>
      <c r="T37" s="0" t="n">
        <f aca="false">IF(AND(食数記録!$A37=プレビュー!$C$3,食数記録!$B37="朝",食数記録!$F37="女性GH",食数記録!$D37="臨時喫食"),1,0)</f>
        <v>0</v>
      </c>
      <c r="U37" s="0" t="str">
        <f aca="false">IF(T37=1,SUM($T$2:T37),"")</f>
        <v/>
      </c>
      <c r="V37" s="0" t="n">
        <f aca="false">IF(AND(食数記録!$A37=プレビュー!$C$3,食数記録!$B37="昼",食数記録!$F37="女性GH",食数記録!$D37="臨時喫食"),1,0)</f>
        <v>0</v>
      </c>
      <c r="W37" s="0" t="str">
        <f aca="false">IF(V37=1,SUM($V$2:V37),"")</f>
        <v/>
      </c>
      <c r="X37" s="0" t="n">
        <f aca="false">IF(AND(食数記録!$A37=プレビュー!$C$3,食数記録!$B37="夕",食数記録!$F37="女性GH",食数記録!$D37="臨時喫食"),1,0)</f>
        <v>0</v>
      </c>
      <c r="Y37" s="0" t="str">
        <f aca="false">IF(X37=1,SUM($X$2:X37),"")</f>
        <v/>
      </c>
    </row>
    <row r="38" customFormat="false" ht="15" hidden="false" customHeight="false" outlineLevel="0" collapsed="false">
      <c r="B38" s="0" t="n">
        <f aca="false">IF(AND(食数記録!$A38=プレビュー!$C$3,食数記録!$B38="朝",食数記録!$F38="男性入所",食数記録!$D38="欠食"),1,0)</f>
        <v>0</v>
      </c>
      <c r="C38" s="0" t="str">
        <f aca="false">IF(B38=1,SUM($B$2:B38),"")</f>
        <v/>
      </c>
      <c r="D38" s="0" t="n">
        <f aca="false">IF(AND(食数記録!$A38=プレビュー!$C$3,食数記録!$B38="昼",食数記録!$F38="男性入所",食数記録!$D38="欠食"),1,0)</f>
        <v>0</v>
      </c>
      <c r="E38" s="0" t="str">
        <f aca="false">IF(D38=1,SUM($D$2:D38),"")</f>
        <v/>
      </c>
      <c r="F38" s="0" t="n">
        <f aca="false">IF(AND(食数記録!$A38=プレビュー!$C$3,食数記録!$B38="夕",食数記録!$F38="男性入所",食数記録!$D38="欠食"),1,0)</f>
        <v>0</v>
      </c>
      <c r="G38" s="0" t="str">
        <f aca="false">IF(F38=1,SUM($F$2:F38),"")</f>
        <v/>
      </c>
      <c r="H38" s="0" t="n">
        <f aca="false">IF(AND(食数記録!$A38=プレビュー!$C$3,食数記録!$B38="朝",食数記録!$F38="女性入所",食数記録!$D38="欠食"),1,0)</f>
        <v>0</v>
      </c>
      <c r="I38" s="0" t="str">
        <f aca="false">IF(H38=1,SUM($H$2:H38),"")</f>
        <v/>
      </c>
      <c r="J38" s="0" t="n">
        <f aca="false">IF(AND(食数記録!$A38=プレビュー!$C$3,食数記録!$B38="昼",食数記録!$F38="女性入所",食数記録!$D38="欠食"),1,0)</f>
        <v>0</v>
      </c>
      <c r="K38" s="0" t="str">
        <f aca="false">IF(J38=1,SUM($J$2:J38),"")</f>
        <v/>
      </c>
      <c r="L38" s="0" t="n">
        <f aca="false">IF(AND(食数記録!$A38=プレビュー!$C$3,食数記録!$B38="夕",食数記録!$F38="女性入所",食数記録!$D38="欠食"),1,0)</f>
        <v>0</v>
      </c>
      <c r="M38" s="0" t="str">
        <f aca="false">IF(L38=1,SUM($L$2:L38),"")</f>
        <v/>
      </c>
      <c r="N38" s="0" t="n">
        <f aca="false">IF(AND(食数記録!$A38=プレビュー!$C$3,食数記録!$B38="朝",食数記録!$F38="男性GH",食数記録!$D38="臨時喫食"),1,0)</f>
        <v>0</v>
      </c>
      <c r="O38" s="0" t="str">
        <f aca="false">IF(N38=1,SUM($N$2:N38),"")</f>
        <v/>
      </c>
      <c r="P38" s="0" t="n">
        <f aca="false">IF(AND(食数記録!$A38=プレビュー!$C$3,食数記録!$B38="昼",食数記録!$F38="男性GH",食数記録!$D38="臨時喫食"),1,0)</f>
        <v>0</v>
      </c>
      <c r="Q38" s="0" t="str">
        <f aca="false">IF(P38=1,SUM($P$2:P38),"")</f>
        <v/>
      </c>
      <c r="R38" s="0" t="n">
        <f aca="false">IF(AND(食数記録!$A38=プレビュー!$C$3,食数記録!$B38="夕",食数記録!$F38="男性GH",食数記録!$D38="臨時喫食"),1,0)</f>
        <v>0</v>
      </c>
      <c r="S38" s="0" t="str">
        <f aca="false">IF(R38=1,SUM($R$2:R38),"")</f>
        <v/>
      </c>
      <c r="T38" s="0" t="n">
        <f aca="false">IF(AND(食数記録!$A38=プレビュー!$C$3,食数記録!$B38="朝",食数記録!$F38="女性GH",食数記録!$D38="臨時喫食"),1,0)</f>
        <v>0</v>
      </c>
      <c r="U38" s="0" t="str">
        <f aca="false">IF(T38=1,SUM($T$2:T38),"")</f>
        <v/>
      </c>
      <c r="V38" s="0" t="n">
        <f aca="false">IF(AND(食数記録!$A38=プレビュー!$C$3,食数記録!$B38="昼",食数記録!$F38="女性GH",食数記録!$D38="臨時喫食"),1,0)</f>
        <v>0</v>
      </c>
      <c r="W38" s="0" t="str">
        <f aca="false">IF(V38=1,SUM($V$2:V38),"")</f>
        <v/>
      </c>
      <c r="X38" s="0" t="n">
        <f aca="false">IF(AND(食数記録!$A38=プレビュー!$C$3,食数記録!$B38="夕",食数記録!$F38="女性GH",食数記録!$D38="臨時喫食"),1,0)</f>
        <v>0</v>
      </c>
      <c r="Y38" s="0" t="str">
        <f aca="false">IF(X38=1,SUM($X$2:X38),"")</f>
        <v/>
      </c>
    </row>
    <row r="39" customFormat="false" ht="15" hidden="false" customHeight="false" outlineLevel="0" collapsed="false">
      <c r="B39" s="0" t="n">
        <f aca="false">IF(AND(食数記録!$A39=プレビュー!$C$3,食数記録!$B39="朝",食数記録!$F39="男性入所",食数記録!$D39="欠食"),1,0)</f>
        <v>0</v>
      </c>
      <c r="C39" s="0" t="str">
        <f aca="false">IF(B39=1,SUM($B$2:B39),"")</f>
        <v/>
      </c>
      <c r="D39" s="0" t="n">
        <f aca="false">IF(AND(食数記録!$A39=プレビュー!$C$3,食数記録!$B39="昼",食数記録!$F39="男性入所",食数記録!$D39="欠食"),1,0)</f>
        <v>0</v>
      </c>
      <c r="E39" s="0" t="str">
        <f aca="false">IF(D39=1,SUM($D$2:D39),"")</f>
        <v/>
      </c>
      <c r="F39" s="0" t="n">
        <f aca="false">IF(AND(食数記録!$A39=プレビュー!$C$3,食数記録!$B39="夕",食数記録!$F39="男性入所",食数記録!$D39="欠食"),1,0)</f>
        <v>0</v>
      </c>
      <c r="G39" s="0" t="str">
        <f aca="false">IF(F39=1,SUM($F$2:F39),"")</f>
        <v/>
      </c>
      <c r="H39" s="0" t="n">
        <f aca="false">IF(AND(食数記録!$A39=プレビュー!$C$3,食数記録!$B39="朝",食数記録!$F39="女性入所",食数記録!$D39="欠食"),1,0)</f>
        <v>0</v>
      </c>
      <c r="I39" s="0" t="str">
        <f aca="false">IF(H39=1,SUM($H$2:H39),"")</f>
        <v/>
      </c>
      <c r="J39" s="0" t="n">
        <f aca="false">IF(AND(食数記録!$A39=プレビュー!$C$3,食数記録!$B39="昼",食数記録!$F39="女性入所",食数記録!$D39="欠食"),1,0)</f>
        <v>0</v>
      </c>
      <c r="K39" s="0" t="str">
        <f aca="false">IF(J39=1,SUM($J$2:J39),"")</f>
        <v/>
      </c>
      <c r="L39" s="0" t="n">
        <f aca="false">IF(AND(食数記録!$A39=プレビュー!$C$3,食数記録!$B39="夕",食数記録!$F39="女性入所",食数記録!$D39="欠食"),1,0)</f>
        <v>0</v>
      </c>
      <c r="M39" s="0" t="str">
        <f aca="false">IF(L39=1,SUM($L$2:L39),"")</f>
        <v/>
      </c>
      <c r="N39" s="0" t="n">
        <f aca="false">IF(AND(食数記録!$A39=プレビュー!$C$3,食数記録!$B39="朝",食数記録!$F39="男性GH",食数記録!$D39="臨時喫食"),1,0)</f>
        <v>0</v>
      </c>
      <c r="O39" s="0" t="str">
        <f aca="false">IF(N39=1,SUM($N$2:N39),"")</f>
        <v/>
      </c>
      <c r="P39" s="0" t="n">
        <f aca="false">IF(AND(食数記録!$A39=プレビュー!$C$3,食数記録!$B39="昼",食数記録!$F39="男性GH",食数記録!$D39="臨時喫食"),1,0)</f>
        <v>0</v>
      </c>
      <c r="Q39" s="0" t="str">
        <f aca="false">IF(P39=1,SUM($P$2:P39),"")</f>
        <v/>
      </c>
      <c r="R39" s="0" t="n">
        <f aca="false">IF(AND(食数記録!$A39=プレビュー!$C$3,食数記録!$B39="夕",食数記録!$F39="男性GH",食数記録!$D39="臨時喫食"),1,0)</f>
        <v>0</v>
      </c>
      <c r="S39" s="0" t="str">
        <f aca="false">IF(R39=1,SUM($R$2:R39),"")</f>
        <v/>
      </c>
      <c r="T39" s="0" t="n">
        <f aca="false">IF(AND(食数記録!$A39=プレビュー!$C$3,食数記録!$B39="朝",食数記録!$F39="女性GH",食数記録!$D39="臨時喫食"),1,0)</f>
        <v>0</v>
      </c>
      <c r="U39" s="0" t="str">
        <f aca="false">IF(T39=1,SUM($T$2:T39),"")</f>
        <v/>
      </c>
      <c r="V39" s="0" t="n">
        <f aca="false">IF(AND(食数記録!$A39=プレビュー!$C$3,食数記録!$B39="昼",食数記録!$F39="女性GH",食数記録!$D39="臨時喫食"),1,0)</f>
        <v>0</v>
      </c>
      <c r="W39" s="0" t="str">
        <f aca="false">IF(V39=1,SUM($V$2:V39),"")</f>
        <v/>
      </c>
      <c r="X39" s="0" t="n">
        <f aca="false">IF(AND(食数記録!$A39=プレビュー!$C$3,食数記録!$B39="夕",食数記録!$F39="女性GH",食数記録!$D39="臨時喫食"),1,0)</f>
        <v>0</v>
      </c>
      <c r="Y39" s="0" t="str">
        <f aca="false">IF(X39=1,SUM($X$2:X39),"")</f>
        <v/>
      </c>
    </row>
    <row r="40" customFormat="false" ht="15" hidden="false" customHeight="false" outlineLevel="0" collapsed="false">
      <c r="B40" s="0" t="n">
        <f aca="false">IF(AND(食数記録!$A40=プレビュー!$C$3,食数記録!$B40="朝",食数記録!$F40="男性入所",食数記録!$D40="欠食"),1,0)</f>
        <v>0</v>
      </c>
      <c r="C40" s="0" t="str">
        <f aca="false">IF(B40=1,SUM($B$2:B40),"")</f>
        <v/>
      </c>
      <c r="D40" s="0" t="n">
        <f aca="false">IF(AND(食数記録!$A40=プレビュー!$C$3,食数記録!$B40="昼",食数記録!$F40="男性入所",食数記録!$D40="欠食"),1,0)</f>
        <v>0</v>
      </c>
      <c r="E40" s="0" t="str">
        <f aca="false">IF(D40=1,SUM($D$2:D40),"")</f>
        <v/>
      </c>
      <c r="F40" s="0" t="n">
        <f aca="false">IF(AND(食数記録!$A40=プレビュー!$C$3,食数記録!$B40="夕",食数記録!$F40="男性入所",食数記録!$D40="欠食"),1,0)</f>
        <v>0</v>
      </c>
      <c r="G40" s="0" t="str">
        <f aca="false">IF(F40=1,SUM($F$2:F40),"")</f>
        <v/>
      </c>
      <c r="H40" s="0" t="n">
        <f aca="false">IF(AND(食数記録!$A40=プレビュー!$C$3,食数記録!$B40="朝",食数記録!$F40="女性入所",食数記録!$D40="欠食"),1,0)</f>
        <v>0</v>
      </c>
      <c r="I40" s="0" t="str">
        <f aca="false">IF(H40=1,SUM($H$2:H40),"")</f>
        <v/>
      </c>
      <c r="J40" s="0" t="n">
        <f aca="false">IF(AND(食数記録!$A40=プレビュー!$C$3,食数記録!$B40="昼",食数記録!$F40="女性入所",食数記録!$D40="欠食"),1,0)</f>
        <v>0</v>
      </c>
      <c r="K40" s="0" t="str">
        <f aca="false">IF(J40=1,SUM($J$2:J40),"")</f>
        <v/>
      </c>
      <c r="L40" s="0" t="n">
        <f aca="false">IF(AND(食数記録!$A40=プレビュー!$C$3,食数記録!$B40="夕",食数記録!$F40="女性入所",食数記録!$D40="欠食"),1,0)</f>
        <v>0</v>
      </c>
      <c r="M40" s="0" t="str">
        <f aca="false">IF(L40=1,SUM($L$2:L40),"")</f>
        <v/>
      </c>
      <c r="N40" s="0" t="n">
        <f aca="false">IF(AND(食数記録!$A40=プレビュー!$C$3,食数記録!$B40="朝",食数記録!$F40="男性GH",食数記録!$D40="臨時喫食"),1,0)</f>
        <v>0</v>
      </c>
      <c r="O40" s="0" t="str">
        <f aca="false">IF(N40=1,SUM($N$2:N40),"")</f>
        <v/>
      </c>
      <c r="P40" s="0" t="n">
        <f aca="false">IF(AND(食数記録!$A40=プレビュー!$C$3,食数記録!$B40="昼",食数記録!$F40="男性GH",食数記録!$D40="臨時喫食"),1,0)</f>
        <v>0</v>
      </c>
      <c r="Q40" s="0" t="str">
        <f aca="false">IF(P40=1,SUM($P$2:P40),"")</f>
        <v/>
      </c>
      <c r="R40" s="0" t="n">
        <f aca="false">IF(AND(食数記録!$A40=プレビュー!$C$3,食数記録!$B40="夕",食数記録!$F40="男性GH",食数記録!$D40="臨時喫食"),1,0)</f>
        <v>0</v>
      </c>
      <c r="S40" s="0" t="str">
        <f aca="false">IF(R40=1,SUM($R$2:R40),"")</f>
        <v/>
      </c>
      <c r="T40" s="0" t="n">
        <f aca="false">IF(AND(食数記録!$A40=プレビュー!$C$3,食数記録!$B40="朝",食数記録!$F40="女性GH",食数記録!$D40="臨時喫食"),1,0)</f>
        <v>0</v>
      </c>
      <c r="U40" s="0" t="str">
        <f aca="false">IF(T40=1,SUM($T$2:T40),"")</f>
        <v/>
      </c>
      <c r="V40" s="0" t="n">
        <f aca="false">IF(AND(食数記録!$A40=プレビュー!$C$3,食数記録!$B40="昼",食数記録!$F40="女性GH",食数記録!$D40="臨時喫食"),1,0)</f>
        <v>0</v>
      </c>
      <c r="W40" s="0" t="str">
        <f aca="false">IF(V40=1,SUM($V$2:V40),"")</f>
        <v/>
      </c>
      <c r="X40" s="0" t="n">
        <f aca="false">IF(AND(食数記録!$A40=プレビュー!$C$3,食数記録!$B40="夕",食数記録!$F40="女性GH",食数記録!$D40="臨時喫食"),1,0)</f>
        <v>0</v>
      </c>
      <c r="Y40" s="0" t="str">
        <f aca="false">IF(X40=1,SUM($X$2:X40),"")</f>
        <v/>
      </c>
    </row>
    <row r="41" customFormat="false" ht="15" hidden="false" customHeight="false" outlineLevel="0" collapsed="false">
      <c r="B41" s="0" t="n">
        <f aca="false">IF(AND(食数記録!$A41=プレビュー!$C$3,食数記録!$B41="朝",食数記録!$F41="男性入所",食数記録!$D41="欠食"),1,0)</f>
        <v>0</v>
      </c>
      <c r="C41" s="0" t="str">
        <f aca="false">IF(B41=1,SUM($B$2:B41),"")</f>
        <v/>
      </c>
      <c r="D41" s="0" t="n">
        <f aca="false">IF(AND(食数記録!$A41=プレビュー!$C$3,食数記録!$B41="昼",食数記録!$F41="男性入所",食数記録!$D41="欠食"),1,0)</f>
        <v>0</v>
      </c>
      <c r="E41" s="0" t="str">
        <f aca="false">IF(D41=1,SUM($D$2:D41),"")</f>
        <v/>
      </c>
      <c r="F41" s="0" t="n">
        <f aca="false">IF(AND(食数記録!$A41=プレビュー!$C$3,食数記録!$B41="夕",食数記録!$F41="男性入所",食数記録!$D41="欠食"),1,0)</f>
        <v>0</v>
      </c>
      <c r="G41" s="0" t="str">
        <f aca="false">IF(F41=1,SUM($F$2:F41),"")</f>
        <v/>
      </c>
      <c r="H41" s="0" t="n">
        <f aca="false">IF(AND(食数記録!$A41=プレビュー!$C$3,食数記録!$B41="朝",食数記録!$F41="女性入所",食数記録!$D41="欠食"),1,0)</f>
        <v>0</v>
      </c>
      <c r="I41" s="0" t="str">
        <f aca="false">IF(H41=1,SUM($H$2:H41),"")</f>
        <v/>
      </c>
      <c r="J41" s="0" t="n">
        <f aca="false">IF(AND(食数記録!$A41=プレビュー!$C$3,食数記録!$B41="昼",食数記録!$F41="女性入所",食数記録!$D41="欠食"),1,0)</f>
        <v>0</v>
      </c>
      <c r="K41" s="0" t="str">
        <f aca="false">IF(J41=1,SUM($J$2:J41),"")</f>
        <v/>
      </c>
      <c r="L41" s="0" t="n">
        <f aca="false">IF(AND(食数記録!$A41=プレビュー!$C$3,食数記録!$B41="夕",食数記録!$F41="女性入所",食数記録!$D41="欠食"),1,0)</f>
        <v>0</v>
      </c>
      <c r="M41" s="0" t="str">
        <f aca="false">IF(L41=1,SUM($L$2:L41),"")</f>
        <v/>
      </c>
      <c r="N41" s="0" t="n">
        <f aca="false">IF(AND(食数記録!$A41=プレビュー!$C$3,食数記録!$B41="朝",食数記録!$F41="男性GH",食数記録!$D41="臨時喫食"),1,0)</f>
        <v>0</v>
      </c>
      <c r="O41" s="0" t="str">
        <f aca="false">IF(N41=1,SUM($N$2:N41),"")</f>
        <v/>
      </c>
      <c r="P41" s="0" t="n">
        <f aca="false">IF(AND(食数記録!$A41=プレビュー!$C$3,食数記録!$B41="昼",食数記録!$F41="男性GH",食数記録!$D41="臨時喫食"),1,0)</f>
        <v>0</v>
      </c>
      <c r="Q41" s="0" t="str">
        <f aca="false">IF(P41=1,SUM($P$2:P41),"")</f>
        <v/>
      </c>
      <c r="R41" s="0" t="n">
        <f aca="false">IF(AND(食数記録!$A41=プレビュー!$C$3,食数記録!$B41="夕",食数記録!$F41="男性GH",食数記録!$D41="臨時喫食"),1,0)</f>
        <v>0</v>
      </c>
      <c r="S41" s="0" t="str">
        <f aca="false">IF(R41=1,SUM($R$2:R41),"")</f>
        <v/>
      </c>
      <c r="T41" s="0" t="n">
        <f aca="false">IF(AND(食数記録!$A41=プレビュー!$C$3,食数記録!$B41="朝",食数記録!$F41="女性GH",食数記録!$D41="臨時喫食"),1,0)</f>
        <v>0</v>
      </c>
      <c r="U41" s="0" t="str">
        <f aca="false">IF(T41=1,SUM($T$2:T41),"")</f>
        <v/>
      </c>
      <c r="V41" s="0" t="n">
        <f aca="false">IF(AND(食数記録!$A41=プレビュー!$C$3,食数記録!$B41="昼",食数記録!$F41="女性GH",食数記録!$D41="臨時喫食"),1,0)</f>
        <v>0</v>
      </c>
      <c r="W41" s="0" t="str">
        <f aca="false">IF(V41=1,SUM($V$2:V41),"")</f>
        <v/>
      </c>
      <c r="X41" s="0" t="n">
        <f aca="false">IF(AND(食数記録!$A41=プレビュー!$C$3,食数記録!$B41="夕",食数記録!$F41="女性GH",食数記録!$D41="臨時喫食"),1,0)</f>
        <v>0</v>
      </c>
      <c r="Y41" s="0" t="str">
        <f aca="false">IF(X41=1,SUM($X$2:X41),"")</f>
        <v/>
      </c>
    </row>
    <row r="42" customFormat="false" ht="15" hidden="false" customHeight="false" outlineLevel="0" collapsed="false">
      <c r="B42" s="0" t="n">
        <f aca="false">IF(AND(食数記録!$A42=プレビュー!$C$3,食数記録!$B42="朝",食数記録!$F42="男性入所",食数記録!$D42="欠食"),1,0)</f>
        <v>0</v>
      </c>
      <c r="C42" s="0" t="str">
        <f aca="false">IF(B42=1,SUM($B$2:B42),"")</f>
        <v/>
      </c>
      <c r="D42" s="0" t="n">
        <f aca="false">IF(AND(食数記録!$A42=プレビュー!$C$3,食数記録!$B42="昼",食数記録!$F42="男性入所",食数記録!$D42="欠食"),1,0)</f>
        <v>0</v>
      </c>
      <c r="E42" s="0" t="str">
        <f aca="false">IF(D42=1,SUM($D$2:D42),"")</f>
        <v/>
      </c>
      <c r="F42" s="0" t="n">
        <f aca="false">IF(AND(食数記録!$A42=プレビュー!$C$3,食数記録!$B42="夕",食数記録!$F42="男性入所",食数記録!$D42="欠食"),1,0)</f>
        <v>0</v>
      </c>
      <c r="G42" s="0" t="str">
        <f aca="false">IF(F42=1,SUM($F$2:F42),"")</f>
        <v/>
      </c>
      <c r="H42" s="0" t="n">
        <f aca="false">IF(AND(食数記録!$A42=プレビュー!$C$3,食数記録!$B42="朝",食数記録!$F42="女性入所",食数記録!$D42="欠食"),1,0)</f>
        <v>0</v>
      </c>
      <c r="I42" s="0" t="str">
        <f aca="false">IF(H42=1,SUM($H$2:H42),"")</f>
        <v/>
      </c>
      <c r="J42" s="0" t="n">
        <f aca="false">IF(AND(食数記録!$A42=プレビュー!$C$3,食数記録!$B42="昼",食数記録!$F42="女性入所",食数記録!$D42="欠食"),1,0)</f>
        <v>0</v>
      </c>
      <c r="K42" s="0" t="str">
        <f aca="false">IF(J42=1,SUM($J$2:J42),"")</f>
        <v/>
      </c>
      <c r="L42" s="0" t="n">
        <f aca="false">IF(AND(食数記録!$A42=プレビュー!$C$3,食数記録!$B42="夕",食数記録!$F42="女性入所",食数記録!$D42="欠食"),1,0)</f>
        <v>0</v>
      </c>
      <c r="M42" s="0" t="str">
        <f aca="false">IF(L42=1,SUM($L$2:L42),"")</f>
        <v/>
      </c>
      <c r="N42" s="0" t="n">
        <f aca="false">IF(AND(食数記録!$A42=プレビュー!$C$3,食数記録!$B42="朝",食数記録!$F42="男性GH",食数記録!$D42="臨時喫食"),1,0)</f>
        <v>0</v>
      </c>
      <c r="O42" s="0" t="str">
        <f aca="false">IF(N42=1,SUM($N$2:N42),"")</f>
        <v/>
      </c>
      <c r="P42" s="0" t="n">
        <f aca="false">IF(AND(食数記録!$A42=プレビュー!$C$3,食数記録!$B42="昼",食数記録!$F42="男性GH",食数記録!$D42="臨時喫食"),1,0)</f>
        <v>0</v>
      </c>
      <c r="Q42" s="0" t="str">
        <f aca="false">IF(P42=1,SUM($P$2:P42),"")</f>
        <v/>
      </c>
      <c r="R42" s="0" t="n">
        <f aca="false">IF(AND(食数記録!$A42=プレビュー!$C$3,食数記録!$B42="夕",食数記録!$F42="男性GH",食数記録!$D42="臨時喫食"),1,0)</f>
        <v>0</v>
      </c>
      <c r="S42" s="0" t="str">
        <f aca="false">IF(R42=1,SUM($R$2:R42),"")</f>
        <v/>
      </c>
      <c r="T42" s="0" t="n">
        <f aca="false">IF(AND(食数記録!$A42=プレビュー!$C$3,食数記録!$B42="朝",食数記録!$F42="女性GH",食数記録!$D42="臨時喫食"),1,0)</f>
        <v>0</v>
      </c>
      <c r="U42" s="0" t="str">
        <f aca="false">IF(T42=1,SUM($T$2:T42),"")</f>
        <v/>
      </c>
      <c r="V42" s="0" t="n">
        <f aca="false">IF(AND(食数記録!$A42=プレビュー!$C$3,食数記録!$B42="昼",食数記録!$F42="女性GH",食数記録!$D42="臨時喫食"),1,0)</f>
        <v>0</v>
      </c>
      <c r="W42" s="0" t="str">
        <f aca="false">IF(V42=1,SUM($V$2:V42),"")</f>
        <v/>
      </c>
      <c r="X42" s="0" t="n">
        <f aca="false">IF(AND(食数記録!$A42=プレビュー!$C$3,食数記録!$B42="夕",食数記録!$F42="女性GH",食数記録!$D42="臨時喫食"),1,0)</f>
        <v>0</v>
      </c>
      <c r="Y42" s="0" t="str">
        <f aca="false">IF(X42=1,SUM($X$2:X42),"")</f>
        <v/>
      </c>
    </row>
    <row r="43" customFormat="false" ht="15" hidden="false" customHeight="false" outlineLevel="0" collapsed="false">
      <c r="B43" s="0" t="n">
        <f aca="false">IF(AND(食数記録!$A43=プレビュー!$C$3,食数記録!$B43="朝",食数記録!$F43="男性入所",食数記録!$D43="欠食"),1,0)</f>
        <v>0</v>
      </c>
      <c r="C43" s="0" t="str">
        <f aca="false">IF(B43=1,SUM($B$2:B43),"")</f>
        <v/>
      </c>
      <c r="D43" s="0" t="n">
        <f aca="false">IF(AND(食数記録!$A43=プレビュー!$C$3,食数記録!$B43="昼",食数記録!$F43="男性入所",食数記録!$D43="欠食"),1,0)</f>
        <v>0</v>
      </c>
      <c r="E43" s="0" t="str">
        <f aca="false">IF(D43=1,SUM($D$2:D43),"")</f>
        <v/>
      </c>
      <c r="F43" s="0" t="n">
        <f aca="false">IF(AND(食数記録!$A43=プレビュー!$C$3,食数記録!$B43="夕",食数記録!$F43="男性入所",食数記録!$D43="欠食"),1,0)</f>
        <v>0</v>
      </c>
      <c r="G43" s="0" t="str">
        <f aca="false">IF(F43=1,SUM($F$2:F43),"")</f>
        <v/>
      </c>
      <c r="H43" s="0" t="n">
        <f aca="false">IF(AND(食数記録!$A43=プレビュー!$C$3,食数記録!$B43="朝",食数記録!$F43="女性入所",食数記録!$D43="欠食"),1,0)</f>
        <v>0</v>
      </c>
      <c r="I43" s="0" t="str">
        <f aca="false">IF(H43=1,SUM($H$2:H43),"")</f>
        <v/>
      </c>
      <c r="J43" s="0" t="n">
        <f aca="false">IF(AND(食数記録!$A43=プレビュー!$C$3,食数記録!$B43="昼",食数記録!$F43="女性入所",食数記録!$D43="欠食"),1,0)</f>
        <v>0</v>
      </c>
      <c r="K43" s="0" t="str">
        <f aca="false">IF(J43=1,SUM($J$2:J43),"")</f>
        <v/>
      </c>
      <c r="L43" s="0" t="n">
        <f aca="false">IF(AND(食数記録!$A43=プレビュー!$C$3,食数記録!$B43="夕",食数記録!$F43="女性入所",食数記録!$D43="欠食"),1,0)</f>
        <v>0</v>
      </c>
      <c r="M43" s="0" t="str">
        <f aca="false">IF(L43=1,SUM($L$2:L43),"")</f>
        <v/>
      </c>
      <c r="N43" s="0" t="n">
        <f aca="false">IF(AND(食数記録!$A43=プレビュー!$C$3,食数記録!$B43="朝",食数記録!$F43="男性GH",食数記録!$D43="臨時喫食"),1,0)</f>
        <v>0</v>
      </c>
      <c r="O43" s="0" t="str">
        <f aca="false">IF(N43=1,SUM($N$2:N43),"")</f>
        <v/>
      </c>
      <c r="P43" s="0" t="n">
        <f aca="false">IF(AND(食数記録!$A43=プレビュー!$C$3,食数記録!$B43="昼",食数記録!$F43="男性GH",食数記録!$D43="臨時喫食"),1,0)</f>
        <v>0</v>
      </c>
      <c r="Q43" s="0" t="str">
        <f aca="false">IF(P43=1,SUM($P$2:P43),"")</f>
        <v/>
      </c>
      <c r="R43" s="0" t="n">
        <f aca="false">IF(AND(食数記録!$A43=プレビュー!$C$3,食数記録!$B43="夕",食数記録!$F43="男性GH",食数記録!$D43="臨時喫食"),1,0)</f>
        <v>0</v>
      </c>
      <c r="S43" s="0" t="str">
        <f aca="false">IF(R43=1,SUM($R$2:R43),"")</f>
        <v/>
      </c>
      <c r="T43" s="0" t="n">
        <f aca="false">IF(AND(食数記録!$A43=プレビュー!$C$3,食数記録!$B43="朝",食数記録!$F43="女性GH",食数記録!$D43="臨時喫食"),1,0)</f>
        <v>0</v>
      </c>
      <c r="U43" s="0" t="str">
        <f aca="false">IF(T43=1,SUM($T$2:T43),"")</f>
        <v/>
      </c>
      <c r="V43" s="0" t="n">
        <f aca="false">IF(AND(食数記録!$A43=プレビュー!$C$3,食数記録!$B43="昼",食数記録!$F43="女性GH",食数記録!$D43="臨時喫食"),1,0)</f>
        <v>0</v>
      </c>
      <c r="W43" s="0" t="str">
        <f aca="false">IF(V43=1,SUM($V$2:V43),"")</f>
        <v/>
      </c>
      <c r="X43" s="0" t="n">
        <f aca="false">IF(AND(食数記録!$A43=プレビュー!$C$3,食数記録!$B43="夕",食数記録!$F43="女性GH",食数記録!$D43="臨時喫食"),1,0)</f>
        <v>0</v>
      </c>
      <c r="Y43" s="0" t="str">
        <f aca="false">IF(X43=1,SUM($X$2:X43),"")</f>
        <v/>
      </c>
    </row>
    <row r="44" customFormat="false" ht="15" hidden="false" customHeight="false" outlineLevel="0" collapsed="false">
      <c r="B44" s="0" t="n">
        <f aca="false">IF(AND(食数記録!$A44=プレビュー!$C$3,食数記録!$B44="朝",食数記録!$F44="男性入所",食数記録!$D44="欠食"),1,0)</f>
        <v>0</v>
      </c>
      <c r="C44" s="0" t="str">
        <f aca="false">IF(B44=1,SUM($B$2:B44),"")</f>
        <v/>
      </c>
      <c r="D44" s="0" t="n">
        <f aca="false">IF(AND(食数記録!$A44=プレビュー!$C$3,食数記録!$B44="昼",食数記録!$F44="男性入所",食数記録!$D44="欠食"),1,0)</f>
        <v>0</v>
      </c>
      <c r="E44" s="0" t="str">
        <f aca="false">IF(D44=1,SUM($D$2:D44),"")</f>
        <v/>
      </c>
      <c r="F44" s="0" t="n">
        <f aca="false">IF(AND(食数記録!$A44=プレビュー!$C$3,食数記録!$B44="夕",食数記録!$F44="男性入所",食数記録!$D44="欠食"),1,0)</f>
        <v>0</v>
      </c>
      <c r="G44" s="0" t="str">
        <f aca="false">IF(F44=1,SUM($F$2:F44),"")</f>
        <v/>
      </c>
      <c r="H44" s="0" t="n">
        <f aca="false">IF(AND(食数記録!$A44=プレビュー!$C$3,食数記録!$B44="朝",食数記録!$F44="女性入所",食数記録!$D44="欠食"),1,0)</f>
        <v>0</v>
      </c>
      <c r="I44" s="0" t="str">
        <f aca="false">IF(H44=1,SUM($H$2:H44),"")</f>
        <v/>
      </c>
      <c r="J44" s="0" t="n">
        <f aca="false">IF(AND(食数記録!$A44=プレビュー!$C$3,食数記録!$B44="昼",食数記録!$F44="女性入所",食数記録!$D44="欠食"),1,0)</f>
        <v>0</v>
      </c>
      <c r="K44" s="0" t="str">
        <f aca="false">IF(J44=1,SUM($J$2:J44),"")</f>
        <v/>
      </c>
      <c r="L44" s="0" t="n">
        <f aca="false">IF(AND(食数記録!$A44=プレビュー!$C$3,食数記録!$B44="夕",食数記録!$F44="女性入所",食数記録!$D44="欠食"),1,0)</f>
        <v>0</v>
      </c>
      <c r="M44" s="0" t="str">
        <f aca="false">IF(L44=1,SUM($L$2:L44),"")</f>
        <v/>
      </c>
      <c r="N44" s="0" t="n">
        <f aca="false">IF(AND(食数記録!$A44=プレビュー!$C$3,食数記録!$B44="朝",食数記録!$F44="男性GH",食数記録!$D44="臨時喫食"),1,0)</f>
        <v>0</v>
      </c>
      <c r="O44" s="0" t="str">
        <f aca="false">IF(N44=1,SUM($N$2:N44),"")</f>
        <v/>
      </c>
      <c r="P44" s="0" t="n">
        <f aca="false">IF(AND(食数記録!$A44=プレビュー!$C$3,食数記録!$B44="昼",食数記録!$F44="男性GH",食数記録!$D44="臨時喫食"),1,0)</f>
        <v>0</v>
      </c>
      <c r="Q44" s="0" t="str">
        <f aca="false">IF(P44=1,SUM($P$2:P44),"")</f>
        <v/>
      </c>
      <c r="R44" s="0" t="n">
        <f aca="false">IF(AND(食数記録!$A44=プレビュー!$C$3,食数記録!$B44="夕",食数記録!$F44="男性GH",食数記録!$D44="臨時喫食"),1,0)</f>
        <v>0</v>
      </c>
      <c r="S44" s="0" t="str">
        <f aca="false">IF(R44=1,SUM($R$2:R44),"")</f>
        <v/>
      </c>
      <c r="T44" s="0" t="n">
        <f aca="false">IF(AND(食数記録!$A44=プレビュー!$C$3,食数記録!$B44="朝",食数記録!$F44="女性GH",食数記録!$D44="臨時喫食"),1,0)</f>
        <v>0</v>
      </c>
      <c r="U44" s="0" t="str">
        <f aca="false">IF(T44=1,SUM($T$2:T44),"")</f>
        <v/>
      </c>
      <c r="V44" s="0" t="n">
        <f aca="false">IF(AND(食数記録!$A44=プレビュー!$C$3,食数記録!$B44="昼",食数記録!$F44="女性GH",食数記録!$D44="臨時喫食"),1,0)</f>
        <v>0</v>
      </c>
      <c r="W44" s="0" t="str">
        <f aca="false">IF(V44=1,SUM($V$2:V44),"")</f>
        <v/>
      </c>
      <c r="X44" s="0" t="n">
        <f aca="false">IF(AND(食数記録!$A44=プレビュー!$C$3,食数記録!$B44="夕",食数記録!$F44="女性GH",食数記録!$D44="臨時喫食"),1,0)</f>
        <v>0</v>
      </c>
      <c r="Y44" s="0" t="str">
        <f aca="false">IF(X44=1,SUM($X$2:X44),"")</f>
        <v/>
      </c>
    </row>
    <row r="45" customFormat="false" ht="15" hidden="false" customHeight="false" outlineLevel="0" collapsed="false">
      <c r="B45" s="0" t="n">
        <f aca="false">IF(AND(食数記録!$A45=プレビュー!$C$3,食数記録!$B45="朝",食数記録!$F45="男性入所",食数記録!$D45="欠食"),1,0)</f>
        <v>0</v>
      </c>
      <c r="C45" s="0" t="str">
        <f aca="false">IF(B45=1,SUM($B$2:B45),"")</f>
        <v/>
      </c>
      <c r="D45" s="0" t="n">
        <f aca="false">IF(AND(食数記録!$A45=プレビュー!$C$3,食数記録!$B45="昼",食数記録!$F45="男性入所",食数記録!$D45="欠食"),1,0)</f>
        <v>0</v>
      </c>
      <c r="E45" s="0" t="str">
        <f aca="false">IF(D45=1,SUM($D$2:D45),"")</f>
        <v/>
      </c>
      <c r="F45" s="0" t="n">
        <f aca="false">IF(AND(食数記録!$A45=プレビュー!$C$3,食数記録!$B45="夕",食数記録!$F45="男性入所",食数記録!$D45="欠食"),1,0)</f>
        <v>0</v>
      </c>
      <c r="G45" s="0" t="str">
        <f aca="false">IF(F45=1,SUM($F$2:F45),"")</f>
        <v/>
      </c>
      <c r="H45" s="0" t="n">
        <f aca="false">IF(AND(食数記録!$A45=プレビュー!$C$3,食数記録!$B45="朝",食数記録!$F45="女性入所",食数記録!$D45="欠食"),1,0)</f>
        <v>0</v>
      </c>
      <c r="I45" s="0" t="str">
        <f aca="false">IF(H45=1,SUM($H$2:H45),"")</f>
        <v/>
      </c>
      <c r="J45" s="0" t="n">
        <f aca="false">IF(AND(食数記録!$A45=プレビュー!$C$3,食数記録!$B45="昼",食数記録!$F45="女性入所",食数記録!$D45="欠食"),1,0)</f>
        <v>0</v>
      </c>
      <c r="K45" s="0" t="str">
        <f aca="false">IF(J45=1,SUM($J$2:J45),"")</f>
        <v/>
      </c>
      <c r="L45" s="0" t="n">
        <f aca="false">IF(AND(食数記録!$A45=プレビュー!$C$3,食数記録!$B45="夕",食数記録!$F45="女性入所",食数記録!$D45="欠食"),1,0)</f>
        <v>0</v>
      </c>
      <c r="M45" s="0" t="str">
        <f aca="false">IF(L45=1,SUM($L$2:L45),"")</f>
        <v/>
      </c>
      <c r="N45" s="0" t="n">
        <f aca="false">IF(AND(食数記録!$A45=プレビュー!$C$3,食数記録!$B45="朝",食数記録!$F45="男性GH",食数記録!$D45="臨時喫食"),1,0)</f>
        <v>0</v>
      </c>
      <c r="O45" s="0" t="str">
        <f aca="false">IF(N45=1,SUM($N$2:N45),"")</f>
        <v/>
      </c>
      <c r="P45" s="0" t="n">
        <f aca="false">IF(AND(食数記録!$A45=プレビュー!$C$3,食数記録!$B45="昼",食数記録!$F45="男性GH",食数記録!$D45="臨時喫食"),1,0)</f>
        <v>0</v>
      </c>
      <c r="Q45" s="0" t="str">
        <f aca="false">IF(P45=1,SUM($P$2:P45),"")</f>
        <v/>
      </c>
      <c r="R45" s="0" t="n">
        <f aca="false">IF(AND(食数記録!$A45=プレビュー!$C$3,食数記録!$B45="夕",食数記録!$F45="男性GH",食数記録!$D45="臨時喫食"),1,0)</f>
        <v>0</v>
      </c>
      <c r="S45" s="0" t="str">
        <f aca="false">IF(R45=1,SUM($R$2:R45),"")</f>
        <v/>
      </c>
      <c r="T45" s="0" t="n">
        <f aca="false">IF(AND(食数記録!$A45=プレビュー!$C$3,食数記録!$B45="朝",食数記録!$F45="女性GH",食数記録!$D45="臨時喫食"),1,0)</f>
        <v>0</v>
      </c>
      <c r="U45" s="0" t="str">
        <f aca="false">IF(T45=1,SUM($T$2:T45),"")</f>
        <v/>
      </c>
      <c r="V45" s="0" t="n">
        <f aca="false">IF(AND(食数記録!$A45=プレビュー!$C$3,食数記録!$B45="昼",食数記録!$F45="女性GH",食数記録!$D45="臨時喫食"),1,0)</f>
        <v>0</v>
      </c>
      <c r="W45" s="0" t="str">
        <f aca="false">IF(V45=1,SUM($V$2:V45),"")</f>
        <v/>
      </c>
      <c r="X45" s="0" t="n">
        <f aca="false">IF(AND(食数記録!$A45=プレビュー!$C$3,食数記録!$B45="夕",食数記録!$F45="女性GH",食数記録!$D45="臨時喫食"),1,0)</f>
        <v>0</v>
      </c>
      <c r="Y45" s="0" t="str">
        <f aca="false">IF(X45=1,SUM($X$2:X45),"")</f>
        <v/>
      </c>
    </row>
    <row r="46" customFormat="false" ht="15" hidden="false" customHeight="false" outlineLevel="0" collapsed="false">
      <c r="B46" s="0" t="n">
        <f aca="false">IF(AND(食数記録!$A46=プレビュー!$C$3,食数記録!$B46="朝",食数記録!$F46="男性入所",食数記録!$D46="欠食"),1,0)</f>
        <v>0</v>
      </c>
      <c r="C46" s="0" t="str">
        <f aca="false">IF(B46=1,SUM($B$2:B46),"")</f>
        <v/>
      </c>
      <c r="D46" s="0" t="n">
        <f aca="false">IF(AND(食数記録!$A46=プレビュー!$C$3,食数記録!$B46="昼",食数記録!$F46="男性入所",食数記録!$D46="欠食"),1,0)</f>
        <v>0</v>
      </c>
      <c r="E46" s="0" t="str">
        <f aca="false">IF(D46=1,SUM($D$2:D46),"")</f>
        <v/>
      </c>
      <c r="F46" s="0" t="n">
        <f aca="false">IF(AND(食数記録!$A46=プレビュー!$C$3,食数記録!$B46="夕",食数記録!$F46="男性入所",食数記録!$D46="欠食"),1,0)</f>
        <v>0</v>
      </c>
      <c r="G46" s="0" t="str">
        <f aca="false">IF(F46=1,SUM($F$2:F46),"")</f>
        <v/>
      </c>
      <c r="H46" s="0" t="n">
        <f aca="false">IF(AND(食数記録!$A46=プレビュー!$C$3,食数記録!$B46="朝",食数記録!$F46="女性入所",食数記録!$D46="欠食"),1,0)</f>
        <v>0</v>
      </c>
      <c r="I46" s="0" t="str">
        <f aca="false">IF(H46=1,SUM($H$2:H46),"")</f>
        <v/>
      </c>
      <c r="J46" s="0" t="n">
        <f aca="false">IF(AND(食数記録!$A46=プレビュー!$C$3,食数記録!$B46="昼",食数記録!$F46="女性入所",食数記録!$D46="欠食"),1,0)</f>
        <v>0</v>
      </c>
      <c r="K46" s="0" t="str">
        <f aca="false">IF(J46=1,SUM($J$2:J46),"")</f>
        <v/>
      </c>
      <c r="L46" s="0" t="n">
        <f aca="false">IF(AND(食数記録!$A46=プレビュー!$C$3,食数記録!$B46="夕",食数記録!$F46="女性入所",食数記録!$D46="欠食"),1,0)</f>
        <v>0</v>
      </c>
      <c r="M46" s="0" t="str">
        <f aca="false">IF(L46=1,SUM($L$2:L46),"")</f>
        <v/>
      </c>
      <c r="N46" s="0" t="n">
        <f aca="false">IF(AND(食数記録!$A46=プレビュー!$C$3,食数記録!$B46="朝",食数記録!$F46="男性GH",食数記録!$D46="臨時喫食"),1,0)</f>
        <v>0</v>
      </c>
      <c r="O46" s="0" t="str">
        <f aca="false">IF(N46=1,SUM($N$2:N46),"")</f>
        <v/>
      </c>
      <c r="P46" s="0" t="n">
        <f aca="false">IF(AND(食数記録!$A46=プレビュー!$C$3,食数記録!$B46="昼",食数記録!$F46="男性GH",食数記録!$D46="臨時喫食"),1,0)</f>
        <v>0</v>
      </c>
      <c r="Q46" s="0" t="str">
        <f aca="false">IF(P46=1,SUM($P$2:P46),"")</f>
        <v/>
      </c>
      <c r="R46" s="0" t="n">
        <f aca="false">IF(AND(食数記録!$A46=プレビュー!$C$3,食数記録!$B46="夕",食数記録!$F46="男性GH",食数記録!$D46="臨時喫食"),1,0)</f>
        <v>0</v>
      </c>
      <c r="S46" s="0" t="str">
        <f aca="false">IF(R46=1,SUM($R$2:R46),"")</f>
        <v/>
      </c>
      <c r="T46" s="0" t="n">
        <f aca="false">IF(AND(食数記録!$A46=プレビュー!$C$3,食数記録!$B46="朝",食数記録!$F46="女性GH",食数記録!$D46="臨時喫食"),1,0)</f>
        <v>0</v>
      </c>
      <c r="U46" s="0" t="str">
        <f aca="false">IF(T46=1,SUM($T$2:T46),"")</f>
        <v/>
      </c>
      <c r="V46" s="0" t="n">
        <f aca="false">IF(AND(食数記録!$A46=プレビュー!$C$3,食数記録!$B46="昼",食数記録!$F46="女性GH",食数記録!$D46="臨時喫食"),1,0)</f>
        <v>0</v>
      </c>
      <c r="W46" s="0" t="str">
        <f aca="false">IF(V46=1,SUM($V$2:V46),"")</f>
        <v/>
      </c>
      <c r="X46" s="0" t="n">
        <f aca="false">IF(AND(食数記録!$A46=プレビュー!$C$3,食数記録!$B46="夕",食数記録!$F46="女性GH",食数記録!$D46="臨時喫食"),1,0)</f>
        <v>0</v>
      </c>
      <c r="Y46" s="0" t="str">
        <f aca="false">IF(X46=1,SUM($X$2:X46),"")</f>
        <v/>
      </c>
    </row>
    <row r="47" customFormat="false" ht="15" hidden="false" customHeight="false" outlineLevel="0" collapsed="false">
      <c r="B47" s="0" t="n">
        <f aca="false">IF(AND(食数記録!$A47=プレビュー!$C$3,食数記録!$B47="朝",食数記録!$F47="男性入所",食数記録!$D47="欠食"),1,0)</f>
        <v>0</v>
      </c>
      <c r="C47" s="0" t="str">
        <f aca="false">IF(B47=1,SUM($B$2:B47),"")</f>
        <v/>
      </c>
      <c r="D47" s="0" t="n">
        <f aca="false">IF(AND(食数記録!$A47=プレビュー!$C$3,食数記録!$B47="昼",食数記録!$F47="男性入所",食数記録!$D47="欠食"),1,0)</f>
        <v>0</v>
      </c>
      <c r="E47" s="0" t="str">
        <f aca="false">IF(D47=1,SUM($D$2:D47),"")</f>
        <v/>
      </c>
      <c r="F47" s="0" t="n">
        <f aca="false">IF(AND(食数記録!$A47=プレビュー!$C$3,食数記録!$B47="夕",食数記録!$F47="男性入所",食数記録!$D47="欠食"),1,0)</f>
        <v>0</v>
      </c>
      <c r="G47" s="0" t="str">
        <f aca="false">IF(F47=1,SUM($F$2:F47),"")</f>
        <v/>
      </c>
      <c r="H47" s="0" t="n">
        <f aca="false">IF(AND(食数記録!$A47=プレビュー!$C$3,食数記録!$B47="朝",食数記録!$F47="女性入所",食数記録!$D47="欠食"),1,0)</f>
        <v>0</v>
      </c>
      <c r="I47" s="0" t="str">
        <f aca="false">IF(H47=1,SUM($H$2:H47),"")</f>
        <v/>
      </c>
      <c r="J47" s="0" t="n">
        <f aca="false">IF(AND(食数記録!$A47=プレビュー!$C$3,食数記録!$B47="昼",食数記録!$F47="女性入所",食数記録!$D47="欠食"),1,0)</f>
        <v>0</v>
      </c>
      <c r="K47" s="0" t="str">
        <f aca="false">IF(J47=1,SUM($J$2:J47),"")</f>
        <v/>
      </c>
      <c r="L47" s="0" t="n">
        <f aca="false">IF(AND(食数記録!$A47=プレビュー!$C$3,食数記録!$B47="夕",食数記録!$F47="女性入所",食数記録!$D47="欠食"),1,0)</f>
        <v>0</v>
      </c>
      <c r="M47" s="0" t="str">
        <f aca="false">IF(L47=1,SUM($L$2:L47),"")</f>
        <v/>
      </c>
      <c r="N47" s="0" t="n">
        <f aca="false">IF(AND(食数記録!$A47=プレビュー!$C$3,食数記録!$B47="朝",食数記録!$F47="男性GH",食数記録!$D47="臨時喫食"),1,0)</f>
        <v>0</v>
      </c>
      <c r="O47" s="0" t="str">
        <f aca="false">IF(N47=1,SUM($N$2:N47),"")</f>
        <v/>
      </c>
      <c r="P47" s="0" t="n">
        <f aca="false">IF(AND(食数記録!$A47=プレビュー!$C$3,食数記録!$B47="昼",食数記録!$F47="男性GH",食数記録!$D47="臨時喫食"),1,0)</f>
        <v>0</v>
      </c>
      <c r="Q47" s="0" t="str">
        <f aca="false">IF(P47=1,SUM($P$2:P47),"")</f>
        <v/>
      </c>
      <c r="R47" s="0" t="n">
        <f aca="false">IF(AND(食数記録!$A47=プレビュー!$C$3,食数記録!$B47="夕",食数記録!$F47="男性GH",食数記録!$D47="臨時喫食"),1,0)</f>
        <v>0</v>
      </c>
      <c r="S47" s="0" t="str">
        <f aca="false">IF(R47=1,SUM($R$2:R47),"")</f>
        <v/>
      </c>
      <c r="T47" s="0" t="n">
        <f aca="false">IF(AND(食数記録!$A47=プレビュー!$C$3,食数記録!$B47="朝",食数記録!$F47="女性GH",食数記録!$D47="臨時喫食"),1,0)</f>
        <v>0</v>
      </c>
      <c r="U47" s="0" t="str">
        <f aca="false">IF(T47=1,SUM($T$2:T47),"")</f>
        <v/>
      </c>
      <c r="V47" s="0" t="n">
        <f aca="false">IF(AND(食数記録!$A47=プレビュー!$C$3,食数記録!$B47="昼",食数記録!$F47="女性GH",食数記録!$D47="臨時喫食"),1,0)</f>
        <v>0</v>
      </c>
      <c r="W47" s="0" t="str">
        <f aca="false">IF(V47=1,SUM($V$2:V47),"")</f>
        <v/>
      </c>
      <c r="X47" s="0" t="n">
        <f aca="false">IF(AND(食数記録!$A47=プレビュー!$C$3,食数記録!$B47="夕",食数記録!$F47="女性GH",食数記録!$D47="臨時喫食"),1,0)</f>
        <v>0</v>
      </c>
      <c r="Y47" s="0" t="str">
        <f aca="false">IF(X47=1,SUM($X$2:X47),"")</f>
        <v/>
      </c>
    </row>
    <row r="48" customFormat="false" ht="15" hidden="false" customHeight="false" outlineLevel="0" collapsed="false">
      <c r="B48" s="0" t="n">
        <f aca="false">IF(AND(食数記録!$A48=プレビュー!$C$3,食数記録!$B48="朝",食数記録!$F48="男性入所",食数記録!$D48="欠食"),1,0)</f>
        <v>0</v>
      </c>
      <c r="C48" s="0" t="str">
        <f aca="false">IF(B48=1,SUM($B$2:B48),"")</f>
        <v/>
      </c>
      <c r="D48" s="0" t="n">
        <f aca="false">IF(AND(食数記録!$A48=プレビュー!$C$3,食数記録!$B48="昼",食数記録!$F48="男性入所",食数記録!$D48="欠食"),1,0)</f>
        <v>0</v>
      </c>
      <c r="E48" s="0" t="str">
        <f aca="false">IF(D48=1,SUM($D$2:D48),"")</f>
        <v/>
      </c>
      <c r="F48" s="0" t="n">
        <f aca="false">IF(AND(食数記録!$A48=プレビュー!$C$3,食数記録!$B48="夕",食数記録!$F48="男性入所",食数記録!$D48="欠食"),1,0)</f>
        <v>0</v>
      </c>
      <c r="G48" s="0" t="str">
        <f aca="false">IF(F48=1,SUM($F$2:F48),"")</f>
        <v/>
      </c>
      <c r="H48" s="0" t="n">
        <f aca="false">IF(AND(食数記録!$A48=プレビュー!$C$3,食数記録!$B48="朝",食数記録!$F48="女性入所",食数記録!$D48="欠食"),1,0)</f>
        <v>0</v>
      </c>
      <c r="I48" s="0" t="str">
        <f aca="false">IF(H48=1,SUM($H$2:H48),"")</f>
        <v/>
      </c>
      <c r="J48" s="0" t="n">
        <f aca="false">IF(AND(食数記録!$A48=プレビュー!$C$3,食数記録!$B48="昼",食数記録!$F48="女性入所",食数記録!$D48="欠食"),1,0)</f>
        <v>0</v>
      </c>
      <c r="K48" s="0" t="str">
        <f aca="false">IF(J48=1,SUM($J$2:J48),"")</f>
        <v/>
      </c>
      <c r="L48" s="0" t="n">
        <f aca="false">IF(AND(食数記録!$A48=プレビュー!$C$3,食数記録!$B48="夕",食数記録!$F48="女性入所",食数記録!$D48="欠食"),1,0)</f>
        <v>0</v>
      </c>
      <c r="M48" s="0" t="str">
        <f aca="false">IF(L48=1,SUM($L$2:L48),"")</f>
        <v/>
      </c>
      <c r="N48" s="0" t="n">
        <f aca="false">IF(AND(食数記録!$A48=プレビュー!$C$3,食数記録!$B48="朝",食数記録!$F48="男性GH",食数記録!$D48="臨時喫食"),1,0)</f>
        <v>0</v>
      </c>
      <c r="O48" s="0" t="str">
        <f aca="false">IF(N48=1,SUM($N$2:N48),"")</f>
        <v/>
      </c>
      <c r="P48" s="0" t="n">
        <f aca="false">IF(AND(食数記録!$A48=プレビュー!$C$3,食数記録!$B48="昼",食数記録!$F48="男性GH",食数記録!$D48="臨時喫食"),1,0)</f>
        <v>0</v>
      </c>
      <c r="Q48" s="0" t="str">
        <f aca="false">IF(P48=1,SUM($P$2:P48),"")</f>
        <v/>
      </c>
      <c r="R48" s="0" t="n">
        <f aca="false">IF(AND(食数記録!$A48=プレビュー!$C$3,食数記録!$B48="夕",食数記録!$F48="男性GH",食数記録!$D48="臨時喫食"),1,0)</f>
        <v>0</v>
      </c>
      <c r="S48" s="0" t="str">
        <f aca="false">IF(R48=1,SUM($R$2:R48),"")</f>
        <v/>
      </c>
      <c r="T48" s="0" t="n">
        <f aca="false">IF(AND(食数記録!$A48=プレビュー!$C$3,食数記録!$B48="朝",食数記録!$F48="女性GH",食数記録!$D48="臨時喫食"),1,0)</f>
        <v>0</v>
      </c>
      <c r="U48" s="0" t="str">
        <f aca="false">IF(T48=1,SUM($T$2:T48),"")</f>
        <v/>
      </c>
      <c r="V48" s="0" t="n">
        <f aca="false">IF(AND(食数記録!$A48=プレビュー!$C$3,食数記録!$B48="昼",食数記録!$F48="女性GH",食数記録!$D48="臨時喫食"),1,0)</f>
        <v>0</v>
      </c>
      <c r="W48" s="0" t="str">
        <f aca="false">IF(V48=1,SUM($V$2:V48),"")</f>
        <v/>
      </c>
      <c r="X48" s="0" t="n">
        <f aca="false">IF(AND(食数記録!$A48=プレビュー!$C$3,食数記録!$B48="夕",食数記録!$F48="女性GH",食数記録!$D48="臨時喫食"),1,0)</f>
        <v>0</v>
      </c>
      <c r="Y48" s="0" t="str">
        <f aca="false">IF(X48=1,SUM($X$2:X48),"")</f>
        <v/>
      </c>
    </row>
    <row r="49" customFormat="false" ht="15" hidden="false" customHeight="false" outlineLevel="0" collapsed="false">
      <c r="B49" s="0" t="n">
        <f aca="false">IF(AND(食数記録!$A49=プレビュー!$C$3,食数記録!$B49="朝",食数記録!$F49="男性入所",食数記録!$D49="欠食"),1,0)</f>
        <v>0</v>
      </c>
      <c r="C49" s="0" t="str">
        <f aca="false">IF(B49=1,SUM($B$2:B49),"")</f>
        <v/>
      </c>
      <c r="D49" s="0" t="n">
        <f aca="false">IF(AND(食数記録!$A49=プレビュー!$C$3,食数記録!$B49="昼",食数記録!$F49="男性入所",食数記録!$D49="欠食"),1,0)</f>
        <v>0</v>
      </c>
      <c r="E49" s="0" t="str">
        <f aca="false">IF(D49=1,SUM($D$2:D49),"")</f>
        <v/>
      </c>
      <c r="F49" s="0" t="n">
        <f aca="false">IF(AND(食数記録!$A49=プレビュー!$C$3,食数記録!$B49="夕",食数記録!$F49="男性入所",食数記録!$D49="欠食"),1,0)</f>
        <v>0</v>
      </c>
      <c r="G49" s="0" t="str">
        <f aca="false">IF(F49=1,SUM($F$2:F49),"")</f>
        <v/>
      </c>
      <c r="H49" s="0" t="n">
        <f aca="false">IF(AND(食数記録!$A49=プレビュー!$C$3,食数記録!$B49="朝",食数記録!$F49="女性入所",食数記録!$D49="欠食"),1,0)</f>
        <v>0</v>
      </c>
      <c r="I49" s="0" t="str">
        <f aca="false">IF(H49=1,SUM($H$2:H49),"")</f>
        <v/>
      </c>
      <c r="J49" s="0" t="n">
        <f aca="false">IF(AND(食数記録!$A49=プレビュー!$C$3,食数記録!$B49="昼",食数記録!$F49="女性入所",食数記録!$D49="欠食"),1,0)</f>
        <v>0</v>
      </c>
      <c r="K49" s="0" t="str">
        <f aca="false">IF(J49=1,SUM($J$2:J49),"")</f>
        <v/>
      </c>
      <c r="L49" s="0" t="n">
        <f aca="false">IF(AND(食数記録!$A49=プレビュー!$C$3,食数記録!$B49="夕",食数記録!$F49="女性入所",食数記録!$D49="欠食"),1,0)</f>
        <v>0</v>
      </c>
      <c r="M49" s="0" t="str">
        <f aca="false">IF(L49=1,SUM($L$2:L49),"")</f>
        <v/>
      </c>
      <c r="N49" s="0" t="n">
        <f aca="false">IF(AND(食数記録!$A49=プレビュー!$C$3,食数記録!$B49="朝",食数記録!$F49="男性GH",食数記録!$D49="臨時喫食"),1,0)</f>
        <v>0</v>
      </c>
      <c r="O49" s="0" t="str">
        <f aca="false">IF(N49=1,SUM($N$2:N49),"")</f>
        <v/>
      </c>
      <c r="P49" s="0" t="n">
        <f aca="false">IF(AND(食数記録!$A49=プレビュー!$C$3,食数記録!$B49="昼",食数記録!$F49="男性GH",食数記録!$D49="臨時喫食"),1,0)</f>
        <v>0</v>
      </c>
      <c r="Q49" s="0" t="str">
        <f aca="false">IF(P49=1,SUM($P$2:P49),"")</f>
        <v/>
      </c>
      <c r="R49" s="0" t="n">
        <f aca="false">IF(AND(食数記録!$A49=プレビュー!$C$3,食数記録!$B49="夕",食数記録!$F49="男性GH",食数記録!$D49="臨時喫食"),1,0)</f>
        <v>0</v>
      </c>
      <c r="S49" s="0" t="str">
        <f aca="false">IF(R49=1,SUM($R$2:R49),"")</f>
        <v/>
      </c>
      <c r="T49" s="0" t="n">
        <f aca="false">IF(AND(食数記録!$A49=プレビュー!$C$3,食数記録!$B49="朝",食数記録!$F49="女性GH",食数記録!$D49="臨時喫食"),1,0)</f>
        <v>0</v>
      </c>
      <c r="U49" s="0" t="str">
        <f aca="false">IF(T49=1,SUM($T$2:T49),"")</f>
        <v/>
      </c>
      <c r="V49" s="0" t="n">
        <f aca="false">IF(AND(食数記録!$A49=プレビュー!$C$3,食数記録!$B49="昼",食数記録!$F49="女性GH",食数記録!$D49="臨時喫食"),1,0)</f>
        <v>0</v>
      </c>
      <c r="W49" s="0" t="str">
        <f aca="false">IF(V49=1,SUM($V$2:V49),"")</f>
        <v/>
      </c>
      <c r="X49" s="0" t="n">
        <f aca="false">IF(AND(食数記録!$A49=プレビュー!$C$3,食数記録!$B49="夕",食数記録!$F49="女性GH",食数記録!$D49="臨時喫食"),1,0)</f>
        <v>0</v>
      </c>
      <c r="Y49" s="0" t="str">
        <f aca="false">IF(X49=1,SUM($X$2:X49),"")</f>
        <v/>
      </c>
    </row>
    <row r="50" customFormat="false" ht="15" hidden="false" customHeight="false" outlineLevel="0" collapsed="false">
      <c r="B50" s="0" t="n">
        <f aca="false">IF(AND(食数記録!$A50=プレビュー!$C$3,食数記録!$B50="朝",食数記録!$F50="男性入所",食数記録!$D50="欠食"),1,0)</f>
        <v>0</v>
      </c>
      <c r="C50" s="0" t="str">
        <f aca="false">IF(B50=1,SUM($B$2:B50),"")</f>
        <v/>
      </c>
      <c r="D50" s="0" t="n">
        <f aca="false">IF(AND(食数記録!$A50=プレビュー!$C$3,食数記録!$B50="昼",食数記録!$F50="男性入所",食数記録!$D50="欠食"),1,0)</f>
        <v>0</v>
      </c>
      <c r="E50" s="0" t="str">
        <f aca="false">IF(D50=1,SUM($D$2:D50),"")</f>
        <v/>
      </c>
      <c r="F50" s="0" t="n">
        <f aca="false">IF(AND(食数記録!$A50=プレビュー!$C$3,食数記録!$B50="夕",食数記録!$F50="男性入所",食数記録!$D50="欠食"),1,0)</f>
        <v>0</v>
      </c>
      <c r="G50" s="0" t="str">
        <f aca="false">IF(F50=1,SUM($F$2:F50),"")</f>
        <v/>
      </c>
      <c r="H50" s="0" t="n">
        <f aca="false">IF(AND(食数記録!$A50=プレビュー!$C$3,食数記録!$B50="朝",食数記録!$F50="女性入所",食数記録!$D50="欠食"),1,0)</f>
        <v>0</v>
      </c>
      <c r="I50" s="0" t="str">
        <f aca="false">IF(H50=1,SUM($H$2:H50),"")</f>
        <v/>
      </c>
      <c r="J50" s="0" t="n">
        <f aca="false">IF(AND(食数記録!$A50=プレビュー!$C$3,食数記録!$B50="昼",食数記録!$F50="女性入所",食数記録!$D50="欠食"),1,0)</f>
        <v>0</v>
      </c>
      <c r="K50" s="0" t="str">
        <f aca="false">IF(J50=1,SUM($J$2:J50),"")</f>
        <v/>
      </c>
      <c r="L50" s="0" t="n">
        <f aca="false">IF(AND(食数記録!$A50=プレビュー!$C$3,食数記録!$B50="夕",食数記録!$F50="女性入所",食数記録!$D50="欠食"),1,0)</f>
        <v>0</v>
      </c>
      <c r="M50" s="0" t="str">
        <f aca="false">IF(L50=1,SUM($L$2:L50),"")</f>
        <v/>
      </c>
      <c r="N50" s="0" t="n">
        <f aca="false">IF(AND(食数記録!$A50=プレビュー!$C$3,食数記録!$B50="朝",食数記録!$F50="男性GH",食数記録!$D50="臨時喫食"),1,0)</f>
        <v>0</v>
      </c>
      <c r="O50" s="0" t="str">
        <f aca="false">IF(N50=1,SUM($N$2:N50),"")</f>
        <v/>
      </c>
      <c r="P50" s="0" t="n">
        <f aca="false">IF(AND(食数記録!$A50=プレビュー!$C$3,食数記録!$B50="昼",食数記録!$F50="男性GH",食数記録!$D50="臨時喫食"),1,0)</f>
        <v>0</v>
      </c>
      <c r="Q50" s="0" t="str">
        <f aca="false">IF(P50=1,SUM($P$2:P50),"")</f>
        <v/>
      </c>
      <c r="R50" s="0" t="n">
        <f aca="false">IF(AND(食数記録!$A50=プレビュー!$C$3,食数記録!$B50="夕",食数記録!$F50="男性GH",食数記録!$D50="臨時喫食"),1,0)</f>
        <v>0</v>
      </c>
      <c r="S50" s="0" t="str">
        <f aca="false">IF(R50=1,SUM($R$2:R50),"")</f>
        <v/>
      </c>
      <c r="T50" s="0" t="n">
        <f aca="false">IF(AND(食数記録!$A50=プレビュー!$C$3,食数記録!$B50="朝",食数記録!$F50="女性GH",食数記録!$D50="臨時喫食"),1,0)</f>
        <v>0</v>
      </c>
      <c r="U50" s="0" t="str">
        <f aca="false">IF(T50=1,SUM($T$2:T50),"")</f>
        <v/>
      </c>
      <c r="V50" s="0" t="n">
        <f aca="false">IF(AND(食数記録!$A50=プレビュー!$C$3,食数記録!$B50="昼",食数記録!$F50="女性GH",食数記録!$D50="臨時喫食"),1,0)</f>
        <v>0</v>
      </c>
      <c r="W50" s="0" t="str">
        <f aca="false">IF(V50=1,SUM($V$2:V50),"")</f>
        <v/>
      </c>
      <c r="X50" s="0" t="n">
        <f aca="false">IF(AND(食数記録!$A50=プレビュー!$C$3,食数記録!$B50="夕",食数記録!$F50="女性GH",食数記録!$D50="臨時喫食"),1,0)</f>
        <v>0</v>
      </c>
      <c r="Y50" s="0" t="str">
        <f aca="false">IF(X50=1,SUM($X$2:X50),"")</f>
        <v/>
      </c>
    </row>
    <row r="51" customFormat="false" ht="15" hidden="false" customHeight="false" outlineLevel="0" collapsed="false">
      <c r="B51" s="0" t="n">
        <f aca="false">IF(AND(食数記録!$A51=プレビュー!$C$3,食数記録!$B51="朝",食数記録!$F51="男性入所",食数記録!$D51="欠食"),1,0)</f>
        <v>0</v>
      </c>
      <c r="C51" s="0" t="str">
        <f aca="false">IF(B51=1,SUM($B$2:B51),"")</f>
        <v/>
      </c>
      <c r="D51" s="0" t="n">
        <f aca="false">IF(AND(食数記録!$A51=プレビュー!$C$3,食数記録!$B51="昼",食数記録!$F51="男性入所",食数記録!$D51="欠食"),1,0)</f>
        <v>0</v>
      </c>
      <c r="E51" s="0" t="str">
        <f aca="false">IF(D51=1,SUM($D$2:D51),"")</f>
        <v/>
      </c>
      <c r="F51" s="0" t="n">
        <f aca="false">IF(AND(食数記録!$A51=プレビュー!$C$3,食数記録!$B51="夕",食数記録!$F51="男性入所",食数記録!$D51="欠食"),1,0)</f>
        <v>0</v>
      </c>
      <c r="G51" s="0" t="str">
        <f aca="false">IF(F51=1,SUM($F$2:F51),"")</f>
        <v/>
      </c>
      <c r="H51" s="0" t="n">
        <f aca="false">IF(AND(食数記録!$A51=プレビュー!$C$3,食数記録!$B51="朝",食数記録!$F51="女性入所",食数記録!$D51="欠食"),1,0)</f>
        <v>0</v>
      </c>
      <c r="I51" s="0" t="str">
        <f aca="false">IF(H51=1,SUM($H$2:H51),"")</f>
        <v/>
      </c>
      <c r="J51" s="0" t="n">
        <f aca="false">IF(AND(食数記録!$A51=プレビュー!$C$3,食数記録!$B51="昼",食数記録!$F51="女性入所",食数記録!$D51="欠食"),1,0)</f>
        <v>0</v>
      </c>
      <c r="K51" s="0" t="str">
        <f aca="false">IF(J51=1,SUM($J$2:J51),"")</f>
        <v/>
      </c>
      <c r="L51" s="0" t="n">
        <f aca="false">IF(AND(食数記録!$A51=プレビュー!$C$3,食数記録!$B51="夕",食数記録!$F51="女性入所",食数記録!$D51="欠食"),1,0)</f>
        <v>0</v>
      </c>
      <c r="M51" s="0" t="str">
        <f aca="false">IF(L51=1,SUM($L$2:L51),"")</f>
        <v/>
      </c>
      <c r="N51" s="0" t="n">
        <f aca="false">IF(AND(食数記録!$A51=プレビュー!$C$3,食数記録!$B51="朝",食数記録!$F51="男性GH",食数記録!$D51="臨時喫食"),1,0)</f>
        <v>0</v>
      </c>
      <c r="O51" s="0" t="str">
        <f aca="false">IF(N51=1,SUM($N$2:N51),"")</f>
        <v/>
      </c>
      <c r="P51" s="0" t="n">
        <f aca="false">IF(AND(食数記録!$A51=プレビュー!$C$3,食数記録!$B51="昼",食数記録!$F51="男性GH",食数記録!$D51="臨時喫食"),1,0)</f>
        <v>0</v>
      </c>
      <c r="Q51" s="0" t="str">
        <f aca="false">IF(P51=1,SUM($P$2:P51),"")</f>
        <v/>
      </c>
      <c r="R51" s="0" t="n">
        <f aca="false">IF(AND(食数記録!$A51=プレビュー!$C$3,食数記録!$B51="夕",食数記録!$F51="男性GH",食数記録!$D51="臨時喫食"),1,0)</f>
        <v>0</v>
      </c>
      <c r="S51" s="0" t="str">
        <f aca="false">IF(R51=1,SUM($R$2:R51),"")</f>
        <v/>
      </c>
      <c r="T51" s="0" t="n">
        <f aca="false">IF(AND(食数記録!$A51=プレビュー!$C$3,食数記録!$B51="朝",食数記録!$F51="女性GH",食数記録!$D51="臨時喫食"),1,0)</f>
        <v>0</v>
      </c>
      <c r="U51" s="0" t="str">
        <f aca="false">IF(T51=1,SUM($T$2:T51),"")</f>
        <v/>
      </c>
      <c r="V51" s="0" t="n">
        <f aca="false">IF(AND(食数記録!$A51=プレビュー!$C$3,食数記録!$B51="昼",食数記録!$F51="女性GH",食数記録!$D51="臨時喫食"),1,0)</f>
        <v>0</v>
      </c>
      <c r="W51" s="0" t="str">
        <f aca="false">IF(V51=1,SUM($V$2:V51),"")</f>
        <v/>
      </c>
      <c r="X51" s="0" t="n">
        <f aca="false">IF(AND(食数記録!$A51=プレビュー!$C$3,食数記録!$B51="夕",食数記録!$F51="女性GH",食数記録!$D51="臨時喫食"),1,0)</f>
        <v>0</v>
      </c>
      <c r="Y51" s="0" t="str">
        <f aca="false">IF(X51=1,SUM($X$2:X51),"")</f>
        <v/>
      </c>
    </row>
    <row r="52" customFormat="false" ht="15" hidden="false" customHeight="false" outlineLevel="0" collapsed="false">
      <c r="B52" s="0" t="n">
        <f aca="false">IF(AND(食数記録!$A52=プレビュー!$C$3,食数記録!$B52="朝",食数記録!$F52="男性入所",食数記録!$D52="欠食"),1,0)</f>
        <v>0</v>
      </c>
      <c r="C52" s="0" t="str">
        <f aca="false">IF(B52=1,SUM($B$2:B52),"")</f>
        <v/>
      </c>
      <c r="D52" s="0" t="n">
        <f aca="false">IF(AND(食数記録!$A52=プレビュー!$C$3,食数記録!$B52="昼",食数記録!$F52="男性入所",食数記録!$D52="欠食"),1,0)</f>
        <v>0</v>
      </c>
      <c r="E52" s="0" t="str">
        <f aca="false">IF(D52=1,SUM($D$2:D52),"")</f>
        <v/>
      </c>
      <c r="F52" s="0" t="n">
        <f aca="false">IF(AND(食数記録!$A52=プレビュー!$C$3,食数記録!$B52="夕",食数記録!$F52="男性入所",食数記録!$D52="欠食"),1,0)</f>
        <v>0</v>
      </c>
      <c r="G52" s="0" t="str">
        <f aca="false">IF(F52=1,SUM($F$2:F52),"")</f>
        <v/>
      </c>
      <c r="H52" s="0" t="n">
        <f aca="false">IF(AND(食数記録!$A52=プレビュー!$C$3,食数記録!$B52="朝",食数記録!$F52="女性入所",食数記録!$D52="欠食"),1,0)</f>
        <v>0</v>
      </c>
      <c r="I52" s="0" t="str">
        <f aca="false">IF(H52=1,SUM($H$2:H52),"")</f>
        <v/>
      </c>
      <c r="J52" s="0" t="n">
        <f aca="false">IF(AND(食数記録!$A52=プレビュー!$C$3,食数記録!$B52="昼",食数記録!$F52="女性入所",食数記録!$D52="欠食"),1,0)</f>
        <v>0</v>
      </c>
      <c r="K52" s="0" t="str">
        <f aca="false">IF(J52=1,SUM($J$2:J52),"")</f>
        <v/>
      </c>
      <c r="L52" s="0" t="n">
        <f aca="false">IF(AND(食数記録!$A52=プレビュー!$C$3,食数記録!$B52="夕",食数記録!$F52="女性入所",食数記録!$D52="欠食"),1,0)</f>
        <v>0</v>
      </c>
      <c r="M52" s="0" t="str">
        <f aca="false">IF(L52=1,SUM($L$2:L52),"")</f>
        <v/>
      </c>
      <c r="N52" s="0" t="n">
        <f aca="false">IF(AND(食数記録!$A52=プレビュー!$C$3,食数記録!$B52="朝",食数記録!$F52="男性GH",食数記録!$D52="臨時喫食"),1,0)</f>
        <v>0</v>
      </c>
      <c r="O52" s="0" t="str">
        <f aca="false">IF(N52=1,SUM($N$2:N52),"")</f>
        <v/>
      </c>
      <c r="P52" s="0" t="n">
        <f aca="false">IF(AND(食数記録!$A52=プレビュー!$C$3,食数記録!$B52="昼",食数記録!$F52="男性GH",食数記録!$D52="臨時喫食"),1,0)</f>
        <v>0</v>
      </c>
      <c r="Q52" s="0" t="str">
        <f aca="false">IF(P52=1,SUM($P$2:P52),"")</f>
        <v/>
      </c>
      <c r="R52" s="0" t="n">
        <f aca="false">IF(AND(食数記録!$A52=プレビュー!$C$3,食数記録!$B52="夕",食数記録!$F52="男性GH",食数記録!$D52="臨時喫食"),1,0)</f>
        <v>0</v>
      </c>
      <c r="S52" s="0" t="str">
        <f aca="false">IF(R52=1,SUM($R$2:R52),"")</f>
        <v/>
      </c>
      <c r="T52" s="0" t="n">
        <f aca="false">IF(AND(食数記録!$A52=プレビュー!$C$3,食数記録!$B52="朝",食数記録!$F52="女性GH",食数記録!$D52="臨時喫食"),1,0)</f>
        <v>0</v>
      </c>
      <c r="U52" s="0" t="str">
        <f aca="false">IF(T52=1,SUM($T$2:T52),"")</f>
        <v/>
      </c>
      <c r="V52" s="0" t="n">
        <f aca="false">IF(AND(食数記録!$A52=プレビュー!$C$3,食数記録!$B52="昼",食数記録!$F52="女性GH",食数記録!$D52="臨時喫食"),1,0)</f>
        <v>0</v>
      </c>
      <c r="W52" s="0" t="str">
        <f aca="false">IF(V52=1,SUM($V$2:V52),"")</f>
        <v/>
      </c>
      <c r="X52" s="0" t="n">
        <f aca="false">IF(AND(食数記録!$A52=プレビュー!$C$3,食数記録!$B52="夕",食数記録!$F52="女性GH",食数記録!$D52="臨時喫食"),1,0)</f>
        <v>0</v>
      </c>
      <c r="Y52" s="0" t="str">
        <f aca="false">IF(X52=1,SUM($X$2:X52),"")</f>
        <v/>
      </c>
    </row>
    <row r="53" customFormat="false" ht="15" hidden="false" customHeight="false" outlineLevel="0" collapsed="false">
      <c r="B53" s="0" t="n">
        <f aca="false">IF(AND(食数記録!$A53=プレビュー!$C$3,食数記録!$B53="朝",食数記録!$F53="男性入所",食数記録!$D53="欠食"),1,0)</f>
        <v>0</v>
      </c>
      <c r="C53" s="0" t="str">
        <f aca="false">IF(B53=1,SUM($B$2:B53),"")</f>
        <v/>
      </c>
      <c r="D53" s="0" t="n">
        <f aca="false">IF(AND(食数記録!$A53=プレビュー!$C$3,食数記録!$B53="昼",食数記録!$F53="男性入所",食数記録!$D53="欠食"),1,0)</f>
        <v>0</v>
      </c>
      <c r="E53" s="0" t="str">
        <f aca="false">IF(D53=1,SUM($D$2:D53),"")</f>
        <v/>
      </c>
      <c r="F53" s="0" t="n">
        <f aca="false">IF(AND(食数記録!$A53=プレビュー!$C$3,食数記録!$B53="夕",食数記録!$F53="男性入所",食数記録!$D53="欠食"),1,0)</f>
        <v>0</v>
      </c>
      <c r="G53" s="0" t="str">
        <f aca="false">IF(F53=1,SUM($F$2:F53),"")</f>
        <v/>
      </c>
      <c r="H53" s="0" t="n">
        <f aca="false">IF(AND(食数記録!$A53=プレビュー!$C$3,食数記録!$B53="朝",食数記録!$F53="女性入所",食数記録!$D53="欠食"),1,0)</f>
        <v>0</v>
      </c>
      <c r="I53" s="0" t="str">
        <f aca="false">IF(H53=1,SUM($H$2:H53),"")</f>
        <v/>
      </c>
      <c r="J53" s="0" t="n">
        <f aca="false">IF(AND(食数記録!$A53=プレビュー!$C$3,食数記録!$B53="昼",食数記録!$F53="女性入所",食数記録!$D53="欠食"),1,0)</f>
        <v>0</v>
      </c>
      <c r="K53" s="0" t="str">
        <f aca="false">IF(J53=1,SUM($J$2:J53),"")</f>
        <v/>
      </c>
      <c r="L53" s="0" t="n">
        <f aca="false">IF(AND(食数記録!$A53=プレビュー!$C$3,食数記録!$B53="夕",食数記録!$F53="女性入所",食数記録!$D53="欠食"),1,0)</f>
        <v>0</v>
      </c>
      <c r="M53" s="0" t="str">
        <f aca="false">IF(L53=1,SUM($L$2:L53),"")</f>
        <v/>
      </c>
      <c r="N53" s="0" t="n">
        <f aca="false">IF(AND(食数記録!$A53=プレビュー!$C$3,食数記録!$B53="朝",食数記録!$F53="男性GH",食数記録!$D53="臨時喫食"),1,0)</f>
        <v>0</v>
      </c>
      <c r="O53" s="0" t="str">
        <f aca="false">IF(N53=1,SUM($N$2:N53),"")</f>
        <v/>
      </c>
      <c r="P53" s="0" t="n">
        <f aca="false">IF(AND(食数記録!$A53=プレビュー!$C$3,食数記録!$B53="昼",食数記録!$F53="男性GH",食数記録!$D53="臨時喫食"),1,0)</f>
        <v>0</v>
      </c>
      <c r="Q53" s="0" t="str">
        <f aca="false">IF(P53=1,SUM($P$2:P53),"")</f>
        <v/>
      </c>
      <c r="R53" s="0" t="n">
        <f aca="false">IF(AND(食数記録!$A53=プレビュー!$C$3,食数記録!$B53="夕",食数記録!$F53="男性GH",食数記録!$D53="臨時喫食"),1,0)</f>
        <v>0</v>
      </c>
      <c r="S53" s="0" t="str">
        <f aca="false">IF(R53=1,SUM($R$2:R53),"")</f>
        <v/>
      </c>
      <c r="T53" s="0" t="n">
        <f aca="false">IF(AND(食数記録!$A53=プレビュー!$C$3,食数記録!$B53="朝",食数記録!$F53="女性GH",食数記録!$D53="臨時喫食"),1,0)</f>
        <v>0</v>
      </c>
      <c r="U53" s="0" t="str">
        <f aca="false">IF(T53=1,SUM($T$2:T53),"")</f>
        <v/>
      </c>
      <c r="V53" s="0" t="n">
        <f aca="false">IF(AND(食数記録!$A53=プレビュー!$C$3,食数記録!$B53="昼",食数記録!$F53="女性GH",食数記録!$D53="臨時喫食"),1,0)</f>
        <v>0</v>
      </c>
      <c r="W53" s="0" t="str">
        <f aca="false">IF(V53=1,SUM($V$2:V53),"")</f>
        <v/>
      </c>
      <c r="X53" s="0" t="n">
        <f aca="false">IF(AND(食数記録!$A53=プレビュー!$C$3,食数記録!$B53="夕",食数記録!$F53="女性GH",食数記録!$D53="臨時喫食"),1,0)</f>
        <v>0</v>
      </c>
      <c r="Y53" s="0" t="str">
        <f aca="false">IF(X53=1,SUM($X$2:X53),"")</f>
        <v/>
      </c>
    </row>
    <row r="54" customFormat="false" ht="15" hidden="false" customHeight="false" outlineLevel="0" collapsed="false">
      <c r="B54" s="0" t="n">
        <f aca="false">IF(AND(食数記録!$A54=プレビュー!$C$3,食数記録!$B54="朝",食数記録!$F54="男性入所",食数記録!$D54="欠食"),1,0)</f>
        <v>0</v>
      </c>
      <c r="C54" s="0" t="str">
        <f aca="false">IF(B54=1,SUM($B$2:B54),"")</f>
        <v/>
      </c>
      <c r="D54" s="0" t="n">
        <f aca="false">IF(AND(食数記録!$A54=プレビュー!$C$3,食数記録!$B54="昼",食数記録!$F54="男性入所",食数記録!$D54="欠食"),1,0)</f>
        <v>0</v>
      </c>
      <c r="E54" s="0" t="str">
        <f aca="false">IF(D54=1,SUM($D$2:D54),"")</f>
        <v/>
      </c>
      <c r="F54" s="0" t="n">
        <f aca="false">IF(AND(食数記録!$A54=プレビュー!$C$3,食数記録!$B54="夕",食数記録!$F54="男性入所",食数記録!$D54="欠食"),1,0)</f>
        <v>0</v>
      </c>
      <c r="G54" s="0" t="str">
        <f aca="false">IF(F54=1,SUM($F$2:F54),"")</f>
        <v/>
      </c>
      <c r="H54" s="0" t="n">
        <f aca="false">IF(AND(食数記録!$A54=プレビュー!$C$3,食数記録!$B54="朝",食数記録!$F54="女性入所",食数記録!$D54="欠食"),1,0)</f>
        <v>0</v>
      </c>
      <c r="I54" s="0" t="str">
        <f aca="false">IF(H54=1,SUM($H$2:H54),"")</f>
        <v/>
      </c>
      <c r="J54" s="0" t="n">
        <f aca="false">IF(AND(食数記録!$A54=プレビュー!$C$3,食数記録!$B54="昼",食数記録!$F54="女性入所",食数記録!$D54="欠食"),1,0)</f>
        <v>0</v>
      </c>
      <c r="K54" s="0" t="str">
        <f aca="false">IF(J54=1,SUM($J$2:J54),"")</f>
        <v/>
      </c>
      <c r="L54" s="0" t="n">
        <f aca="false">IF(AND(食数記録!$A54=プレビュー!$C$3,食数記録!$B54="夕",食数記録!$F54="女性入所",食数記録!$D54="欠食"),1,0)</f>
        <v>0</v>
      </c>
      <c r="M54" s="0" t="str">
        <f aca="false">IF(L54=1,SUM($L$2:L54),"")</f>
        <v/>
      </c>
      <c r="N54" s="0" t="n">
        <f aca="false">IF(AND(食数記録!$A54=プレビュー!$C$3,食数記録!$B54="朝",食数記録!$F54="男性GH",食数記録!$D54="臨時喫食"),1,0)</f>
        <v>0</v>
      </c>
      <c r="O54" s="0" t="str">
        <f aca="false">IF(N54=1,SUM($N$2:N54),"")</f>
        <v/>
      </c>
      <c r="P54" s="0" t="n">
        <f aca="false">IF(AND(食数記録!$A54=プレビュー!$C$3,食数記録!$B54="昼",食数記録!$F54="男性GH",食数記録!$D54="臨時喫食"),1,0)</f>
        <v>0</v>
      </c>
      <c r="Q54" s="0" t="str">
        <f aca="false">IF(P54=1,SUM($P$2:P54),"")</f>
        <v/>
      </c>
      <c r="R54" s="0" t="n">
        <f aca="false">IF(AND(食数記録!$A54=プレビュー!$C$3,食数記録!$B54="夕",食数記録!$F54="男性GH",食数記録!$D54="臨時喫食"),1,0)</f>
        <v>0</v>
      </c>
      <c r="S54" s="0" t="str">
        <f aca="false">IF(R54=1,SUM($R$2:R54),"")</f>
        <v/>
      </c>
      <c r="T54" s="0" t="n">
        <f aca="false">IF(AND(食数記録!$A54=プレビュー!$C$3,食数記録!$B54="朝",食数記録!$F54="女性GH",食数記録!$D54="臨時喫食"),1,0)</f>
        <v>0</v>
      </c>
      <c r="U54" s="0" t="str">
        <f aca="false">IF(T54=1,SUM($T$2:T54),"")</f>
        <v/>
      </c>
      <c r="V54" s="0" t="n">
        <f aca="false">IF(AND(食数記録!$A54=プレビュー!$C$3,食数記録!$B54="昼",食数記録!$F54="女性GH",食数記録!$D54="臨時喫食"),1,0)</f>
        <v>0</v>
      </c>
      <c r="W54" s="0" t="str">
        <f aca="false">IF(V54=1,SUM($V$2:V54),"")</f>
        <v/>
      </c>
      <c r="X54" s="0" t="n">
        <f aca="false">IF(AND(食数記録!$A54=プレビュー!$C$3,食数記録!$B54="夕",食数記録!$F54="女性GH",食数記録!$D54="臨時喫食"),1,0)</f>
        <v>0</v>
      </c>
      <c r="Y54" s="0" t="str">
        <f aca="false">IF(X54=1,SUM($X$2:X54),"")</f>
        <v/>
      </c>
    </row>
    <row r="55" customFormat="false" ht="15" hidden="false" customHeight="false" outlineLevel="0" collapsed="false">
      <c r="B55" s="0" t="n">
        <f aca="false">IF(AND(食数記録!$A55=プレビュー!$C$3,食数記録!$B55="朝",食数記録!$F55="男性入所",食数記録!$D55="欠食"),1,0)</f>
        <v>0</v>
      </c>
      <c r="C55" s="0" t="str">
        <f aca="false">IF(B55=1,SUM($B$2:B55),"")</f>
        <v/>
      </c>
      <c r="D55" s="0" t="n">
        <f aca="false">IF(AND(食数記録!$A55=プレビュー!$C$3,食数記録!$B55="昼",食数記録!$F55="男性入所",食数記録!$D55="欠食"),1,0)</f>
        <v>0</v>
      </c>
      <c r="E55" s="0" t="str">
        <f aca="false">IF(D55=1,SUM($D$2:D55),"")</f>
        <v/>
      </c>
      <c r="F55" s="0" t="n">
        <f aca="false">IF(AND(食数記録!$A55=プレビュー!$C$3,食数記録!$B55="夕",食数記録!$F55="男性入所",食数記録!$D55="欠食"),1,0)</f>
        <v>0</v>
      </c>
      <c r="G55" s="0" t="str">
        <f aca="false">IF(F55=1,SUM($F$2:F55),"")</f>
        <v/>
      </c>
      <c r="H55" s="0" t="n">
        <f aca="false">IF(AND(食数記録!$A55=プレビュー!$C$3,食数記録!$B55="朝",食数記録!$F55="女性入所",食数記録!$D55="欠食"),1,0)</f>
        <v>0</v>
      </c>
      <c r="I55" s="0" t="str">
        <f aca="false">IF(H55=1,SUM($H$2:H55),"")</f>
        <v/>
      </c>
      <c r="J55" s="0" t="n">
        <f aca="false">IF(AND(食数記録!$A55=プレビュー!$C$3,食数記録!$B55="昼",食数記録!$F55="女性入所",食数記録!$D55="欠食"),1,0)</f>
        <v>0</v>
      </c>
      <c r="K55" s="0" t="str">
        <f aca="false">IF(J55=1,SUM($J$2:J55),"")</f>
        <v/>
      </c>
      <c r="L55" s="0" t="n">
        <f aca="false">IF(AND(食数記録!$A55=プレビュー!$C$3,食数記録!$B55="夕",食数記録!$F55="女性入所",食数記録!$D55="欠食"),1,0)</f>
        <v>0</v>
      </c>
      <c r="M55" s="0" t="str">
        <f aca="false">IF(L55=1,SUM($L$2:L55),"")</f>
        <v/>
      </c>
      <c r="N55" s="0" t="n">
        <f aca="false">IF(AND(食数記録!$A55=プレビュー!$C$3,食数記録!$B55="朝",食数記録!$F55="男性GH",食数記録!$D55="臨時喫食"),1,0)</f>
        <v>0</v>
      </c>
      <c r="O55" s="0" t="str">
        <f aca="false">IF(N55=1,SUM($N$2:N55),"")</f>
        <v/>
      </c>
      <c r="P55" s="0" t="n">
        <f aca="false">IF(AND(食数記録!$A55=プレビュー!$C$3,食数記録!$B55="昼",食数記録!$F55="男性GH",食数記録!$D55="臨時喫食"),1,0)</f>
        <v>0</v>
      </c>
      <c r="Q55" s="0" t="str">
        <f aca="false">IF(P55=1,SUM($P$2:P55),"")</f>
        <v/>
      </c>
      <c r="R55" s="0" t="n">
        <f aca="false">IF(AND(食数記録!$A55=プレビュー!$C$3,食数記録!$B55="夕",食数記録!$F55="男性GH",食数記録!$D55="臨時喫食"),1,0)</f>
        <v>0</v>
      </c>
      <c r="S55" s="0" t="str">
        <f aca="false">IF(R55=1,SUM($R$2:R55),"")</f>
        <v/>
      </c>
      <c r="T55" s="0" t="n">
        <f aca="false">IF(AND(食数記録!$A55=プレビュー!$C$3,食数記録!$B55="朝",食数記録!$F55="女性GH",食数記録!$D55="臨時喫食"),1,0)</f>
        <v>0</v>
      </c>
      <c r="U55" s="0" t="str">
        <f aca="false">IF(T55=1,SUM($T$2:T55),"")</f>
        <v/>
      </c>
      <c r="V55" s="0" t="n">
        <f aca="false">IF(AND(食数記録!$A55=プレビュー!$C$3,食数記録!$B55="昼",食数記録!$F55="女性GH",食数記録!$D55="臨時喫食"),1,0)</f>
        <v>0</v>
      </c>
      <c r="W55" s="0" t="str">
        <f aca="false">IF(V55=1,SUM($V$2:V55),"")</f>
        <v/>
      </c>
      <c r="X55" s="0" t="n">
        <f aca="false">IF(AND(食数記録!$A55=プレビュー!$C$3,食数記録!$B55="夕",食数記録!$F55="女性GH",食数記録!$D55="臨時喫食"),1,0)</f>
        <v>0</v>
      </c>
      <c r="Y55" s="0" t="str">
        <f aca="false">IF(X55=1,SUM($X$2:X55),"")</f>
        <v/>
      </c>
    </row>
    <row r="56" customFormat="false" ht="15" hidden="false" customHeight="false" outlineLevel="0" collapsed="false">
      <c r="B56" s="0" t="n">
        <f aca="false">IF(AND(食数記録!$A56=プレビュー!$C$3,食数記録!$B56="朝",食数記録!$F56="男性入所",食数記録!$D56="欠食"),1,0)</f>
        <v>0</v>
      </c>
      <c r="C56" s="0" t="str">
        <f aca="false">IF(B56=1,SUM($B$2:B56),"")</f>
        <v/>
      </c>
      <c r="D56" s="0" t="n">
        <f aca="false">IF(AND(食数記録!$A56=プレビュー!$C$3,食数記録!$B56="昼",食数記録!$F56="男性入所",食数記録!$D56="欠食"),1,0)</f>
        <v>0</v>
      </c>
      <c r="E56" s="0" t="str">
        <f aca="false">IF(D56=1,SUM($D$2:D56),"")</f>
        <v/>
      </c>
      <c r="F56" s="0" t="n">
        <f aca="false">IF(AND(食数記録!$A56=プレビュー!$C$3,食数記録!$B56="夕",食数記録!$F56="男性入所",食数記録!$D56="欠食"),1,0)</f>
        <v>0</v>
      </c>
      <c r="G56" s="0" t="str">
        <f aca="false">IF(F56=1,SUM($F$2:F56),"")</f>
        <v/>
      </c>
      <c r="H56" s="0" t="n">
        <f aca="false">IF(AND(食数記録!$A56=プレビュー!$C$3,食数記録!$B56="朝",食数記録!$F56="女性入所",食数記録!$D56="欠食"),1,0)</f>
        <v>0</v>
      </c>
      <c r="I56" s="0" t="str">
        <f aca="false">IF(H56=1,SUM($H$2:H56),"")</f>
        <v/>
      </c>
      <c r="J56" s="0" t="n">
        <f aca="false">IF(AND(食数記録!$A56=プレビュー!$C$3,食数記録!$B56="昼",食数記録!$F56="女性入所",食数記録!$D56="欠食"),1,0)</f>
        <v>0</v>
      </c>
      <c r="K56" s="0" t="str">
        <f aca="false">IF(J56=1,SUM($J$2:J56),"")</f>
        <v/>
      </c>
      <c r="L56" s="0" t="n">
        <f aca="false">IF(AND(食数記録!$A56=プレビュー!$C$3,食数記録!$B56="夕",食数記録!$F56="女性入所",食数記録!$D56="欠食"),1,0)</f>
        <v>0</v>
      </c>
      <c r="M56" s="0" t="str">
        <f aca="false">IF(L56=1,SUM($L$2:L56),"")</f>
        <v/>
      </c>
      <c r="N56" s="0" t="n">
        <f aca="false">IF(AND(食数記録!$A56=プレビュー!$C$3,食数記録!$B56="朝",食数記録!$F56="男性GH",食数記録!$D56="臨時喫食"),1,0)</f>
        <v>0</v>
      </c>
      <c r="O56" s="0" t="str">
        <f aca="false">IF(N56=1,SUM($N$2:N56),"")</f>
        <v/>
      </c>
      <c r="P56" s="0" t="n">
        <f aca="false">IF(AND(食数記録!$A56=プレビュー!$C$3,食数記録!$B56="昼",食数記録!$F56="男性GH",食数記録!$D56="臨時喫食"),1,0)</f>
        <v>0</v>
      </c>
      <c r="Q56" s="0" t="str">
        <f aca="false">IF(P56=1,SUM($P$2:P56),"")</f>
        <v/>
      </c>
      <c r="R56" s="0" t="n">
        <f aca="false">IF(AND(食数記録!$A56=プレビュー!$C$3,食数記録!$B56="夕",食数記録!$F56="男性GH",食数記録!$D56="臨時喫食"),1,0)</f>
        <v>0</v>
      </c>
      <c r="S56" s="0" t="str">
        <f aca="false">IF(R56=1,SUM($R$2:R56),"")</f>
        <v/>
      </c>
      <c r="T56" s="0" t="n">
        <f aca="false">IF(AND(食数記録!$A56=プレビュー!$C$3,食数記録!$B56="朝",食数記録!$F56="女性GH",食数記録!$D56="臨時喫食"),1,0)</f>
        <v>0</v>
      </c>
      <c r="U56" s="0" t="str">
        <f aca="false">IF(T56=1,SUM($T$2:T56),"")</f>
        <v/>
      </c>
      <c r="V56" s="0" t="n">
        <f aca="false">IF(AND(食数記録!$A56=プレビュー!$C$3,食数記録!$B56="昼",食数記録!$F56="女性GH",食数記録!$D56="臨時喫食"),1,0)</f>
        <v>0</v>
      </c>
      <c r="W56" s="0" t="str">
        <f aca="false">IF(V56=1,SUM($V$2:V56),"")</f>
        <v/>
      </c>
      <c r="X56" s="0" t="n">
        <f aca="false">IF(AND(食数記録!$A56=プレビュー!$C$3,食数記録!$B56="夕",食数記録!$F56="女性GH",食数記録!$D56="臨時喫食"),1,0)</f>
        <v>0</v>
      </c>
      <c r="Y56" s="0" t="str">
        <f aca="false">IF(X56=1,SUM($X$2:X56),"")</f>
        <v/>
      </c>
    </row>
    <row r="57" customFormat="false" ht="15" hidden="false" customHeight="false" outlineLevel="0" collapsed="false">
      <c r="B57" s="0" t="n">
        <f aca="false">IF(AND(食数記録!$A57=プレビュー!$C$3,食数記録!$B57="朝",食数記録!$F57="男性入所",食数記録!$D57="欠食"),1,0)</f>
        <v>0</v>
      </c>
      <c r="C57" s="0" t="str">
        <f aca="false">IF(B57=1,SUM($B$2:B57),"")</f>
        <v/>
      </c>
      <c r="D57" s="0" t="n">
        <f aca="false">IF(AND(食数記録!$A57=プレビュー!$C$3,食数記録!$B57="昼",食数記録!$F57="男性入所",食数記録!$D57="欠食"),1,0)</f>
        <v>0</v>
      </c>
      <c r="E57" s="0" t="str">
        <f aca="false">IF(D57=1,SUM($D$2:D57),"")</f>
        <v/>
      </c>
      <c r="F57" s="0" t="n">
        <f aca="false">IF(AND(食数記録!$A57=プレビュー!$C$3,食数記録!$B57="夕",食数記録!$F57="男性入所",食数記録!$D57="欠食"),1,0)</f>
        <v>0</v>
      </c>
      <c r="G57" s="0" t="str">
        <f aca="false">IF(F57=1,SUM($F$2:F57),"")</f>
        <v/>
      </c>
      <c r="H57" s="0" t="n">
        <f aca="false">IF(AND(食数記録!$A57=プレビュー!$C$3,食数記録!$B57="朝",食数記録!$F57="女性入所",食数記録!$D57="欠食"),1,0)</f>
        <v>0</v>
      </c>
      <c r="I57" s="0" t="str">
        <f aca="false">IF(H57=1,SUM($H$2:H57),"")</f>
        <v/>
      </c>
      <c r="J57" s="0" t="n">
        <f aca="false">IF(AND(食数記録!$A57=プレビュー!$C$3,食数記録!$B57="昼",食数記録!$F57="女性入所",食数記録!$D57="欠食"),1,0)</f>
        <v>0</v>
      </c>
      <c r="K57" s="0" t="str">
        <f aca="false">IF(J57=1,SUM($J$2:J57),"")</f>
        <v/>
      </c>
      <c r="L57" s="0" t="n">
        <f aca="false">IF(AND(食数記録!$A57=プレビュー!$C$3,食数記録!$B57="夕",食数記録!$F57="女性入所",食数記録!$D57="欠食"),1,0)</f>
        <v>0</v>
      </c>
      <c r="M57" s="0" t="str">
        <f aca="false">IF(L57=1,SUM($L$2:L57),"")</f>
        <v/>
      </c>
      <c r="N57" s="0" t="n">
        <f aca="false">IF(AND(食数記録!$A57=プレビュー!$C$3,食数記録!$B57="朝",食数記録!$F57="男性GH",食数記録!$D57="臨時喫食"),1,0)</f>
        <v>0</v>
      </c>
      <c r="O57" s="0" t="str">
        <f aca="false">IF(N57=1,SUM($N$2:N57),"")</f>
        <v/>
      </c>
      <c r="P57" s="0" t="n">
        <f aca="false">IF(AND(食数記録!$A57=プレビュー!$C$3,食数記録!$B57="昼",食数記録!$F57="男性GH",食数記録!$D57="臨時喫食"),1,0)</f>
        <v>0</v>
      </c>
      <c r="Q57" s="0" t="str">
        <f aca="false">IF(P57=1,SUM($P$2:P57),"")</f>
        <v/>
      </c>
      <c r="R57" s="0" t="n">
        <f aca="false">IF(AND(食数記録!$A57=プレビュー!$C$3,食数記録!$B57="夕",食数記録!$F57="男性GH",食数記録!$D57="臨時喫食"),1,0)</f>
        <v>0</v>
      </c>
      <c r="S57" s="0" t="str">
        <f aca="false">IF(R57=1,SUM($R$2:R57),"")</f>
        <v/>
      </c>
      <c r="T57" s="0" t="n">
        <f aca="false">IF(AND(食数記録!$A57=プレビュー!$C$3,食数記録!$B57="朝",食数記録!$F57="女性GH",食数記録!$D57="臨時喫食"),1,0)</f>
        <v>0</v>
      </c>
      <c r="U57" s="0" t="str">
        <f aca="false">IF(T57=1,SUM($T$2:T57),"")</f>
        <v/>
      </c>
      <c r="V57" s="0" t="n">
        <f aca="false">IF(AND(食数記録!$A57=プレビュー!$C$3,食数記録!$B57="昼",食数記録!$F57="女性GH",食数記録!$D57="臨時喫食"),1,0)</f>
        <v>0</v>
      </c>
      <c r="W57" s="0" t="str">
        <f aca="false">IF(V57=1,SUM($V$2:V57),"")</f>
        <v/>
      </c>
      <c r="X57" s="0" t="n">
        <f aca="false">IF(AND(食数記録!$A57=プレビュー!$C$3,食数記録!$B57="夕",食数記録!$F57="女性GH",食数記録!$D57="臨時喫食"),1,0)</f>
        <v>0</v>
      </c>
      <c r="Y57" s="0" t="str">
        <f aca="false">IF(X57=1,SUM($X$2:X57),"")</f>
        <v/>
      </c>
    </row>
    <row r="58" customFormat="false" ht="15" hidden="false" customHeight="false" outlineLevel="0" collapsed="false">
      <c r="B58" s="0" t="n">
        <f aca="false">IF(AND(食数記録!$A58=プレビュー!$C$3,食数記録!$B58="朝",食数記録!$F58="男性入所",食数記録!$D58="欠食"),1,0)</f>
        <v>0</v>
      </c>
      <c r="C58" s="0" t="str">
        <f aca="false">IF(B58=1,SUM($B$2:B58),"")</f>
        <v/>
      </c>
      <c r="D58" s="0" t="n">
        <f aca="false">IF(AND(食数記録!$A58=プレビュー!$C$3,食数記録!$B58="昼",食数記録!$F58="男性入所",食数記録!$D58="欠食"),1,0)</f>
        <v>0</v>
      </c>
      <c r="E58" s="0" t="str">
        <f aca="false">IF(D58=1,SUM($D$2:D58),"")</f>
        <v/>
      </c>
      <c r="F58" s="0" t="n">
        <f aca="false">IF(AND(食数記録!$A58=プレビュー!$C$3,食数記録!$B58="夕",食数記録!$F58="男性入所",食数記録!$D58="欠食"),1,0)</f>
        <v>0</v>
      </c>
      <c r="G58" s="0" t="str">
        <f aca="false">IF(F58=1,SUM($F$2:F58),"")</f>
        <v/>
      </c>
      <c r="H58" s="0" t="n">
        <f aca="false">IF(AND(食数記録!$A58=プレビュー!$C$3,食数記録!$B58="朝",食数記録!$F58="女性入所",食数記録!$D58="欠食"),1,0)</f>
        <v>0</v>
      </c>
      <c r="I58" s="0" t="str">
        <f aca="false">IF(H58=1,SUM($H$2:H58),"")</f>
        <v/>
      </c>
      <c r="J58" s="0" t="n">
        <f aca="false">IF(AND(食数記録!$A58=プレビュー!$C$3,食数記録!$B58="昼",食数記録!$F58="女性入所",食数記録!$D58="欠食"),1,0)</f>
        <v>0</v>
      </c>
      <c r="K58" s="0" t="str">
        <f aca="false">IF(J58=1,SUM($J$2:J58),"")</f>
        <v/>
      </c>
      <c r="L58" s="0" t="n">
        <f aca="false">IF(AND(食数記録!$A58=プレビュー!$C$3,食数記録!$B58="夕",食数記録!$F58="女性入所",食数記録!$D58="欠食"),1,0)</f>
        <v>0</v>
      </c>
      <c r="M58" s="0" t="str">
        <f aca="false">IF(L58=1,SUM($L$2:L58),"")</f>
        <v/>
      </c>
      <c r="N58" s="0" t="n">
        <f aca="false">IF(AND(食数記録!$A58=プレビュー!$C$3,食数記録!$B58="朝",食数記録!$F58="男性GH",食数記録!$D58="臨時喫食"),1,0)</f>
        <v>0</v>
      </c>
      <c r="O58" s="0" t="str">
        <f aca="false">IF(N58=1,SUM($N$2:N58),"")</f>
        <v/>
      </c>
      <c r="P58" s="0" t="n">
        <f aca="false">IF(AND(食数記録!$A58=プレビュー!$C$3,食数記録!$B58="昼",食数記録!$F58="男性GH",食数記録!$D58="臨時喫食"),1,0)</f>
        <v>0</v>
      </c>
      <c r="Q58" s="0" t="str">
        <f aca="false">IF(P58=1,SUM($P$2:P58),"")</f>
        <v/>
      </c>
      <c r="R58" s="0" t="n">
        <f aca="false">IF(AND(食数記録!$A58=プレビュー!$C$3,食数記録!$B58="夕",食数記録!$F58="男性GH",食数記録!$D58="臨時喫食"),1,0)</f>
        <v>0</v>
      </c>
      <c r="S58" s="0" t="str">
        <f aca="false">IF(R58=1,SUM($R$2:R58),"")</f>
        <v/>
      </c>
      <c r="T58" s="0" t="n">
        <f aca="false">IF(AND(食数記録!$A58=プレビュー!$C$3,食数記録!$B58="朝",食数記録!$F58="女性GH",食数記録!$D58="臨時喫食"),1,0)</f>
        <v>0</v>
      </c>
      <c r="U58" s="0" t="str">
        <f aca="false">IF(T58=1,SUM($T$2:T58),"")</f>
        <v/>
      </c>
      <c r="V58" s="0" t="n">
        <f aca="false">IF(AND(食数記録!$A58=プレビュー!$C$3,食数記録!$B58="昼",食数記録!$F58="女性GH",食数記録!$D58="臨時喫食"),1,0)</f>
        <v>0</v>
      </c>
      <c r="W58" s="0" t="str">
        <f aca="false">IF(V58=1,SUM($V$2:V58),"")</f>
        <v/>
      </c>
      <c r="X58" s="0" t="n">
        <f aca="false">IF(AND(食数記録!$A58=プレビュー!$C$3,食数記録!$B58="夕",食数記録!$F58="女性GH",食数記録!$D58="臨時喫食"),1,0)</f>
        <v>0</v>
      </c>
      <c r="Y58" s="0" t="str">
        <f aca="false">IF(X58=1,SUM($X$2:X58),"")</f>
        <v/>
      </c>
    </row>
    <row r="59" customFormat="false" ht="15" hidden="false" customHeight="false" outlineLevel="0" collapsed="false">
      <c r="B59" s="0" t="n">
        <f aca="false">IF(AND(食数記録!$A59=プレビュー!$C$3,食数記録!$B59="朝",食数記録!$F59="男性入所",食数記録!$D59="欠食"),1,0)</f>
        <v>0</v>
      </c>
      <c r="C59" s="0" t="str">
        <f aca="false">IF(B59=1,SUM($B$2:B59),"")</f>
        <v/>
      </c>
      <c r="D59" s="0" t="n">
        <f aca="false">IF(AND(食数記録!$A59=プレビュー!$C$3,食数記録!$B59="昼",食数記録!$F59="男性入所",食数記録!$D59="欠食"),1,0)</f>
        <v>0</v>
      </c>
      <c r="E59" s="0" t="str">
        <f aca="false">IF(D59=1,SUM($D$2:D59),"")</f>
        <v/>
      </c>
      <c r="F59" s="0" t="n">
        <f aca="false">IF(AND(食数記録!$A59=プレビュー!$C$3,食数記録!$B59="夕",食数記録!$F59="男性入所",食数記録!$D59="欠食"),1,0)</f>
        <v>0</v>
      </c>
      <c r="G59" s="0" t="str">
        <f aca="false">IF(F59=1,SUM($F$2:F59),"")</f>
        <v/>
      </c>
      <c r="H59" s="0" t="n">
        <f aca="false">IF(AND(食数記録!$A59=プレビュー!$C$3,食数記録!$B59="朝",食数記録!$F59="女性入所",食数記録!$D59="欠食"),1,0)</f>
        <v>0</v>
      </c>
      <c r="I59" s="0" t="str">
        <f aca="false">IF(H59=1,SUM($H$2:H59),"")</f>
        <v/>
      </c>
      <c r="J59" s="0" t="n">
        <f aca="false">IF(AND(食数記録!$A59=プレビュー!$C$3,食数記録!$B59="昼",食数記録!$F59="女性入所",食数記録!$D59="欠食"),1,0)</f>
        <v>0</v>
      </c>
      <c r="K59" s="0" t="str">
        <f aca="false">IF(J59=1,SUM($J$2:J59),"")</f>
        <v/>
      </c>
      <c r="L59" s="0" t="n">
        <f aca="false">IF(AND(食数記録!$A59=プレビュー!$C$3,食数記録!$B59="夕",食数記録!$F59="女性入所",食数記録!$D59="欠食"),1,0)</f>
        <v>0</v>
      </c>
      <c r="M59" s="0" t="str">
        <f aca="false">IF(L59=1,SUM($L$2:L59),"")</f>
        <v/>
      </c>
      <c r="N59" s="0" t="n">
        <f aca="false">IF(AND(食数記録!$A59=プレビュー!$C$3,食数記録!$B59="朝",食数記録!$F59="男性GH",食数記録!$D59="臨時喫食"),1,0)</f>
        <v>0</v>
      </c>
      <c r="O59" s="0" t="str">
        <f aca="false">IF(N59=1,SUM($N$2:N59),"")</f>
        <v/>
      </c>
      <c r="P59" s="0" t="n">
        <f aca="false">IF(AND(食数記録!$A59=プレビュー!$C$3,食数記録!$B59="昼",食数記録!$F59="男性GH",食数記録!$D59="臨時喫食"),1,0)</f>
        <v>0</v>
      </c>
      <c r="Q59" s="0" t="str">
        <f aca="false">IF(P59=1,SUM($P$2:P59),"")</f>
        <v/>
      </c>
      <c r="R59" s="0" t="n">
        <f aca="false">IF(AND(食数記録!$A59=プレビュー!$C$3,食数記録!$B59="夕",食数記録!$F59="男性GH",食数記録!$D59="臨時喫食"),1,0)</f>
        <v>0</v>
      </c>
      <c r="S59" s="0" t="str">
        <f aca="false">IF(R59=1,SUM($R$2:R59),"")</f>
        <v/>
      </c>
      <c r="T59" s="0" t="n">
        <f aca="false">IF(AND(食数記録!$A59=プレビュー!$C$3,食数記録!$B59="朝",食数記録!$F59="女性GH",食数記録!$D59="臨時喫食"),1,0)</f>
        <v>0</v>
      </c>
      <c r="U59" s="0" t="str">
        <f aca="false">IF(T59=1,SUM($T$2:T59),"")</f>
        <v/>
      </c>
      <c r="V59" s="0" t="n">
        <f aca="false">IF(AND(食数記録!$A59=プレビュー!$C$3,食数記録!$B59="昼",食数記録!$F59="女性GH",食数記録!$D59="臨時喫食"),1,0)</f>
        <v>0</v>
      </c>
      <c r="W59" s="0" t="str">
        <f aca="false">IF(V59=1,SUM($V$2:V59),"")</f>
        <v/>
      </c>
      <c r="X59" s="0" t="n">
        <f aca="false">IF(AND(食数記録!$A59=プレビュー!$C$3,食数記録!$B59="夕",食数記録!$F59="女性GH",食数記録!$D59="臨時喫食"),1,0)</f>
        <v>0</v>
      </c>
      <c r="Y59" s="0" t="str">
        <f aca="false">IF(X59=1,SUM($X$2:X59),"")</f>
        <v/>
      </c>
    </row>
    <row r="60" customFormat="false" ht="15" hidden="false" customHeight="false" outlineLevel="0" collapsed="false">
      <c r="B60" s="0" t="n">
        <f aca="false">IF(AND(食数記録!$A60=プレビュー!$C$3,食数記録!$B60="朝",食数記録!$F60="男性入所",食数記録!$D60="欠食"),1,0)</f>
        <v>0</v>
      </c>
      <c r="C60" s="0" t="str">
        <f aca="false">IF(B60=1,SUM($B$2:B60),"")</f>
        <v/>
      </c>
      <c r="D60" s="0" t="n">
        <f aca="false">IF(AND(食数記録!$A60=プレビュー!$C$3,食数記録!$B60="昼",食数記録!$F60="男性入所",食数記録!$D60="欠食"),1,0)</f>
        <v>0</v>
      </c>
      <c r="E60" s="0" t="str">
        <f aca="false">IF(D60=1,SUM($D$2:D60),"")</f>
        <v/>
      </c>
      <c r="F60" s="0" t="n">
        <f aca="false">IF(AND(食数記録!$A60=プレビュー!$C$3,食数記録!$B60="夕",食数記録!$F60="男性入所",食数記録!$D60="欠食"),1,0)</f>
        <v>0</v>
      </c>
      <c r="G60" s="0" t="str">
        <f aca="false">IF(F60=1,SUM($F$2:F60),"")</f>
        <v/>
      </c>
      <c r="H60" s="0" t="n">
        <f aca="false">IF(AND(食数記録!$A60=プレビュー!$C$3,食数記録!$B60="朝",食数記録!$F60="女性入所",食数記録!$D60="欠食"),1,0)</f>
        <v>0</v>
      </c>
      <c r="I60" s="0" t="str">
        <f aca="false">IF(H60=1,SUM($H$2:H60),"")</f>
        <v/>
      </c>
      <c r="J60" s="0" t="n">
        <f aca="false">IF(AND(食数記録!$A60=プレビュー!$C$3,食数記録!$B60="昼",食数記録!$F60="女性入所",食数記録!$D60="欠食"),1,0)</f>
        <v>0</v>
      </c>
      <c r="K60" s="0" t="str">
        <f aca="false">IF(J60=1,SUM($J$2:J60),"")</f>
        <v/>
      </c>
      <c r="L60" s="0" t="n">
        <f aca="false">IF(AND(食数記録!$A60=プレビュー!$C$3,食数記録!$B60="夕",食数記録!$F60="女性入所",食数記録!$D60="欠食"),1,0)</f>
        <v>0</v>
      </c>
      <c r="M60" s="0" t="str">
        <f aca="false">IF(L60=1,SUM($L$2:L60),"")</f>
        <v/>
      </c>
      <c r="N60" s="0" t="n">
        <f aca="false">IF(AND(食数記録!$A60=プレビュー!$C$3,食数記録!$B60="朝",食数記録!$F60="男性GH",食数記録!$D60="臨時喫食"),1,0)</f>
        <v>0</v>
      </c>
      <c r="O60" s="0" t="str">
        <f aca="false">IF(N60=1,SUM($N$2:N60),"")</f>
        <v/>
      </c>
      <c r="P60" s="0" t="n">
        <f aca="false">IF(AND(食数記録!$A60=プレビュー!$C$3,食数記録!$B60="昼",食数記録!$F60="男性GH",食数記録!$D60="臨時喫食"),1,0)</f>
        <v>0</v>
      </c>
      <c r="Q60" s="0" t="str">
        <f aca="false">IF(P60=1,SUM($P$2:P60),"")</f>
        <v/>
      </c>
      <c r="R60" s="0" t="n">
        <f aca="false">IF(AND(食数記録!$A60=プレビュー!$C$3,食数記録!$B60="夕",食数記録!$F60="男性GH",食数記録!$D60="臨時喫食"),1,0)</f>
        <v>0</v>
      </c>
      <c r="S60" s="0" t="str">
        <f aca="false">IF(R60=1,SUM($R$2:R60),"")</f>
        <v/>
      </c>
      <c r="T60" s="0" t="n">
        <f aca="false">IF(AND(食数記録!$A60=プレビュー!$C$3,食数記録!$B60="朝",食数記録!$F60="女性GH",食数記録!$D60="臨時喫食"),1,0)</f>
        <v>0</v>
      </c>
      <c r="U60" s="0" t="str">
        <f aca="false">IF(T60=1,SUM($T$2:T60),"")</f>
        <v/>
      </c>
      <c r="V60" s="0" t="n">
        <f aca="false">IF(AND(食数記録!$A60=プレビュー!$C$3,食数記録!$B60="昼",食数記録!$F60="女性GH",食数記録!$D60="臨時喫食"),1,0)</f>
        <v>0</v>
      </c>
      <c r="W60" s="0" t="str">
        <f aca="false">IF(V60=1,SUM($V$2:V60),"")</f>
        <v/>
      </c>
      <c r="X60" s="0" t="n">
        <f aca="false">IF(AND(食数記録!$A60=プレビュー!$C$3,食数記録!$B60="夕",食数記録!$F60="女性GH",食数記録!$D60="臨時喫食"),1,0)</f>
        <v>0</v>
      </c>
      <c r="Y60" s="0" t="str">
        <f aca="false">IF(X60=1,SUM($X$2:X60),"")</f>
        <v/>
      </c>
    </row>
    <row r="61" customFormat="false" ht="15" hidden="false" customHeight="false" outlineLevel="0" collapsed="false">
      <c r="B61" s="0" t="n">
        <f aca="false">IF(AND(食数記録!$A61=プレビュー!$C$3,食数記録!$B61="朝",食数記録!$F61="男性入所",食数記録!$D61="欠食"),1,0)</f>
        <v>0</v>
      </c>
      <c r="C61" s="0" t="str">
        <f aca="false">IF(B61=1,SUM($B$2:B61),"")</f>
        <v/>
      </c>
      <c r="D61" s="0" t="n">
        <f aca="false">IF(AND(食数記録!$A61=プレビュー!$C$3,食数記録!$B61="昼",食数記録!$F61="男性入所",食数記録!$D61="欠食"),1,0)</f>
        <v>0</v>
      </c>
      <c r="E61" s="0" t="str">
        <f aca="false">IF(D61=1,SUM($D$2:D61),"")</f>
        <v/>
      </c>
      <c r="F61" s="0" t="n">
        <f aca="false">IF(AND(食数記録!$A61=プレビュー!$C$3,食数記録!$B61="夕",食数記録!$F61="男性入所",食数記録!$D61="欠食"),1,0)</f>
        <v>0</v>
      </c>
      <c r="G61" s="0" t="str">
        <f aca="false">IF(F61=1,SUM($F$2:F61),"")</f>
        <v/>
      </c>
      <c r="H61" s="0" t="n">
        <f aca="false">IF(AND(食数記録!$A61=プレビュー!$C$3,食数記録!$B61="朝",食数記録!$F61="女性入所",食数記録!$D61="欠食"),1,0)</f>
        <v>0</v>
      </c>
      <c r="I61" s="0" t="str">
        <f aca="false">IF(H61=1,SUM($H$2:H61),"")</f>
        <v/>
      </c>
      <c r="J61" s="0" t="n">
        <f aca="false">IF(AND(食数記録!$A61=プレビュー!$C$3,食数記録!$B61="昼",食数記録!$F61="女性入所",食数記録!$D61="欠食"),1,0)</f>
        <v>0</v>
      </c>
      <c r="K61" s="0" t="str">
        <f aca="false">IF(J61=1,SUM($J$2:J61),"")</f>
        <v/>
      </c>
      <c r="L61" s="0" t="n">
        <f aca="false">IF(AND(食数記録!$A61=プレビュー!$C$3,食数記録!$B61="夕",食数記録!$F61="女性入所",食数記録!$D61="欠食"),1,0)</f>
        <v>0</v>
      </c>
      <c r="M61" s="0" t="str">
        <f aca="false">IF(L61=1,SUM($L$2:L61),"")</f>
        <v/>
      </c>
      <c r="N61" s="0" t="n">
        <f aca="false">IF(AND(食数記録!$A61=プレビュー!$C$3,食数記録!$B61="朝",食数記録!$F61="男性GH",食数記録!$D61="臨時喫食"),1,0)</f>
        <v>0</v>
      </c>
      <c r="O61" s="0" t="str">
        <f aca="false">IF(N61=1,SUM($N$2:N61),"")</f>
        <v/>
      </c>
      <c r="P61" s="0" t="n">
        <f aca="false">IF(AND(食数記録!$A61=プレビュー!$C$3,食数記録!$B61="昼",食数記録!$F61="男性GH",食数記録!$D61="臨時喫食"),1,0)</f>
        <v>0</v>
      </c>
      <c r="Q61" s="0" t="str">
        <f aca="false">IF(P61=1,SUM($P$2:P61),"")</f>
        <v/>
      </c>
      <c r="R61" s="0" t="n">
        <f aca="false">IF(AND(食数記録!$A61=プレビュー!$C$3,食数記録!$B61="夕",食数記録!$F61="男性GH",食数記録!$D61="臨時喫食"),1,0)</f>
        <v>0</v>
      </c>
      <c r="S61" s="0" t="str">
        <f aca="false">IF(R61=1,SUM($R$2:R61),"")</f>
        <v/>
      </c>
      <c r="T61" s="0" t="n">
        <f aca="false">IF(AND(食数記録!$A61=プレビュー!$C$3,食数記録!$B61="朝",食数記録!$F61="女性GH",食数記録!$D61="臨時喫食"),1,0)</f>
        <v>0</v>
      </c>
      <c r="U61" s="0" t="str">
        <f aca="false">IF(T61=1,SUM($T$2:T61),"")</f>
        <v/>
      </c>
      <c r="V61" s="0" t="n">
        <f aca="false">IF(AND(食数記録!$A61=プレビュー!$C$3,食数記録!$B61="昼",食数記録!$F61="女性GH",食数記録!$D61="臨時喫食"),1,0)</f>
        <v>0</v>
      </c>
      <c r="W61" s="0" t="str">
        <f aca="false">IF(V61=1,SUM($V$2:V61),"")</f>
        <v/>
      </c>
      <c r="X61" s="0" t="n">
        <f aca="false">IF(AND(食数記録!$A61=プレビュー!$C$3,食数記録!$B61="夕",食数記録!$F61="女性GH",食数記録!$D61="臨時喫食"),1,0)</f>
        <v>0</v>
      </c>
      <c r="Y61" s="0" t="str">
        <f aca="false">IF(X61=1,SUM($X$2:X61),"")</f>
        <v/>
      </c>
    </row>
    <row r="62" customFormat="false" ht="15" hidden="false" customHeight="false" outlineLevel="0" collapsed="false">
      <c r="B62" s="0" t="n">
        <f aca="false">IF(AND(食数記録!$A62=プレビュー!$C$3,食数記録!$B62="朝",食数記録!$F62="男性入所",食数記録!$D62="欠食"),1,0)</f>
        <v>0</v>
      </c>
      <c r="C62" s="0" t="str">
        <f aca="false">IF(B62=1,SUM($B$2:B62),"")</f>
        <v/>
      </c>
      <c r="D62" s="0" t="n">
        <f aca="false">IF(AND(食数記録!$A62=プレビュー!$C$3,食数記録!$B62="昼",食数記録!$F62="男性入所",食数記録!$D62="欠食"),1,0)</f>
        <v>0</v>
      </c>
      <c r="E62" s="0" t="str">
        <f aca="false">IF(D62=1,SUM($D$2:D62),"")</f>
        <v/>
      </c>
      <c r="F62" s="0" t="n">
        <f aca="false">IF(AND(食数記録!$A62=プレビュー!$C$3,食数記録!$B62="夕",食数記録!$F62="男性入所",食数記録!$D62="欠食"),1,0)</f>
        <v>0</v>
      </c>
      <c r="G62" s="0" t="str">
        <f aca="false">IF(F62=1,SUM($F$2:F62),"")</f>
        <v/>
      </c>
      <c r="H62" s="0" t="n">
        <f aca="false">IF(AND(食数記録!$A62=プレビュー!$C$3,食数記録!$B62="朝",食数記録!$F62="女性入所",食数記録!$D62="欠食"),1,0)</f>
        <v>0</v>
      </c>
      <c r="I62" s="0" t="str">
        <f aca="false">IF(H62=1,SUM($H$2:H62),"")</f>
        <v/>
      </c>
      <c r="J62" s="0" t="n">
        <f aca="false">IF(AND(食数記録!$A62=プレビュー!$C$3,食数記録!$B62="昼",食数記録!$F62="女性入所",食数記録!$D62="欠食"),1,0)</f>
        <v>0</v>
      </c>
      <c r="K62" s="0" t="str">
        <f aca="false">IF(J62=1,SUM($J$2:J62),"")</f>
        <v/>
      </c>
      <c r="L62" s="0" t="n">
        <f aca="false">IF(AND(食数記録!$A62=プレビュー!$C$3,食数記録!$B62="夕",食数記録!$F62="女性入所",食数記録!$D62="欠食"),1,0)</f>
        <v>0</v>
      </c>
      <c r="M62" s="0" t="str">
        <f aca="false">IF(L62=1,SUM($L$2:L62),"")</f>
        <v/>
      </c>
      <c r="N62" s="0" t="n">
        <f aca="false">IF(AND(食数記録!$A62=プレビュー!$C$3,食数記録!$B62="朝",食数記録!$F62="男性GH",食数記録!$D62="臨時喫食"),1,0)</f>
        <v>0</v>
      </c>
      <c r="O62" s="0" t="str">
        <f aca="false">IF(N62=1,SUM($N$2:N62),"")</f>
        <v/>
      </c>
      <c r="P62" s="0" t="n">
        <f aca="false">IF(AND(食数記録!$A62=プレビュー!$C$3,食数記録!$B62="昼",食数記録!$F62="男性GH",食数記録!$D62="臨時喫食"),1,0)</f>
        <v>0</v>
      </c>
      <c r="Q62" s="0" t="str">
        <f aca="false">IF(P62=1,SUM($P$2:P62),"")</f>
        <v/>
      </c>
      <c r="R62" s="0" t="n">
        <f aca="false">IF(AND(食数記録!$A62=プレビュー!$C$3,食数記録!$B62="夕",食数記録!$F62="男性GH",食数記録!$D62="臨時喫食"),1,0)</f>
        <v>0</v>
      </c>
      <c r="S62" s="0" t="str">
        <f aca="false">IF(R62=1,SUM($R$2:R62),"")</f>
        <v/>
      </c>
      <c r="T62" s="0" t="n">
        <f aca="false">IF(AND(食数記録!$A62=プレビュー!$C$3,食数記録!$B62="朝",食数記録!$F62="女性GH",食数記録!$D62="臨時喫食"),1,0)</f>
        <v>0</v>
      </c>
      <c r="U62" s="0" t="str">
        <f aca="false">IF(T62=1,SUM($T$2:T62),"")</f>
        <v/>
      </c>
      <c r="V62" s="0" t="n">
        <f aca="false">IF(AND(食数記録!$A62=プレビュー!$C$3,食数記録!$B62="昼",食数記録!$F62="女性GH",食数記録!$D62="臨時喫食"),1,0)</f>
        <v>0</v>
      </c>
      <c r="W62" s="0" t="str">
        <f aca="false">IF(V62=1,SUM($V$2:V62),"")</f>
        <v/>
      </c>
      <c r="X62" s="0" t="n">
        <f aca="false">IF(AND(食数記録!$A62=プレビュー!$C$3,食数記録!$B62="夕",食数記録!$F62="女性GH",食数記録!$D62="臨時喫食"),1,0)</f>
        <v>0</v>
      </c>
      <c r="Y62" s="0" t="str">
        <f aca="false">IF(X62=1,SUM($X$2:X62),"")</f>
        <v/>
      </c>
    </row>
    <row r="63" customFormat="false" ht="15" hidden="false" customHeight="false" outlineLevel="0" collapsed="false">
      <c r="B63" s="0" t="n">
        <f aca="false">IF(AND(食数記録!$A63=プレビュー!$C$3,食数記録!$B63="朝",食数記録!$F63="男性入所",食数記録!$D63="欠食"),1,0)</f>
        <v>0</v>
      </c>
      <c r="C63" s="0" t="str">
        <f aca="false">IF(B63=1,SUM($B$2:B63),"")</f>
        <v/>
      </c>
      <c r="D63" s="0" t="n">
        <f aca="false">IF(AND(食数記録!$A63=プレビュー!$C$3,食数記録!$B63="昼",食数記録!$F63="男性入所",食数記録!$D63="欠食"),1,0)</f>
        <v>0</v>
      </c>
      <c r="E63" s="0" t="str">
        <f aca="false">IF(D63=1,SUM($D$2:D63),"")</f>
        <v/>
      </c>
      <c r="F63" s="0" t="n">
        <f aca="false">IF(AND(食数記録!$A63=プレビュー!$C$3,食数記録!$B63="夕",食数記録!$F63="男性入所",食数記録!$D63="欠食"),1,0)</f>
        <v>0</v>
      </c>
      <c r="G63" s="0" t="str">
        <f aca="false">IF(F63=1,SUM($F$2:F63),"")</f>
        <v/>
      </c>
      <c r="H63" s="0" t="n">
        <f aca="false">IF(AND(食数記録!$A63=プレビュー!$C$3,食数記録!$B63="朝",食数記録!$F63="女性入所",食数記録!$D63="欠食"),1,0)</f>
        <v>0</v>
      </c>
      <c r="I63" s="0" t="str">
        <f aca="false">IF(H63=1,SUM($H$2:H63),"")</f>
        <v/>
      </c>
      <c r="J63" s="0" t="n">
        <f aca="false">IF(AND(食数記録!$A63=プレビュー!$C$3,食数記録!$B63="昼",食数記録!$F63="女性入所",食数記録!$D63="欠食"),1,0)</f>
        <v>0</v>
      </c>
      <c r="K63" s="0" t="str">
        <f aca="false">IF(J63=1,SUM($J$2:J63),"")</f>
        <v/>
      </c>
      <c r="L63" s="0" t="n">
        <f aca="false">IF(AND(食数記録!$A63=プレビュー!$C$3,食数記録!$B63="夕",食数記録!$F63="女性入所",食数記録!$D63="欠食"),1,0)</f>
        <v>0</v>
      </c>
      <c r="M63" s="0" t="str">
        <f aca="false">IF(L63=1,SUM($L$2:L63),"")</f>
        <v/>
      </c>
      <c r="N63" s="0" t="n">
        <f aca="false">IF(AND(食数記録!$A63=プレビュー!$C$3,食数記録!$B63="朝",食数記録!$F63="男性GH",食数記録!$D63="臨時喫食"),1,0)</f>
        <v>0</v>
      </c>
      <c r="O63" s="0" t="str">
        <f aca="false">IF(N63=1,SUM($N$2:N63),"")</f>
        <v/>
      </c>
      <c r="P63" s="0" t="n">
        <f aca="false">IF(AND(食数記録!$A63=プレビュー!$C$3,食数記録!$B63="昼",食数記録!$F63="男性GH",食数記録!$D63="臨時喫食"),1,0)</f>
        <v>0</v>
      </c>
      <c r="Q63" s="0" t="str">
        <f aca="false">IF(P63=1,SUM($P$2:P63),"")</f>
        <v/>
      </c>
      <c r="R63" s="0" t="n">
        <f aca="false">IF(AND(食数記録!$A63=プレビュー!$C$3,食数記録!$B63="夕",食数記録!$F63="男性GH",食数記録!$D63="臨時喫食"),1,0)</f>
        <v>0</v>
      </c>
      <c r="S63" s="0" t="str">
        <f aca="false">IF(R63=1,SUM($R$2:R63),"")</f>
        <v/>
      </c>
      <c r="T63" s="0" t="n">
        <f aca="false">IF(AND(食数記録!$A63=プレビュー!$C$3,食数記録!$B63="朝",食数記録!$F63="女性GH",食数記録!$D63="臨時喫食"),1,0)</f>
        <v>0</v>
      </c>
      <c r="U63" s="0" t="str">
        <f aca="false">IF(T63=1,SUM($T$2:T63),"")</f>
        <v/>
      </c>
      <c r="V63" s="0" t="n">
        <f aca="false">IF(AND(食数記録!$A63=プレビュー!$C$3,食数記録!$B63="昼",食数記録!$F63="女性GH",食数記録!$D63="臨時喫食"),1,0)</f>
        <v>0</v>
      </c>
      <c r="W63" s="0" t="str">
        <f aca="false">IF(V63=1,SUM($V$2:V63),"")</f>
        <v/>
      </c>
      <c r="X63" s="0" t="n">
        <f aca="false">IF(AND(食数記録!$A63=プレビュー!$C$3,食数記録!$B63="夕",食数記録!$F63="女性GH",食数記録!$D63="臨時喫食"),1,0)</f>
        <v>0</v>
      </c>
      <c r="Y63" s="0" t="str">
        <f aca="false">IF(X63=1,SUM($X$2:X63),"")</f>
        <v/>
      </c>
    </row>
    <row r="64" customFormat="false" ht="15" hidden="false" customHeight="false" outlineLevel="0" collapsed="false">
      <c r="B64" s="0" t="n">
        <f aca="false">IF(AND(食数記録!$A64=プレビュー!$C$3,食数記録!$B64="朝",食数記録!$F64="男性入所",食数記録!$D64="欠食"),1,0)</f>
        <v>0</v>
      </c>
      <c r="C64" s="0" t="str">
        <f aca="false">IF(B64=1,SUM($B$2:B64),"")</f>
        <v/>
      </c>
      <c r="D64" s="0" t="n">
        <f aca="false">IF(AND(食数記録!$A64=プレビュー!$C$3,食数記録!$B64="昼",食数記録!$F64="男性入所",食数記録!$D64="欠食"),1,0)</f>
        <v>0</v>
      </c>
      <c r="E64" s="0" t="str">
        <f aca="false">IF(D64=1,SUM($D$2:D64),"")</f>
        <v/>
      </c>
      <c r="F64" s="0" t="n">
        <f aca="false">IF(AND(食数記録!$A64=プレビュー!$C$3,食数記録!$B64="夕",食数記録!$F64="男性入所",食数記録!$D64="欠食"),1,0)</f>
        <v>0</v>
      </c>
      <c r="G64" s="0" t="str">
        <f aca="false">IF(F64=1,SUM($F$2:F64),"")</f>
        <v/>
      </c>
      <c r="H64" s="0" t="n">
        <f aca="false">IF(AND(食数記録!$A64=プレビュー!$C$3,食数記録!$B64="朝",食数記録!$F64="女性入所",食数記録!$D64="欠食"),1,0)</f>
        <v>0</v>
      </c>
      <c r="I64" s="0" t="str">
        <f aca="false">IF(H64=1,SUM($H$2:H64),"")</f>
        <v/>
      </c>
      <c r="J64" s="0" t="n">
        <f aca="false">IF(AND(食数記録!$A64=プレビュー!$C$3,食数記録!$B64="昼",食数記録!$F64="女性入所",食数記録!$D64="欠食"),1,0)</f>
        <v>0</v>
      </c>
      <c r="K64" s="0" t="str">
        <f aca="false">IF(J64=1,SUM($J$2:J64),"")</f>
        <v/>
      </c>
      <c r="L64" s="0" t="n">
        <f aca="false">IF(AND(食数記録!$A64=プレビュー!$C$3,食数記録!$B64="夕",食数記録!$F64="女性入所",食数記録!$D64="欠食"),1,0)</f>
        <v>0</v>
      </c>
      <c r="M64" s="0" t="str">
        <f aca="false">IF(L64=1,SUM($L$2:L64),"")</f>
        <v/>
      </c>
      <c r="N64" s="0" t="n">
        <f aca="false">IF(AND(食数記録!$A64=プレビュー!$C$3,食数記録!$B64="朝",食数記録!$F64="男性GH",食数記録!$D64="臨時喫食"),1,0)</f>
        <v>0</v>
      </c>
      <c r="O64" s="0" t="str">
        <f aca="false">IF(N64=1,SUM($N$2:N64),"")</f>
        <v/>
      </c>
      <c r="P64" s="0" t="n">
        <f aca="false">IF(AND(食数記録!$A64=プレビュー!$C$3,食数記録!$B64="昼",食数記録!$F64="男性GH",食数記録!$D64="臨時喫食"),1,0)</f>
        <v>0</v>
      </c>
      <c r="Q64" s="0" t="str">
        <f aca="false">IF(P64=1,SUM($P$2:P64),"")</f>
        <v/>
      </c>
      <c r="R64" s="0" t="n">
        <f aca="false">IF(AND(食数記録!$A64=プレビュー!$C$3,食数記録!$B64="夕",食数記録!$F64="男性GH",食数記録!$D64="臨時喫食"),1,0)</f>
        <v>0</v>
      </c>
      <c r="S64" s="0" t="str">
        <f aca="false">IF(R64=1,SUM($R$2:R64),"")</f>
        <v/>
      </c>
      <c r="T64" s="0" t="n">
        <f aca="false">IF(AND(食数記録!$A64=プレビュー!$C$3,食数記録!$B64="朝",食数記録!$F64="女性GH",食数記録!$D64="臨時喫食"),1,0)</f>
        <v>0</v>
      </c>
      <c r="U64" s="0" t="str">
        <f aca="false">IF(T64=1,SUM($T$2:T64),"")</f>
        <v/>
      </c>
      <c r="V64" s="0" t="n">
        <f aca="false">IF(AND(食数記録!$A64=プレビュー!$C$3,食数記録!$B64="昼",食数記録!$F64="女性GH",食数記録!$D64="臨時喫食"),1,0)</f>
        <v>0</v>
      </c>
      <c r="W64" s="0" t="str">
        <f aca="false">IF(V64=1,SUM($V$2:V64),"")</f>
        <v/>
      </c>
      <c r="X64" s="0" t="n">
        <f aca="false">IF(AND(食数記録!$A64=プレビュー!$C$3,食数記録!$B64="夕",食数記録!$F64="女性GH",食数記録!$D64="臨時喫食"),1,0)</f>
        <v>0</v>
      </c>
      <c r="Y64" s="0" t="str">
        <f aca="false">IF(X64=1,SUM($X$2:X64),"")</f>
        <v/>
      </c>
    </row>
    <row r="65" customFormat="false" ht="15" hidden="false" customHeight="false" outlineLevel="0" collapsed="false">
      <c r="B65" s="0" t="n">
        <f aca="false">IF(AND(食数記録!$A65=プレビュー!$C$3,食数記録!$B65="朝",食数記録!$F65="男性入所",食数記録!$D65="欠食"),1,0)</f>
        <v>0</v>
      </c>
      <c r="C65" s="0" t="str">
        <f aca="false">IF(B65=1,SUM($B$2:B65),"")</f>
        <v/>
      </c>
      <c r="D65" s="0" t="n">
        <f aca="false">IF(AND(食数記録!$A65=プレビュー!$C$3,食数記録!$B65="昼",食数記録!$F65="男性入所",食数記録!$D65="欠食"),1,0)</f>
        <v>0</v>
      </c>
      <c r="E65" s="0" t="str">
        <f aca="false">IF(D65=1,SUM($D$2:D65),"")</f>
        <v/>
      </c>
      <c r="F65" s="0" t="n">
        <f aca="false">IF(AND(食数記録!$A65=プレビュー!$C$3,食数記録!$B65="夕",食数記録!$F65="男性入所",食数記録!$D65="欠食"),1,0)</f>
        <v>0</v>
      </c>
      <c r="G65" s="0" t="str">
        <f aca="false">IF(F65=1,SUM($F$2:F65),"")</f>
        <v/>
      </c>
      <c r="H65" s="0" t="n">
        <f aca="false">IF(AND(食数記録!$A65=プレビュー!$C$3,食数記録!$B65="朝",食数記録!$F65="女性入所",食数記録!$D65="欠食"),1,0)</f>
        <v>0</v>
      </c>
      <c r="I65" s="0" t="str">
        <f aca="false">IF(H65=1,SUM($H$2:H65),"")</f>
        <v/>
      </c>
      <c r="J65" s="0" t="n">
        <f aca="false">IF(AND(食数記録!$A65=プレビュー!$C$3,食数記録!$B65="昼",食数記録!$F65="女性入所",食数記録!$D65="欠食"),1,0)</f>
        <v>0</v>
      </c>
      <c r="K65" s="0" t="str">
        <f aca="false">IF(J65=1,SUM($J$2:J65),"")</f>
        <v/>
      </c>
      <c r="L65" s="0" t="n">
        <f aca="false">IF(AND(食数記録!$A65=プレビュー!$C$3,食数記録!$B65="夕",食数記録!$F65="女性入所",食数記録!$D65="欠食"),1,0)</f>
        <v>0</v>
      </c>
      <c r="M65" s="0" t="str">
        <f aca="false">IF(L65=1,SUM($L$2:L65),"")</f>
        <v/>
      </c>
      <c r="N65" s="0" t="n">
        <f aca="false">IF(AND(食数記録!$A65=プレビュー!$C$3,食数記録!$B65="朝",食数記録!$F65="男性GH",食数記録!$D65="臨時喫食"),1,0)</f>
        <v>0</v>
      </c>
      <c r="O65" s="0" t="str">
        <f aca="false">IF(N65=1,SUM($N$2:N65),"")</f>
        <v/>
      </c>
      <c r="P65" s="0" t="n">
        <f aca="false">IF(AND(食数記録!$A65=プレビュー!$C$3,食数記録!$B65="昼",食数記録!$F65="男性GH",食数記録!$D65="臨時喫食"),1,0)</f>
        <v>0</v>
      </c>
      <c r="Q65" s="0" t="str">
        <f aca="false">IF(P65=1,SUM($P$2:P65),"")</f>
        <v/>
      </c>
      <c r="R65" s="0" t="n">
        <f aca="false">IF(AND(食数記録!$A65=プレビュー!$C$3,食数記録!$B65="夕",食数記録!$F65="男性GH",食数記録!$D65="臨時喫食"),1,0)</f>
        <v>0</v>
      </c>
      <c r="S65" s="0" t="str">
        <f aca="false">IF(R65=1,SUM($R$2:R65),"")</f>
        <v/>
      </c>
      <c r="T65" s="0" t="n">
        <f aca="false">IF(AND(食数記録!$A65=プレビュー!$C$3,食数記録!$B65="朝",食数記録!$F65="女性GH",食数記録!$D65="臨時喫食"),1,0)</f>
        <v>0</v>
      </c>
      <c r="U65" s="0" t="str">
        <f aca="false">IF(T65=1,SUM($T$2:T65),"")</f>
        <v/>
      </c>
      <c r="V65" s="0" t="n">
        <f aca="false">IF(AND(食数記録!$A65=プレビュー!$C$3,食数記録!$B65="昼",食数記録!$F65="女性GH",食数記録!$D65="臨時喫食"),1,0)</f>
        <v>0</v>
      </c>
      <c r="W65" s="0" t="str">
        <f aca="false">IF(V65=1,SUM($V$2:V65),"")</f>
        <v/>
      </c>
      <c r="X65" s="0" t="n">
        <f aca="false">IF(AND(食数記録!$A65=プレビュー!$C$3,食数記録!$B65="夕",食数記録!$F65="女性GH",食数記録!$D65="臨時喫食"),1,0)</f>
        <v>0</v>
      </c>
      <c r="Y65" s="0" t="str">
        <f aca="false">IF(X65=1,SUM($X$2:X65),"")</f>
        <v/>
      </c>
    </row>
    <row r="66" customFormat="false" ht="15" hidden="false" customHeight="false" outlineLevel="0" collapsed="false">
      <c r="B66" s="0" t="n">
        <f aca="false">IF(AND(食数記録!$A66=プレビュー!$C$3,食数記録!$B66="朝",食数記録!$F66="男性入所",食数記録!$D66="欠食"),1,0)</f>
        <v>0</v>
      </c>
      <c r="C66" s="0" t="str">
        <f aca="false">IF(B66=1,SUM($B$2:B66),"")</f>
        <v/>
      </c>
      <c r="D66" s="0" t="n">
        <f aca="false">IF(AND(食数記録!$A66=プレビュー!$C$3,食数記録!$B66="昼",食数記録!$F66="男性入所",食数記録!$D66="欠食"),1,0)</f>
        <v>0</v>
      </c>
      <c r="E66" s="0" t="str">
        <f aca="false">IF(D66=1,SUM($D$2:D66),"")</f>
        <v/>
      </c>
      <c r="F66" s="0" t="n">
        <f aca="false">IF(AND(食数記録!$A66=プレビュー!$C$3,食数記録!$B66="夕",食数記録!$F66="男性入所",食数記録!$D66="欠食"),1,0)</f>
        <v>0</v>
      </c>
      <c r="G66" s="0" t="str">
        <f aca="false">IF(F66=1,SUM($F$2:F66),"")</f>
        <v/>
      </c>
      <c r="H66" s="0" t="n">
        <f aca="false">IF(AND(食数記録!$A66=プレビュー!$C$3,食数記録!$B66="朝",食数記録!$F66="女性入所",食数記録!$D66="欠食"),1,0)</f>
        <v>0</v>
      </c>
      <c r="I66" s="0" t="str">
        <f aca="false">IF(H66=1,SUM($H$2:H66),"")</f>
        <v/>
      </c>
      <c r="J66" s="0" t="n">
        <f aca="false">IF(AND(食数記録!$A66=プレビュー!$C$3,食数記録!$B66="昼",食数記録!$F66="女性入所",食数記録!$D66="欠食"),1,0)</f>
        <v>0</v>
      </c>
      <c r="K66" s="0" t="str">
        <f aca="false">IF(J66=1,SUM($J$2:J66),"")</f>
        <v/>
      </c>
      <c r="L66" s="0" t="n">
        <f aca="false">IF(AND(食数記録!$A66=プレビュー!$C$3,食数記録!$B66="夕",食数記録!$F66="女性入所",食数記録!$D66="欠食"),1,0)</f>
        <v>0</v>
      </c>
      <c r="M66" s="0" t="str">
        <f aca="false">IF(L66=1,SUM($L$2:L66),"")</f>
        <v/>
      </c>
      <c r="N66" s="0" t="n">
        <f aca="false">IF(AND(食数記録!$A66=プレビュー!$C$3,食数記録!$B66="朝",食数記録!$F66="男性GH",食数記録!$D66="臨時喫食"),1,0)</f>
        <v>0</v>
      </c>
      <c r="O66" s="0" t="str">
        <f aca="false">IF(N66=1,SUM($N$2:N66),"")</f>
        <v/>
      </c>
      <c r="P66" s="0" t="n">
        <f aca="false">IF(AND(食数記録!$A66=プレビュー!$C$3,食数記録!$B66="昼",食数記録!$F66="男性GH",食数記録!$D66="臨時喫食"),1,0)</f>
        <v>0</v>
      </c>
      <c r="Q66" s="0" t="str">
        <f aca="false">IF(P66=1,SUM($P$2:P66),"")</f>
        <v/>
      </c>
      <c r="R66" s="0" t="n">
        <f aca="false">IF(AND(食数記録!$A66=プレビュー!$C$3,食数記録!$B66="夕",食数記録!$F66="男性GH",食数記録!$D66="臨時喫食"),1,0)</f>
        <v>0</v>
      </c>
      <c r="S66" s="0" t="str">
        <f aca="false">IF(R66=1,SUM($R$2:R66),"")</f>
        <v/>
      </c>
      <c r="T66" s="0" t="n">
        <f aca="false">IF(AND(食数記録!$A66=プレビュー!$C$3,食数記録!$B66="朝",食数記録!$F66="女性GH",食数記録!$D66="臨時喫食"),1,0)</f>
        <v>0</v>
      </c>
      <c r="U66" s="0" t="str">
        <f aca="false">IF(T66=1,SUM($T$2:T66),"")</f>
        <v/>
      </c>
      <c r="V66" s="0" t="n">
        <f aca="false">IF(AND(食数記録!$A66=プレビュー!$C$3,食数記録!$B66="昼",食数記録!$F66="女性GH",食数記録!$D66="臨時喫食"),1,0)</f>
        <v>0</v>
      </c>
      <c r="W66" s="0" t="str">
        <f aca="false">IF(V66=1,SUM($V$2:V66),"")</f>
        <v/>
      </c>
      <c r="X66" s="0" t="n">
        <f aca="false">IF(AND(食数記録!$A66=プレビュー!$C$3,食数記録!$B66="夕",食数記録!$F66="女性GH",食数記録!$D66="臨時喫食"),1,0)</f>
        <v>0</v>
      </c>
      <c r="Y66" s="0" t="str">
        <f aca="false">IF(X66=1,SUM($X$2:X66),"")</f>
        <v/>
      </c>
    </row>
    <row r="67" customFormat="false" ht="15" hidden="false" customHeight="false" outlineLevel="0" collapsed="false">
      <c r="B67" s="0" t="n">
        <f aca="false">IF(AND(食数記録!$A67=プレビュー!$C$3,食数記録!$B67="朝",食数記録!$F67="男性入所",食数記録!$D67="欠食"),1,0)</f>
        <v>0</v>
      </c>
      <c r="C67" s="0" t="str">
        <f aca="false">IF(B67=1,SUM($B$2:B67),"")</f>
        <v/>
      </c>
      <c r="D67" s="0" t="n">
        <f aca="false">IF(AND(食数記録!$A67=プレビュー!$C$3,食数記録!$B67="昼",食数記録!$F67="男性入所",食数記録!$D67="欠食"),1,0)</f>
        <v>0</v>
      </c>
      <c r="E67" s="0" t="str">
        <f aca="false">IF(D67=1,SUM($D$2:D67),"")</f>
        <v/>
      </c>
      <c r="F67" s="0" t="n">
        <f aca="false">IF(AND(食数記録!$A67=プレビュー!$C$3,食数記録!$B67="夕",食数記録!$F67="男性入所",食数記録!$D67="欠食"),1,0)</f>
        <v>0</v>
      </c>
      <c r="G67" s="0" t="str">
        <f aca="false">IF(F67=1,SUM($F$2:F67),"")</f>
        <v/>
      </c>
      <c r="H67" s="0" t="n">
        <f aca="false">IF(AND(食数記録!$A67=プレビュー!$C$3,食数記録!$B67="朝",食数記録!$F67="女性入所",食数記録!$D67="欠食"),1,0)</f>
        <v>0</v>
      </c>
      <c r="I67" s="0" t="str">
        <f aca="false">IF(H67=1,SUM($H$2:H67),"")</f>
        <v/>
      </c>
      <c r="J67" s="0" t="n">
        <f aca="false">IF(AND(食数記録!$A67=プレビュー!$C$3,食数記録!$B67="昼",食数記録!$F67="女性入所",食数記録!$D67="欠食"),1,0)</f>
        <v>0</v>
      </c>
      <c r="K67" s="0" t="str">
        <f aca="false">IF(J67=1,SUM($J$2:J67),"")</f>
        <v/>
      </c>
      <c r="L67" s="0" t="n">
        <f aca="false">IF(AND(食数記録!$A67=プレビュー!$C$3,食数記録!$B67="夕",食数記録!$F67="女性入所",食数記録!$D67="欠食"),1,0)</f>
        <v>0</v>
      </c>
      <c r="M67" s="0" t="str">
        <f aca="false">IF(L67=1,SUM($L$2:L67),"")</f>
        <v/>
      </c>
      <c r="N67" s="0" t="n">
        <f aca="false">IF(AND(食数記録!$A67=プレビュー!$C$3,食数記録!$B67="朝",食数記録!$F67="男性GH",食数記録!$D67="臨時喫食"),1,0)</f>
        <v>0</v>
      </c>
      <c r="O67" s="0" t="str">
        <f aca="false">IF(N67=1,SUM($N$2:N67),"")</f>
        <v/>
      </c>
      <c r="P67" s="0" t="n">
        <f aca="false">IF(AND(食数記録!$A67=プレビュー!$C$3,食数記録!$B67="昼",食数記録!$F67="男性GH",食数記録!$D67="臨時喫食"),1,0)</f>
        <v>0</v>
      </c>
      <c r="Q67" s="0" t="str">
        <f aca="false">IF(P67=1,SUM($P$2:P67),"")</f>
        <v/>
      </c>
      <c r="R67" s="0" t="n">
        <f aca="false">IF(AND(食数記録!$A67=プレビュー!$C$3,食数記録!$B67="夕",食数記録!$F67="男性GH",食数記録!$D67="臨時喫食"),1,0)</f>
        <v>0</v>
      </c>
      <c r="S67" s="0" t="str">
        <f aca="false">IF(R67=1,SUM($R$2:R67),"")</f>
        <v/>
      </c>
      <c r="T67" s="0" t="n">
        <f aca="false">IF(AND(食数記録!$A67=プレビュー!$C$3,食数記録!$B67="朝",食数記録!$F67="女性GH",食数記録!$D67="臨時喫食"),1,0)</f>
        <v>0</v>
      </c>
      <c r="U67" s="0" t="str">
        <f aca="false">IF(T67=1,SUM($T$2:T67),"")</f>
        <v/>
      </c>
      <c r="V67" s="0" t="n">
        <f aca="false">IF(AND(食数記録!$A67=プレビュー!$C$3,食数記録!$B67="昼",食数記録!$F67="女性GH",食数記録!$D67="臨時喫食"),1,0)</f>
        <v>0</v>
      </c>
      <c r="W67" s="0" t="str">
        <f aca="false">IF(V67=1,SUM($V$2:V67),"")</f>
        <v/>
      </c>
      <c r="X67" s="0" t="n">
        <f aca="false">IF(AND(食数記録!$A67=プレビュー!$C$3,食数記録!$B67="夕",食数記録!$F67="女性GH",食数記録!$D67="臨時喫食"),1,0)</f>
        <v>0</v>
      </c>
      <c r="Y67" s="0" t="str">
        <f aca="false">IF(X67=1,SUM($X$2:X67),"")</f>
        <v/>
      </c>
    </row>
    <row r="68" customFormat="false" ht="15" hidden="false" customHeight="false" outlineLevel="0" collapsed="false">
      <c r="B68" s="0" t="n">
        <f aca="false">IF(AND(食数記録!$A68=プレビュー!$C$3,食数記録!$B68="朝",食数記録!$F68="男性入所",食数記録!$D68="欠食"),1,0)</f>
        <v>0</v>
      </c>
      <c r="C68" s="0" t="str">
        <f aca="false">IF(B68=1,SUM($B$2:B68),"")</f>
        <v/>
      </c>
      <c r="D68" s="0" t="n">
        <f aca="false">IF(AND(食数記録!$A68=プレビュー!$C$3,食数記録!$B68="昼",食数記録!$F68="男性入所",食数記録!$D68="欠食"),1,0)</f>
        <v>0</v>
      </c>
      <c r="E68" s="0" t="str">
        <f aca="false">IF(D68=1,SUM($D$2:D68),"")</f>
        <v/>
      </c>
      <c r="F68" s="0" t="n">
        <f aca="false">IF(AND(食数記録!$A68=プレビュー!$C$3,食数記録!$B68="夕",食数記録!$F68="男性入所",食数記録!$D68="欠食"),1,0)</f>
        <v>0</v>
      </c>
      <c r="G68" s="0" t="str">
        <f aca="false">IF(F68=1,SUM($F$2:F68),"")</f>
        <v/>
      </c>
      <c r="H68" s="0" t="n">
        <f aca="false">IF(AND(食数記録!$A68=プレビュー!$C$3,食数記録!$B68="朝",食数記録!$F68="女性入所",食数記録!$D68="欠食"),1,0)</f>
        <v>0</v>
      </c>
      <c r="I68" s="0" t="str">
        <f aca="false">IF(H68=1,SUM($H$2:H68),"")</f>
        <v/>
      </c>
      <c r="J68" s="0" t="n">
        <f aca="false">IF(AND(食数記録!$A68=プレビュー!$C$3,食数記録!$B68="昼",食数記録!$F68="女性入所",食数記録!$D68="欠食"),1,0)</f>
        <v>0</v>
      </c>
      <c r="K68" s="0" t="str">
        <f aca="false">IF(J68=1,SUM($J$2:J68),"")</f>
        <v/>
      </c>
      <c r="L68" s="0" t="n">
        <f aca="false">IF(AND(食数記録!$A68=プレビュー!$C$3,食数記録!$B68="夕",食数記録!$F68="女性入所",食数記録!$D68="欠食"),1,0)</f>
        <v>0</v>
      </c>
      <c r="M68" s="0" t="str">
        <f aca="false">IF(L68=1,SUM($L$2:L68),"")</f>
        <v/>
      </c>
      <c r="N68" s="0" t="n">
        <f aca="false">IF(AND(食数記録!$A68=プレビュー!$C$3,食数記録!$B68="朝",食数記録!$F68="男性GH",食数記録!$D68="臨時喫食"),1,0)</f>
        <v>0</v>
      </c>
      <c r="O68" s="0" t="str">
        <f aca="false">IF(N68=1,SUM($N$2:N68),"")</f>
        <v/>
      </c>
      <c r="P68" s="0" t="n">
        <f aca="false">IF(AND(食数記録!$A68=プレビュー!$C$3,食数記録!$B68="昼",食数記録!$F68="男性GH",食数記録!$D68="臨時喫食"),1,0)</f>
        <v>0</v>
      </c>
      <c r="Q68" s="0" t="str">
        <f aca="false">IF(P68=1,SUM($P$2:P68),"")</f>
        <v/>
      </c>
      <c r="R68" s="0" t="n">
        <f aca="false">IF(AND(食数記録!$A68=プレビュー!$C$3,食数記録!$B68="夕",食数記録!$F68="男性GH",食数記録!$D68="臨時喫食"),1,0)</f>
        <v>0</v>
      </c>
      <c r="S68" s="0" t="str">
        <f aca="false">IF(R68=1,SUM($R$2:R68),"")</f>
        <v/>
      </c>
      <c r="T68" s="0" t="n">
        <f aca="false">IF(AND(食数記録!$A68=プレビュー!$C$3,食数記録!$B68="朝",食数記録!$F68="女性GH",食数記録!$D68="臨時喫食"),1,0)</f>
        <v>0</v>
      </c>
      <c r="U68" s="0" t="str">
        <f aca="false">IF(T68=1,SUM($T$2:T68),"")</f>
        <v/>
      </c>
      <c r="V68" s="0" t="n">
        <f aca="false">IF(AND(食数記録!$A68=プレビュー!$C$3,食数記録!$B68="昼",食数記録!$F68="女性GH",食数記録!$D68="臨時喫食"),1,0)</f>
        <v>0</v>
      </c>
      <c r="W68" s="0" t="str">
        <f aca="false">IF(V68=1,SUM($V$2:V68),"")</f>
        <v/>
      </c>
      <c r="X68" s="0" t="n">
        <f aca="false">IF(AND(食数記録!$A68=プレビュー!$C$3,食数記録!$B68="夕",食数記録!$F68="女性GH",食数記録!$D68="臨時喫食"),1,0)</f>
        <v>0</v>
      </c>
      <c r="Y68" s="0" t="str">
        <f aca="false">IF(X68=1,SUM($X$2:X68),"")</f>
        <v/>
      </c>
    </row>
    <row r="69" customFormat="false" ht="15" hidden="false" customHeight="false" outlineLevel="0" collapsed="false">
      <c r="B69" s="0" t="n">
        <f aca="false">IF(AND(食数記録!$A69=プレビュー!$C$3,食数記録!$B69="朝",食数記録!$F69="男性入所",食数記録!$D69="欠食"),1,0)</f>
        <v>0</v>
      </c>
      <c r="C69" s="0" t="str">
        <f aca="false">IF(B69=1,SUM($B$2:B69),"")</f>
        <v/>
      </c>
      <c r="D69" s="0" t="n">
        <f aca="false">IF(AND(食数記録!$A69=プレビュー!$C$3,食数記録!$B69="昼",食数記録!$F69="男性入所",食数記録!$D69="欠食"),1,0)</f>
        <v>0</v>
      </c>
      <c r="E69" s="0" t="str">
        <f aca="false">IF(D69=1,SUM($D$2:D69),"")</f>
        <v/>
      </c>
      <c r="F69" s="0" t="n">
        <f aca="false">IF(AND(食数記録!$A69=プレビュー!$C$3,食数記録!$B69="夕",食数記録!$F69="男性入所",食数記録!$D69="欠食"),1,0)</f>
        <v>0</v>
      </c>
      <c r="G69" s="0" t="str">
        <f aca="false">IF(F69=1,SUM($F$2:F69),"")</f>
        <v/>
      </c>
      <c r="H69" s="0" t="n">
        <f aca="false">IF(AND(食数記録!$A69=プレビュー!$C$3,食数記録!$B69="朝",食数記録!$F69="女性入所",食数記録!$D69="欠食"),1,0)</f>
        <v>0</v>
      </c>
      <c r="I69" s="0" t="str">
        <f aca="false">IF(H69=1,SUM($H$2:H69),"")</f>
        <v/>
      </c>
      <c r="J69" s="0" t="n">
        <f aca="false">IF(AND(食数記録!$A69=プレビュー!$C$3,食数記録!$B69="昼",食数記録!$F69="女性入所",食数記録!$D69="欠食"),1,0)</f>
        <v>0</v>
      </c>
      <c r="K69" s="0" t="str">
        <f aca="false">IF(J69=1,SUM($J$2:J69),"")</f>
        <v/>
      </c>
      <c r="L69" s="0" t="n">
        <f aca="false">IF(AND(食数記録!$A69=プレビュー!$C$3,食数記録!$B69="夕",食数記録!$F69="女性入所",食数記録!$D69="欠食"),1,0)</f>
        <v>0</v>
      </c>
      <c r="M69" s="0" t="str">
        <f aca="false">IF(L69=1,SUM($L$2:L69),"")</f>
        <v/>
      </c>
      <c r="N69" s="0" t="n">
        <f aca="false">IF(AND(食数記録!$A69=プレビュー!$C$3,食数記録!$B69="朝",食数記録!$F69="男性GH",食数記録!$D69="臨時喫食"),1,0)</f>
        <v>0</v>
      </c>
      <c r="O69" s="0" t="str">
        <f aca="false">IF(N69=1,SUM($N$2:N69),"")</f>
        <v/>
      </c>
      <c r="P69" s="0" t="n">
        <f aca="false">IF(AND(食数記録!$A69=プレビュー!$C$3,食数記録!$B69="昼",食数記録!$F69="男性GH",食数記録!$D69="臨時喫食"),1,0)</f>
        <v>0</v>
      </c>
      <c r="Q69" s="0" t="str">
        <f aca="false">IF(P69=1,SUM($P$2:P69),"")</f>
        <v/>
      </c>
      <c r="R69" s="0" t="n">
        <f aca="false">IF(AND(食数記録!$A69=プレビュー!$C$3,食数記録!$B69="夕",食数記録!$F69="男性GH",食数記録!$D69="臨時喫食"),1,0)</f>
        <v>0</v>
      </c>
      <c r="S69" s="0" t="str">
        <f aca="false">IF(R69=1,SUM($R$2:R69),"")</f>
        <v/>
      </c>
      <c r="T69" s="0" t="n">
        <f aca="false">IF(AND(食数記録!$A69=プレビュー!$C$3,食数記録!$B69="朝",食数記録!$F69="女性GH",食数記録!$D69="臨時喫食"),1,0)</f>
        <v>0</v>
      </c>
      <c r="U69" s="0" t="str">
        <f aca="false">IF(T69=1,SUM($T$2:T69),"")</f>
        <v/>
      </c>
      <c r="V69" s="0" t="n">
        <f aca="false">IF(AND(食数記録!$A69=プレビュー!$C$3,食数記録!$B69="昼",食数記録!$F69="女性GH",食数記録!$D69="臨時喫食"),1,0)</f>
        <v>0</v>
      </c>
      <c r="W69" s="0" t="str">
        <f aca="false">IF(V69=1,SUM($V$2:V69),"")</f>
        <v/>
      </c>
      <c r="X69" s="0" t="n">
        <f aca="false">IF(AND(食数記録!$A69=プレビュー!$C$3,食数記録!$B69="夕",食数記録!$F69="女性GH",食数記録!$D69="臨時喫食"),1,0)</f>
        <v>0</v>
      </c>
      <c r="Y69" s="0" t="str">
        <f aca="false">IF(X69=1,SUM($X$2:X69),"")</f>
        <v/>
      </c>
    </row>
    <row r="70" customFormat="false" ht="15" hidden="false" customHeight="false" outlineLevel="0" collapsed="false">
      <c r="B70" s="0" t="n">
        <f aca="false">IF(AND(食数記録!$A70=プレビュー!$C$3,食数記録!$B70="朝",食数記録!$F70="男性入所",食数記録!$D70="欠食"),1,0)</f>
        <v>0</v>
      </c>
      <c r="C70" s="0" t="str">
        <f aca="false">IF(B70=1,SUM($B$2:B70),"")</f>
        <v/>
      </c>
      <c r="D70" s="0" t="n">
        <f aca="false">IF(AND(食数記録!$A70=プレビュー!$C$3,食数記録!$B70="昼",食数記録!$F70="男性入所",食数記録!$D70="欠食"),1,0)</f>
        <v>0</v>
      </c>
      <c r="E70" s="0" t="str">
        <f aca="false">IF(D70=1,SUM($D$2:D70),"")</f>
        <v/>
      </c>
      <c r="F70" s="0" t="n">
        <f aca="false">IF(AND(食数記録!$A70=プレビュー!$C$3,食数記録!$B70="夕",食数記録!$F70="男性入所",食数記録!$D70="欠食"),1,0)</f>
        <v>0</v>
      </c>
      <c r="G70" s="0" t="str">
        <f aca="false">IF(F70=1,SUM($F$2:F70),"")</f>
        <v/>
      </c>
      <c r="H70" s="0" t="n">
        <f aca="false">IF(AND(食数記録!$A70=プレビュー!$C$3,食数記録!$B70="朝",食数記録!$F70="女性入所",食数記録!$D70="欠食"),1,0)</f>
        <v>0</v>
      </c>
      <c r="I70" s="0" t="str">
        <f aca="false">IF(H70=1,SUM($H$2:H70),"")</f>
        <v/>
      </c>
      <c r="J70" s="0" t="n">
        <f aca="false">IF(AND(食数記録!$A70=プレビュー!$C$3,食数記録!$B70="昼",食数記録!$F70="女性入所",食数記録!$D70="欠食"),1,0)</f>
        <v>0</v>
      </c>
      <c r="K70" s="0" t="str">
        <f aca="false">IF(J70=1,SUM($J$2:J70),"")</f>
        <v/>
      </c>
      <c r="L70" s="0" t="n">
        <f aca="false">IF(AND(食数記録!$A70=プレビュー!$C$3,食数記録!$B70="夕",食数記録!$F70="女性入所",食数記録!$D70="欠食"),1,0)</f>
        <v>0</v>
      </c>
      <c r="M70" s="0" t="str">
        <f aca="false">IF(L70=1,SUM($L$2:L70),"")</f>
        <v/>
      </c>
      <c r="N70" s="0" t="n">
        <f aca="false">IF(AND(食数記録!$A70=プレビュー!$C$3,食数記録!$B70="朝",食数記録!$F70="男性GH",食数記録!$D70="臨時喫食"),1,0)</f>
        <v>0</v>
      </c>
      <c r="O70" s="0" t="str">
        <f aca="false">IF(N70=1,SUM($N$2:N70),"")</f>
        <v/>
      </c>
      <c r="P70" s="0" t="n">
        <f aca="false">IF(AND(食数記録!$A70=プレビュー!$C$3,食数記録!$B70="昼",食数記録!$F70="男性GH",食数記録!$D70="臨時喫食"),1,0)</f>
        <v>0</v>
      </c>
      <c r="Q70" s="0" t="str">
        <f aca="false">IF(P70=1,SUM($P$2:P70),"")</f>
        <v/>
      </c>
      <c r="R70" s="0" t="n">
        <f aca="false">IF(AND(食数記録!$A70=プレビュー!$C$3,食数記録!$B70="夕",食数記録!$F70="男性GH",食数記録!$D70="臨時喫食"),1,0)</f>
        <v>0</v>
      </c>
      <c r="S70" s="0" t="str">
        <f aca="false">IF(R70=1,SUM($R$2:R70),"")</f>
        <v/>
      </c>
      <c r="T70" s="0" t="n">
        <f aca="false">IF(AND(食数記録!$A70=プレビュー!$C$3,食数記録!$B70="朝",食数記録!$F70="女性GH",食数記録!$D70="臨時喫食"),1,0)</f>
        <v>0</v>
      </c>
      <c r="U70" s="0" t="str">
        <f aca="false">IF(T70=1,SUM($T$2:T70),"")</f>
        <v/>
      </c>
      <c r="V70" s="0" t="n">
        <f aca="false">IF(AND(食数記録!$A70=プレビュー!$C$3,食数記録!$B70="昼",食数記録!$F70="女性GH",食数記録!$D70="臨時喫食"),1,0)</f>
        <v>0</v>
      </c>
      <c r="W70" s="0" t="str">
        <f aca="false">IF(V70=1,SUM($V$2:V70),"")</f>
        <v/>
      </c>
      <c r="X70" s="0" t="n">
        <f aca="false">IF(AND(食数記録!$A70=プレビュー!$C$3,食数記録!$B70="夕",食数記録!$F70="女性GH",食数記録!$D70="臨時喫食"),1,0)</f>
        <v>0</v>
      </c>
      <c r="Y70" s="0" t="str">
        <f aca="false">IF(X70=1,SUM($X$2:X70),"")</f>
        <v/>
      </c>
    </row>
    <row r="71" customFormat="false" ht="15" hidden="false" customHeight="false" outlineLevel="0" collapsed="false">
      <c r="B71" s="0" t="n">
        <f aca="false">IF(AND(食数記録!$A71=プレビュー!$C$3,食数記録!$B71="朝",食数記録!$F71="男性入所",食数記録!$D71="欠食"),1,0)</f>
        <v>0</v>
      </c>
      <c r="C71" s="0" t="str">
        <f aca="false">IF(B71=1,SUM($B$2:B71),"")</f>
        <v/>
      </c>
      <c r="D71" s="0" t="n">
        <f aca="false">IF(AND(食数記録!$A71=プレビュー!$C$3,食数記録!$B71="昼",食数記録!$F71="男性入所",食数記録!$D71="欠食"),1,0)</f>
        <v>0</v>
      </c>
      <c r="E71" s="0" t="str">
        <f aca="false">IF(D71=1,SUM($D$2:D71),"")</f>
        <v/>
      </c>
      <c r="F71" s="0" t="n">
        <f aca="false">IF(AND(食数記録!$A71=プレビュー!$C$3,食数記録!$B71="夕",食数記録!$F71="男性入所",食数記録!$D71="欠食"),1,0)</f>
        <v>0</v>
      </c>
      <c r="G71" s="0" t="str">
        <f aca="false">IF(F71=1,SUM($F$2:F71),"")</f>
        <v/>
      </c>
      <c r="H71" s="0" t="n">
        <f aca="false">IF(AND(食数記録!$A71=プレビュー!$C$3,食数記録!$B71="朝",食数記録!$F71="女性入所",食数記録!$D71="欠食"),1,0)</f>
        <v>0</v>
      </c>
      <c r="I71" s="0" t="str">
        <f aca="false">IF(H71=1,SUM($H$2:H71),"")</f>
        <v/>
      </c>
      <c r="J71" s="0" t="n">
        <f aca="false">IF(AND(食数記録!$A71=プレビュー!$C$3,食数記録!$B71="昼",食数記録!$F71="女性入所",食数記録!$D71="欠食"),1,0)</f>
        <v>0</v>
      </c>
      <c r="K71" s="0" t="str">
        <f aca="false">IF(J71=1,SUM($J$2:J71),"")</f>
        <v/>
      </c>
      <c r="L71" s="0" t="n">
        <f aca="false">IF(AND(食数記録!$A71=プレビュー!$C$3,食数記録!$B71="夕",食数記録!$F71="女性入所",食数記録!$D71="欠食"),1,0)</f>
        <v>0</v>
      </c>
      <c r="M71" s="0" t="str">
        <f aca="false">IF(L71=1,SUM($L$2:L71),"")</f>
        <v/>
      </c>
      <c r="N71" s="0" t="n">
        <f aca="false">IF(AND(食数記録!$A71=プレビュー!$C$3,食数記録!$B71="朝",食数記録!$F71="男性GH",食数記録!$D71="臨時喫食"),1,0)</f>
        <v>0</v>
      </c>
      <c r="O71" s="0" t="str">
        <f aca="false">IF(N71=1,SUM($N$2:N71),"")</f>
        <v/>
      </c>
      <c r="P71" s="0" t="n">
        <f aca="false">IF(AND(食数記録!$A71=プレビュー!$C$3,食数記録!$B71="昼",食数記録!$F71="男性GH",食数記録!$D71="臨時喫食"),1,0)</f>
        <v>0</v>
      </c>
      <c r="Q71" s="0" t="str">
        <f aca="false">IF(P71=1,SUM($P$2:P71),"")</f>
        <v/>
      </c>
      <c r="R71" s="0" t="n">
        <f aca="false">IF(AND(食数記録!$A71=プレビュー!$C$3,食数記録!$B71="夕",食数記録!$F71="男性GH",食数記録!$D71="臨時喫食"),1,0)</f>
        <v>0</v>
      </c>
      <c r="S71" s="0" t="str">
        <f aca="false">IF(R71=1,SUM($R$2:R71),"")</f>
        <v/>
      </c>
      <c r="T71" s="0" t="n">
        <f aca="false">IF(AND(食数記録!$A71=プレビュー!$C$3,食数記録!$B71="朝",食数記録!$F71="女性GH",食数記録!$D71="臨時喫食"),1,0)</f>
        <v>0</v>
      </c>
      <c r="U71" s="0" t="str">
        <f aca="false">IF(T71=1,SUM($T$2:T71),"")</f>
        <v/>
      </c>
      <c r="V71" s="0" t="n">
        <f aca="false">IF(AND(食数記録!$A71=プレビュー!$C$3,食数記録!$B71="昼",食数記録!$F71="女性GH",食数記録!$D71="臨時喫食"),1,0)</f>
        <v>0</v>
      </c>
      <c r="W71" s="0" t="str">
        <f aca="false">IF(V71=1,SUM($V$2:V71),"")</f>
        <v/>
      </c>
      <c r="X71" s="0" t="n">
        <f aca="false">IF(AND(食数記録!$A71=プレビュー!$C$3,食数記録!$B71="夕",食数記録!$F71="女性GH",食数記録!$D71="臨時喫食"),1,0)</f>
        <v>0</v>
      </c>
      <c r="Y71" s="0" t="str">
        <f aca="false">IF(X71=1,SUM($X$2:X71),"")</f>
        <v/>
      </c>
    </row>
    <row r="72" customFormat="false" ht="15" hidden="false" customHeight="false" outlineLevel="0" collapsed="false">
      <c r="B72" s="0" t="n">
        <f aca="false">IF(AND(食数記録!$A72=プレビュー!$C$3,食数記録!$B72="朝",食数記録!$F72="男性入所",食数記録!$D72="欠食"),1,0)</f>
        <v>0</v>
      </c>
      <c r="C72" s="0" t="str">
        <f aca="false">IF(B72=1,SUM($B$2:B72),"")</f>
        <v/>
      </c>
      <c r="D72" s="0" t="n">
        <f aca="false">IF(AND(食数記録!$A72=プレビュー!$C$3,食数記録!$B72="昼",食数記録!$F72="男性入所",食数記録!$D72="欠食"),1,0)</f>
        <v>0</v>
      </c>
      <c r="E72" s="0" t="str">
        <f aca="false">IF(D72=1,SUM($D$2:D72),"")</f>
        <v/>
      </c>
      <c r="F72" s="0" t="n">
        <f aca="false">IF(AND(食数記録!$A72=プレビュー!$C$3,食数記録!$B72="夕",食数記録!$F72="男性入所",食数記録!$D72="欠食"),1,0)</f>
        <v>0</v>
      </c>
      <c r="G72" s="0" t="str">
        <f aca="false">IF(F72=1,SUM($F$2:F72),"")</f>
        <v/>
      </c>
      <c r="H72" s="0" t="n">
        <f aca="false">IF(AND(食数記録!$A72=プレビュー!$C$3,食数記録!$B72="朝",食数記録!$F72="女性入所",食数記録!$D72="欠食"),1,0)</f>
        <v>0</v>
      </c>
      <c r="I72" s="0" t="str">
        <f aca="false">IF(H72=1,SUM($H$2:H72),"")</f>
        <v/>
      </c>
      <c r="J72" s="0" t="n">
        <f aca="false">IF(AND(食数記録!$A72=プレビュー!$C$3,食数記録!$B72="昼",食数記録!$F72="女性入所",食数記録!$D72="欠食"),1,0)</f>
        <v>0</v>
      </c>
      <c r="K72" s="0" t="str">
        <f aca="false">IF(J72=1,SUM($J$2:J72),"")</f>
        <v/>
      </c>
      <c r="L72" s="0" t="n">
        <f aca="false">IF(AND(食数記録!$A72=プレビュー!$C$3,食数記録!$B72="夕",食数記録!$F72="女性入所",食数記録!$D72="欠食"),1,0)</f>
        <v>0</v>
      </c>
      <c r="M72" s="0" t="str">
        <f aca="false">IF(L72=1,SUM($L$2:L72),"")</f>
        <v/>
      </c>
      <c r="N72" s="0" t="n">
        <f aca="false">IF(AND(食数記録!$A72=プレビュー!$C$3,食数記録!$B72="朝",食数記録!$F72="男性GH",食数記録!$D72="臨時喫食"),1,0)</f>
        <v>0</v>
      </c>
      <c r="O72" s="0" t="str">
        <f aca="false">IF(N72=1,SUM($N$2:N72),"")</f>
        <v/>
      </c>
      <c r="P72" s="0" t="n">
        <f aca="false">IF(AND(食数記録!$A72=プレビュー!$C$3,食数記録!$B72="昼",食数記録!$F72="男性GH",食数記録!$D72="臨時喫食"),1,0)</f>
        <v>0</v>
      </c>
      <c r="Q72" s="0" t="str">
        <f aca="false">IF(P72=1,SUM($P$2:P72),"")</f>
        <v/>
      </c>
      <c r="R72" s="0" t="n">
        <f aca="false">IF(AND(食数記録!$A72=プレビュー!$C$3,食数記録!$B72="夕",食数記録!$F72="男性GH",食数記録!$D72="臨時喫食"),1,0)</f>
        <v>0</v>
      </c>
      <c r="S72" s="0" t="str">
        <f aca="false">IF(R72=1,SUM($R$2:R72),"")</f>
        <v/>
      </c>
      <c r="T72" s="0" t="n">
        <f aca="false">IF(AND(食数記録!$A72=プレビュー!$C$3,食数記録!$B72="朝",食数記録!$F72="女性GH",食数記録!$D72="臨時喫食"),1,0)</f>
        <v>0</v>
      </c>
      <c r="U72" s="0" t="str">
        <f aca="false">IF(T72=1,SUM($T$2:T72),"")</f>
        <v/>
      </c>
      <c r="V72" s="0" t="n">
        <f aca="false">IF(AND(食数記録!$A72=プレビュー!$C$3,食数記録!$B72="昼",食数記録!$F72="女性GH",食数記録!$D72="臨時喫食"),1,0)</f>
        <v>0</v>
      </c>
      <c r="W72" s="0" t="str">
        <f aca="false">IF(V72=1,SUM($V$2:V72),"")</f>
        <v/>
      </c>
      <c r="X72" s="0" t="n">
        <f aca="false">IF(AND(食数記録!$A72=プレビュー!$C$3,食数記録!$B72="夕",食数記録!$F72="女性GH",食数記録!$D72="臨時喫食"),1,0)</f>
        <v>0</v>
      </c>
      <c r="Y72" s="0" t="str">
        <f aca="false">IF(X72=1,SUM($X$2:X72),"")</f>
        <v/>
      </c>
    </row>
    <row r="73" customFormat="false" ht="15" hidden="false" customHeight="false" outlineLevel="0" collapsed="false">
      <c r="B73" s="0" t="n">
        <f aca="false">IF(AND(食数記録!$A73=プレビュー!$C$3,食数記録!$B73="朝",食数記録!$F73="男性入所",食数記録!$D73="欠食"),1,0)</f>
        <v>0</v>
      </c>
      <c r="C73" s="0" t="str">
        <f aca="false">IF(B73=1,SUM($B$2:B73),"")</f>
        <v/>
      </c>
      <c r="D73" s="0" t="n">
        <f aca="false">IF(AND(食数記録!$A73=プレビュー!$C$3,食数記録!$B73="昼",食数記録!$F73="男性入所",食数記録!$D73="欠食"),1,0)</f>
        <v>0</v>
      </c>
      <c r="E73" s="0" t="str">
        <f aca="false">IF(D73=1,SUM($D$2:D73),"")</f>
        <v/>
      </c>
      <c r="F73" s="0" t="n">
        <f aca="false">IF(AND(食数記録!$A73=プレビュー!$C$3,食数記録!$B73="夕",食数記録!$F73="男性入所",食数記録!$D73="欠食"),1,0)</f>
        <v>0</v>
      </c>
      <c r="G73" s="0" t="str">
        <f aca="false">IF(F73=1,SUM($F$2:F73),"")</f>
        <v/>
      </c>
      <c r="H73" s="0" t="n">
        <f aca="false">IF(AND(食数記録!$A73=プレビュー!$C$3,食数記録!$B73="朝",食数記録!$F73="女性入所",食数記録!$D73="欠食"),1,0)</f>
        <v>0</v>
      </c>
      <c r="I73" s="0" t="str">
        <f aca="false">IF(H73=1,SUM($H$2:H73),"")</f>
        <v/>
      </c>
      <c r="J73" s="0" t="n">
        <f aca="false">IF(AND(食数記録!$A73=プレビュー!$C$3,食数記録!$B73="昼",食数記録!$F73="女性入所",食数記録!$D73="欠食"),1,0)</f>
        <v>0</v>
      </c>
      <c r="K73" s="0" t="str">
        <f aca="false">IF(J73=1,SUM($J$2:J73),"")</f>
        <v/>
      </c>
      <c r="L73" s="0" t="n">
        <f aca="false">IF(AND(食数記録!$A73=プレビュー!$C$3,食数記録!$B73="夕",食数記録!$F73="女性入所",食数記録!$D73="欠食"),1,0)</f>
        <v>0</v>
      </c>
      <c r="M73" s="0" t="str">
        <f aca="false">IF(L73=1,SUM($L$2:L73),"")</f>
        <v/>
      </c>
      <c r="N73" s="0" t="n">
        <f aca="false">IF(AND(食数記録!$A73=プレビュー!$C$3,食数記録!$B73="朝",食数記録!$F73="男性GH",食数記録!$D73="臨時喫食"),1,0)</f>
        <v>0</v>
      </c>
      <c r="O73" s="0" t="str">
        <f aca="false">IF(N73=1,SUM($N$2:N73),"")</f>
        <v/>
      </c>
      <c r="P73" s="0" t="n">
        <f aca="false">IF(AND(食数記録!$A73=プレビュー!$C$3,食数記録!$B73="昼",食数記録!$F73="男性GH",食数記録!$D73="臨時喫食"),1,0)</f>
        <v>0</v>
      </c>
      <c r="Q73" s="0" t="str">
        <f aca="false">IF(P73=1,SUM($P$2:P73),"")</f>
        <v/>
      </c>
      <c r="R73" s="0" t="n">
        <f aca="false">IF(AND(食数記録!$A73=プレビュー!$C$3,食数記録!$B73="夕",食数記録!$F73="男性GH",食数記録!$D73="臨時喫食"),1,0)</f>
        <v>0</v>
      </c>
      <c r="S73" s="0" t="str">
        <f aca="false">IF(R73=1,SUM($R$2:R73),"")</f>
        <v/>
      </c>
      <c r="T73" s="0" t="n">
        <f aca="false">IF(AND(食数記録!$A73=プレビュー!$C$3,食数記録!$B73="朝",食数記録!$F73="女性GH",食数記録!$D73="臨時喫食"),1,0)</f>
        <v>0</v>
      </c>
      <c r="U73" s="0" t="str">
        <f aca="false">IF(T73=1,SUM($T$2:T73),"")</f>
        <v/>
      </c>
      <c r="V73" s="0" t="n">
        <f aca="false">IF(AND(食数記録!$A73=プレビュー!$C$3,食数記録!$B73="昼",食数記録!$F73="女性GH",食数記録!$D73="臨時喫食"),1,0)</f>
        <v>0</v>
      </c>
      <c r="W73" s="0" t="str">
        <f aca="false">IF(V73=1,SUM($V$2:V73),"")</f>
        <v/>
      </c>
      <c r="X73" s="0" t="n">
        <f aca="false">IF(AND(食数記録!$A73=プレビュー!$C$3,食数記録!$B73="夕",食数記録!$F73="女性GH",食数記録!$D73="臨時喫食"),1,0)</f>
        <v>0</v>
      </c>
      <c r="Y73" s="0" t="str">
        <f aca="false">IF(X73=1,SUM($X$2:X73),"")</f>
        <v/>
      </c>
    </row>
    <row r="74" customFormat="false" ht="15" hidden="false" customHeight="false" outlineLevel="0" collapsed="false">
      <c r="B74" s="0" t="n">
        <f aca="false">IF(AND(食数記録!$A74=プレビュー!$C$3,食数記録!$B74="朝",食数記録!$F74="男性入所",食数記録!$D74="欠食"),1,0)</f>
        <v>0</v>
      </c>
      <c r="C74" s="0" t="str">
        <f aca="false">IF(B74=1,SUM($B$2:B74),"")</f>
        <v/>
      </c>
      <c r="D74" s="0" t="n">
        <f aca="false">IF(AND(食数記録!$A74=プレビュー!$C$3,食数記録!$B74="昼",食数記録!$F74="男性入所",食数記録!$D74="欠食"),1,0)</f>
        <v>0</v>
      </c>
      <c r="E74" s="0" t="str">
        <f aca="false">IF(D74=1,SUM($D$2:D74),"")</f>
        <v/>
      </c>
      <c r="F74" s="0" t="n">
        <f aca="false">IF(AND(食数記録!$A74=プレビュー!$C$3,食数記録!$B74="夕",食数記録!$F74="男性入所",食数記録!$D74="欠食"),1,0)</f>
        <v>0</v>
      </c>
      <c r="G74" s="0" t="str">
        <f aca="false">IF(F74=1,SUM($F$2:F74),"")</f>
        <v/>
      </c>
      <c r="H74" s="0" t="n">
        <f aca="false">IF(AND(食数記録!$A74=プレビュー!$C$3,食数記録!$B74="朝",食数記録!$F74="女性入所",食数記録!$D74="欠食"),1,0)</f>
        <v>0</v>
      </c>
      <c r="I74" s="0" t="str">
        <f aca="false">IF(H74=1,SUM($H$2:H74),"")</f>
        <v/>
      </c>
      <c r="J74" s="0" t="n">
        <f aca="false">IF(AND(食数記録!$A74=プレビュー!$C$3,食数記録!$B74="昼",食数記録!$F74="女性入所",食数記録!$D74="欠食"),1,0)</f>
        <v>0</v>
      </c>
      <c r="K74" s="0" t="str">
        <f aca="false">IF(J74=1,SUM($J$2:J74),"")</f>
        <v/>
      </c>
      <c r="L74" s="0" t="n">
        <f aca="false">IF(AND(食数記録!$A74=プレビュー!$C$3,食数記録!$B74="夕",食数記録!$F74="女性入所",食数記録!$D74="欠食"),1,0)</f>
        <v>0</v>
      </c>
      <c r="M74" s="0" t="str">
        <f aca="false">IF(L74=1,SUM($L$2:L74),"")</f>
        <v/>
      </c>
      <c r="N74" s="0" t="n">
        <f aca="false">IF(AND(食数記録!$A74=プレビュー!$C$3,食数記録!$B74="朝",食数記録!$F74="男性GH",食数記録!$D74="臨時喫食"),1,0)</f>
        <v>0</v>
      </c>
      <c r="O74" s="0" t="str">
        <f aca="false">IF(N74=1,SUM($N$2:N74),"")</f>
        <v/>
      </c>
      <c r="P74" s="0" t="n">
        <f aca="false">IF(AND(食数記録!$A74=プレビュー!$C$3,食数記録!$B74="昼",食数記録!$F74="男性GH",食数記録!$D74="臨時喫食"),1,0)</f>
        <v>0</v>
      </c>
      <c r="Q74" s="0" t="str">
        <f aca="false">IF(P74=1,SUM($P$2:P74),"")</f>
        <v/>
      </c>
      <c r="R74" s="0" t="n">
        <f aca="false">IF(AND(食数記録!$A74=プレビュー!$C$3,食数記録!$B74="夕",食数記録!$F74="男性GH",食数記録!$D74="臨時喫食"),1,0)</f>
        <v>0</v>
      </c>
      <c r="S74" s="0" t="str">
        <f aca="false">IF(R74=1,SUM($R$2:R74),"")</f>
        <v/>
      </c>
      <c r="T74" s="0" t="n">
        <f aca="false">IF(AND(食数記録!$A74=プレビュー!$C$3,食数記録!$B74="朝",食数記録!$F74="女性GH",食数記録!$D74="臨時喫食"),1,0)</f>
        <v>0</v>
      </c>
      <c r="U74" s="0" t="str">
        <f aca="false">IF(T74=1,SUM($T$2:T74),"")</f>
        <v/>
      </c>
      <c r="V74" s="0" t="n">
        <f aca="false">IF(AND(食数記録!$A74=プレビュー!$C$3,食数記録!$B74="昼",食数記録!$F74="女性GH",食数記録!$D74="臨時喫食"),1,0)</f>
        <v>0</v>
      </c>
      <c r="W74" s="0" t="str">
        <f aca="false">IF(V74=1,SUM($V$2:V74),"")</f>
        <v/>
      </c>
      <c r="X74" s="0" t="n">
        <f aca="false">IF(AND(食数記録!$A74=プレビュー!$C$3,食数記録!$B74="夕",食数記録!$F74="女性GH",食数記録!$D74="臨時喫食"),1,0)</f>
        <v>0</v>
      </c>
      <c r="Y74" s="0" t="str">
        <f aca="false">IF(X74=1,SUM($X$2:X74),"")</f>
        <v/>
      </c>
    </row>
    <row r="75" customFormat="false" ht="15" hidden="false" customHeight="false" outlineLevel="0" collapsed="false">
      <c r="B75" s="0" t="n">
        <f aca="false">IF(AND(食数記録!$A75=プレビュー!$C$3,食数記録!$B75="朝",食数記録!$F75="男性入所",食数記録!$D75="欠食"),1,0)</f>
        <v>0</v>
      </c>
      <c r="C75" s="0" t="str">
        <f aca="false">IF(B75=1,SUM($B$2:B75),"")</f>
        <v/>
      </c>
      <c r="D75" s="0" t="n">
        <f aca="false">IF(AND(食数記録!$A75=プレビュー!$C$3,食数記録!$B75="昼",食数記録!$F75="男性入所",食数記録!$D75="欠食"),1,0)</f>
        <v>0</v>
      </c>
      <c r="E75" s="0" t="str">
        <f aca="false">IF(D75=1,SUM($D$2:D75),"")</f>
        <v/>
      </c>
      <c r="F75" s="0" t="n">
        <f aca="false">IF(AND(食数記録!$A75=プレビュー!$C$3,食数記録!$B75="夕",食数記録!$F75="男性入所",食数記録!$D75="欠食"),1,0)</f>
        <v>0</v>
      </c>
      <c r="G75" s="0" t="str">
        <f aca="false">IF(F75=1,SUM($F$2:F75),"")</f>
        <v/>
      </c>
      <c r="H75" s="0" t="n">
        <f aca="false">IF(AND(食数記録!$A75=プレビュー!$C$3,食数記録!$B75="朝",食数記録!$F75="女性入所",食数記録!$D75="欠食"),1,0)</f>
        <v>0</v>
      </c>
      <c r="I75" s="0" t="str">
        <f aca="false">IF(H75=1,SUM($H$2:H75),"")</f>
        <v/>
      </c>
      <c r="J75" s="0" t="n">
        <f aca="false">IF(AND(食数記録!$A75=プレビュー!$C$3,食数記録!$B75="昼",食数記録!$F75="女性入所",食数記録!$D75="欠食"),1,0)</f>
        <v>0</v>
      </c>
      <c r="K75" s="0" t="str">
        <f aca="false">IF(J75=1,SUM($J$2:J75),"")</f>
        <v/>
      </c>
      <c r="L75" s="0" t="n">
        <f aca="false">IF(AND(食数記録!$A75=プレビュー!$C$3,食数記録!$B75="夕",食数記録!$F75="女性入所",食数記録!$D75="欠食"),1,0)</f>
        <v>0</v>
      </c>
      <c r="M75" s="0" t="str">
        <f aca="false">IF(L75=1,SUM($L$2:L75),"")</f>
        <v/>
      </c>
      <c r="N75" s="0" t="n">
        <f aca="false">IF(AND(食数記録!$A75=プレビュー!$C$3,食数記録!$B75="朝",食数記録!$F75="男性GH",食数記録!$D75="臨時喫食"),1,0)</f>
        <v>0</v>
      </c>
      <c r="O75" s="0" t="str">
        <f aca="false">IF(N75=1,SUM($N$2:N75),"")</f>
        <v/>
      </c>
      <c r="P75" s="0" t="n">
        <f aca="false">IF(AND(食数記録!$A75=プレビュー!$C$3,食数記録!$B75="昼",食数記録!$F75="男性GH",食数記録!$D75="臨時喫食"),1,0)</f>
        <v>0</v>
      </c>
      <c r="Q75" s="0" t="str">
        <f aca="false">IF(P75=1,SUM($P$2:P75),"")</f>
        <v/>
      </c>
      <c r="R75" s="0" t="n">
        <f aca="false">IF(AND(食数記録!$A75=プレビュー!$C$3,食数記録!$B75="夕",食数記録!$F75="男性GH",食数記録!$D75="臨時喫食"),1,0)</f>
        <v>0</v>
      </c>
      <c r="S75" s="0" t="str">
        <f aca="false">IF(R75=1,SUM($R$2:R75),"")</f>
        <v/>
      </c>
      <c r="T75" s="0" t="n">
        <f aca="false">IF(AND(食数記録!$A75=プレビュー!$C$3,食数記録!$B75="朝",食数記録!$F75="女性GH",食数記録!$D75="臨時喫食"),1,0)</f>
        <v>0</v>
      </c>
      <c r="U75" s="0" t="str">
        <f aca="false">IF(T75=1,SUM($T$2:T75),"")</f>
        <v/>
      </c>
      <c r="V75" s="0" t="n">
        <f aca="false">IF(AND(食数記録!$A75=プレビュー!$C$3,食数記録!$B75="昼",食数記録!$F75="女性GH",食数記録!$D75="臨時喫食"),1,0)</f>
        <v>0</v>
      </c>
      <c r="W75" s="0" t="str">
        <f aca="false">IF(V75=1,SUM($V$2:V75),"")</f>
        <v/>
      </c>
      <c r="X75" s="0" t="n">
        <f aca="false">IF(AND(食数記録!$A75=プレビュー!$C$3,食数記録!$B75="夕",食数記録!$F75="女性GH",食数記録!$D75="臨時喫食"),1,0)</f>
        <v>0</v>
      </c>
      <c r="Y75" s="0" t="str">
        <f aca="false">IF(X75=1,SUM($X$2:X75),"")</f>
        <v/>
      </c>
    </row>
    <row r="76" customFormat="false" ht="15" hidden="false" customHeight="false" outlineLevel="0" collapsed="false">
      <c r="B76" s="0" t="n">
        <f aca="false">IF(AND(食数記録!$A76=プレビュー!$C$3,食数記録!$B76="朝",食数記録!$F76="男性入所",食数記録!$D76="欠食"),1,0)</f>
        <v>0</v>
      </c>
      <c r="C76" s="0" t="str">
        <f aca="false">IF(B76=1,SUM($B$2:B76),"")</f>
        <v/>
      </c>
      <c r="D76" s="0" t="n">
        <f aca="false">IF(AND(食数記録!$A76=プレビュー!$C$3,食数記録!$B76="昼",食数記録!$F76="男性入所",食数記録!$D76="欠食"),1,0)</f>
        <v>0</v>
      </c>
      <c r="E76" s="0" t="str">
        <f aca="false">IF(D76=1,SUM($D$2:D76),"")</f>
        <v/>
      </c>
      <c r="F76" s="0" t="n">
        <f aca="false">IF(AND(食数記録!$A76=プレビュー!$C$3,食数記録!$B76="夕",食数記録!$F76="男性入所",食数記録!$D76="欠食"),1,0)</f>
        <v>0</v>
      </c>
      <c r="G76" s="0" t="str">
        <f aca="false">IF(F76=1,SUM($F$2:F76),"")</f>
        <v/>
      </c>
      <c r="H76" s="0" t="n">
        <f aca="false">IF(AND(食数記録!$A76=プレビュー!$C$3,食数記録!$B76="朝",食数記録!$F76="女性入所",食数記録!$D76="欠食"),1,0)</f>
        <v>0</v>
      </c>
      <c r="I76" s="0" t="str">
        <f aca="false">IF(H76=1,SUM($H$2:H76),"")</f>
        <v/>
      </c>
      <c r="J76" s="0" t="n">
        <f aca="false">IF(AND(食数記録!$A76=プレビュー!$C$3,食数記録!$B76="昼",食数記録!$F76="女性入所",食数記録!$D76="欠食"),1,0)</f>
        <v>0</v>
      </c>
      <c r="K76" s="0" t="str">
        <f aca="false">IF(J76=1,SUM($J$2:J76),"")</f>
        <v/>
      </c>
      <c r="L76" s="0" t="n">
        <f aca="false">IF(AND(食数記録!$A76=プレビュー!$C$3,食数記録!$B76="夕",食数記録!$F76="女性入所",食数記録!$D76="欠食"),1,0)</f>
        <v>0</v>
      </c>
      <c r="M76" s="0" t="str">
        <f aca="false">IF(L76=1,SUM($L$2:L76),"")</f>
        <v/>
      </c>
      <c r="N76" s="0" t="n">
        <f aca="false">IF(AND(食数記録!$A76=プレビュー!$C$3,食数記録!$B76="朝",食数記録!$F76="男性GH",食数記録!$D76="臨時喫食"),1,0)</f>
        <v>0</v>
      </c>
      <c r="O76" s="0" t="str">
        <f aca="false">IF(N76=1,SUM($N$2:N76),"")</f>
        <v/>
      </c>
      <c r="P76" s="0" t="n">
        <f aca="false">IF(AND(食数記録!$A76=プレビュー!$C$3,食数記録!$B76="昼",食数記録!$F76="男性GH",食数記録!$D76="臨時喫食"),1,0)</f>
        <v>0</v>
      </c>
      <c r="Q76" s="0" t="str">
        <f aca="false">IF(P76=1,SUM($P$2:P76),"")</f>
        <v/>
      </c>
      <c r="R76" s="0" t="n">
        <f aca="false">IF(AND(食数記録!$A76=プレビュー!$C$3,食数記録!$B76="夕",食数記録!$F76="男性GH",食数記録!$D76="臨時喫食"),1,0)</f>
        <v>0</v>
      </c>
      <c r="S76" s="0" t="str">
        <f aca="false">IF(R76=1,SUM($R$2:R76),"")</f>
        <v/>
      </c>
      <c r="T76" s="0" t="n">
        <f aca="false">IF(AND(食数記録!$A76=プレビュー!$C$3,食数記録!$B76="朝",食数記録!$F76="女性GH",食数記録!$D76="臨時喫食"),1,0)</f>
        <v>0</v>
      </c>
      <c r="U76" s="0" t="str">
        <f aca="false">IF(T76=1,SUM($T$2:T76),"")</f>
        <v/>
      </c>
      <c r="V76" s="0" t="n">
        <f aca="false">IF(AND(食数記録!$A76=プレビュー!$C$3,食数記録!$B76="昼",食数記録!$F76="女性GH",食数記録!$D76="臨時喫食"),1,0)</f>
        <v>0</v>
      </c>
      <c r="W76" s="0" t="str">
        <f aca="false">IF(V76=1,SUM($V$2:V76),"")</f>
        <v/>
      </c>
      <c r="X76" s="0" t="n">
        <f aca="false">IF(AND(食数記録!$A76=プレビュー!$C$3,食数記録!$B76="夕",食数記録!$F76="女性GH",食数記録!$D76="臨時喫食"),1,0)</f>
        <v>0</v>
      </c>
      <c r="Y76" s="0" t="str">
        <f aca="false">IF(X76=1,SUM($X$2:X76),"")</f>
        <v/>
      </c>
    </row>
    <row r="77" customFormat="false" ht="15" hidden="false" customHeight="false" outlineLevel="0" collapsed="false">
      <c r="B77" s="0" t="n">
        <f aca="false">IF(AND(食数記録!$A77=プレビュー!$C$3,食数記録!$B77="朝",食数記録!$F77="男性入所",食数記録!$D77="欠食"),1,0)</f>
        <v>0</v>
      </c>
      <c r="C77" s="0" t="str">
        <f aca="false">IF(B77=1,SUM($B$2:B77),"")</f>
        <v/>
      </c>
      <c r="D77" s="0" t="n">
        <f aca="false">IF(AND(食数記録!$A77=プレビュー!$C$3,食数記録!$B77="昼",食数記録!$F77="男性入所",食数記録!$D77="欠食"),1,0)</f>
        <v>0</v>
      </c>
      <c r="E77" s="0" t="str">
        <f aca="false">IF(D77=1,SUM($D$2:D77),"")</f>
        <v/>
      </c>
      <c r="F77" s="0" t="n">
        <f aca="false">IF(AND(食数記録!$A77=プレビュー!$C$3,食数記録!$B77="夕",食数記録!$F77="男性入所",食数記録!$D77="欠食"),1,0)</f>
        <v>0</v>
      </c>
      <c r="G77" s="0" t="str">
        <f aca="false">IF(F77=1,SUM($F$2:F77),"")</f>
        <v/>
      </c>
      <c r="H77" s="0" t="n">
        <f aca="false">IF(AND(食数記録!$A77=プレビュー!$C$3,食数記録!$B77="朝",食数記録!$F77="女性入所",食数記録!$D77="欠食"),1,0)</f>
        <v>0</v>
      </c>
      <c r="I77" s="0" t="str">
        <f aca="false">IF(H77=1,SUM($H$2:H77),"")</f>
        <v/>
      </c>
      <c r="J77" s="0" t="n">
        <f aca="false">IF(AND(食数記録!$A77=プレビュー!$C$3,食数記録!$B77="昼",食数記録!$F77="女性入所",食数記録!$D77="欠食"),1,0)</f>
        <v>0</v>
      </c>
      <c r="K77" s="0" t="str">
        <f aca="false">IF(J77=1,SUM($J$2:J77),"")</f>
        <v/>
      </c>
      <c r="L77" s="0" t="n">
        <f aca="false">IF(AND(食数記録!$A77=プレビュー!$C$3,食数記録!$B77="夕",食数記録!$F77="女性入所",食数記録!$D77="欠食"),1,0)</f>
        <v>0</v>
      </c>
      <c r="M77" s="0" t="str">
        <f aca="false">IF(L77=1,SUM($L$2:L77),"")</f>
        <v/>
      </c>
      <c r="N77" s="0" t="n">
        <f aca="false">IF(AND(食数記録!$A77=プレビュー!$C$3,食数記録!$B77="朝",食数記録!$F77="男性GH",食数記録!$D77="臨時喫食"),1,0)</f>
        <v>0</v>
      </c>
      <c r="O77" s="0" t="str">
        <f aca="false">IF(N77=1,SUM($N$2:N77),"")</f>
        <v/>
      </c>
      <c r="P77" s="0" t="n">
        <f aca="false">IF(AND(食数記録!$A77=プレビュー!$C$3,食数記録!$B77="昼",食数記録!$F77="男性GH",食数記録!$D77="臨時喫食"),1,0)</f>
        <v>0</v>
      </c>
      <c r="Q77" s="0" t="str">
        <f aca="false">IF(P77=1,SUM($P$2:P77),"")</f>
        <v/>
      </c>
      <c r="R77" s="0" t="n">
        <f aca="false">IF(AND(食数記録!$A77=プレビュー!$C$3,食数記録!$B77="夕",食数記録!$F77="男性GH",食数記録!$D77="臨時喫食"),1,0)</f>
        <v>0</v>
      </c>
      <c r="S77" s="0" t="str">
        <f aca="false">IF(R77=1,SUM($R$2:R77),"")</f>
        <v/>
      </c>
      <c r="T77" s="0" t="n">
        <f aca="false">IF(AND(食数記録!$A77=プレビュー!$C$3,食数記録!$B77="朝",食数記録!$F77="女性GH",食数記録!$D77="臨時喫食"),1,0)</f>
        <v>0</v>
      </c>
      <c r="U77" s="0" t="str">
        <f aca="false">IF(T77=1,SUM($T$2:T77),"")</f>
        <v/>
      </c>
      <c r="V77" s="0" t="n">
        <f aca="false">IF(AND(食数記録!$A77=プレビュー!$C$3,食数記録!$B77="昼",食数記録!$F77="女性GH",食数記録!$D77="臨時喫食"),1,0)</f>
        <v>0</v>
      </c>
      <c r="W77" s="0" t="str">
        <f aca="false">IF(V77=1,SUM($V$2:V77),"")</f>
        <v/>
      </c>
      <c r="X77" s="0" t="n">
        <f aca="false">IF(AND(食数記録!$A77=プレビュー!$C$3,食数記録!$B77="夕",食数記録!$F77="女性GH",食数記録!$D77="臨時喫食"),1,0)</f>
        <v>0</v>
      </c>
      <c r="Y77" s="0" t="str">
        <f aca="false">IF(X77=1,SUM($X$2:X77),"")</f>
        <v/>
      </c>
    </row>
    <row r="78" customFormat="false" ht="15" hidden="false" customHeight="false" outlineLevel="0" collapsed="false">
      <c r="B78" s="0" t="n">
        <f aca="false">IF(AND(食数記録!$A78=プレビュー!$C$3,食数記録!$B78="朝",食数記録!$F78="男性入所",食数記録!$D78="欠食"),1,0)</f>
        <v>0</v>
      </c>
      <c r="C78" s="0" t="str">
        <f aca="false">IF(B78=1,SUM($B$2:B78),"")</f>
        <v/>
      </c>
      <c r="D78" s="0" t="n">
        <f aca="false">IF(AND(食数記録!$A78=プレビュー!$C$3,食数記録!$B78="昼",食数記録!$F78="男性入所",食数記録!$D78="欠食"),1,0)</f>
        <v>0</v>
      </c>
      <c r="E78" s="0" t="str">
        <f aca="false">IF(D78=1,SUM($D$2:D78),"")</f>
        <v/>
      </c>
      <c r="F78" s="0" t="n">
        <f aca="false">IF(AND(食数記録!$A78=プレビュー!$C$3,食数記録!$B78="夕",食数記録!$F78="男性入所",食数記録!$D78="欠食"),1,0)</f>
        <v>0</v>
      </c>
      <c r="G78" s="0" t="str">
        <f aca="false">IF(F78=1,SUM($F$2:F78),"")</f>
        <v/>
      </c>
      <c r="H78" s="0" t="n">
        <f aca="false">IF(AND(食数記録!$A78=プレビュー!$C$3,食数記録!$B78="朝",食数記録!$F78="女性入所",食数記録!$D78="欠食"),1,0)</f>
        <v>0</v>
      </c>
      <c r="I78" s="0" t="str">
        <f aca="false">IF(H78=1,SUM($H$2:H78),"")</f>
        <v/>
      </c>
      <c r="J78" s="0" t="n">
        <f aca="false">IF(AND(食数記録!$A78=プレビュー!$C$3,食数記録!$B78="昼",食数記録!$F78="女性入所",食数記録!$D78="欠食"),1,0)</f>
        <v>0</v>
      </c>
      <c r="K78" s="0" t="str">
        <f aca="false">IF(J78=1,SUM($J$2:J78),"")</f>
        <v/>
      </c>
      <c r="L78" s="0" t="n">
        <f aca="false">IF(AND(食数記録!$A78=プレビュー!$C$3,食数記録!$B78="夕",食数記録!$F78="女性入所",食数記録!$D78="欠食"),1,0)</f>
        <v>0</v>
      </c>
      <c r="M78" s="0" t="str">
        <f aca="false">IF(L78=1,SUM($L$2:L78),"")</f>
        <v/>
      </c>
      <c r="N78" s="0" t="n">
        <f aca="false">IF(AND(食数記録!$A78=プレビュー!$C$3,食数記録!$B78="朝",食数記録!$F78="男性GH",食数記録!$D78="臨時喫食"),1,0)</f>
        <v>0</v>
      </c>
      <c r="O78" s="0" t="str">
        <f aca="false">IF(N78=1,SUM($N$2:N78),"")</f>
        <v/>
      </c>
      <c r="P78" s="0" t="n">
        <f aca="false">IF(AND(食数記録!$A78=プレビュー!$C$3,食数記録!$B78="昼",食数記録!$F78="男性GH",食数記録!$D78="臨時喫食"),1,0)</f>
        <v>0</v>
      </c>
      <c r="Q78" s="0" t="str">
        <f aca="false">IF(P78=1,SUM($P$2:P78),"")</f>
        <v/>
      </c>
      <c r="R78" s="0" t="n">
        <f aca="false">IF(AND(食数記録!$A78=プレビュー!$C$3,食数記録!$B78="夕",食数記録!$F78="男性GH",食数記録!$D78="臨時喫食"),1,0)</f>
        <v>0</v>
      </c>
      <c r="S78" s="0" t="str">
        <f aca="false">IF(R78=1,SUM($R$2:R78),"")</f>
        <v/>
      </c>
      <c r="T78" s="0" t="n">
        <f aca="false">IF(AND(食数記録!$A78=プレビュー!$C$3,食数記録!$B78="朝",食数記録!$F78="女性GH",食数記録!$D78="臨時喫食"),1,0)</f>
        <v>0</v>
      </c>
      <c r="U78" s="0" t="str">
        <f aca="false">IF(T78=1,SUM($T$2:T78),"")</f>
        <v/>
      </c>
      <c r="V78" s="0" t="n">
        <f aca="false">IF(AND(食数記録!$A78=プレビュー!$C$3,食数記録!$B78="昼",食数記録!$F78="女性GH",食数記録!$D78="臨時喫食"),1,0)</f>
        <v>0</v>
      </c>
      <c r="W78" s="0" t="str">
        <f aca="false">IF(V78=1,SUM($V$2:V78),"")</f>
        <v/>
      </c>
      <c r="X78" s="0" t="n">
        <f aca="false">IF(AND(食数記録!$A78=プレビュー!$C$3,食数記録!$B78="夕",食数記録!$F78="女性GH",食数記録!$D78="臨時喫食"),1,0)</f>
        <v>0</v>
      </c>
      <c r="Y78" s="0" t="str">
        <f aca="false">IF(X78=1,SUM($X$2:X78),"")</f>
        <v/>
      </c>
    </row>
    <row r="79" customFormat="false" ht="15" hidden="false" customHeight="false" outlineLevel="0" collapsed="false">
      <c r="B79" s="0" t="n">
        <f aca="false">IF(AND(食数記録!$A79=プレビュー!$C$3,食数記録!$B79="朝",食数記録!$F79="男性入所",食数記録!$D79="欠食"),1,0)</f>
        <v>0</v>
      </c>
      <c r="C79" s="0" t="str">
        <f aca="false">IF(B79=1,SUM($B$2:B79),"")</f>
        <v/>
      </c>
      <c r="D79" s="0" t="n">
        <f aca="false">IF(AND(食数記録!$A79=プレビュー!$C$3,食数記録!$B79="昼",食数記録!$F79="男性入所",食数記録!$D79="欠食"),1,0)</f>
        <v>0</v>
      </c>
      <c r="E79" s="0" t="str">
        <f aca="false">IF(D79=1,SUM($D$2:D79),"")</f>
        <v/>
      </c>
      <c r="F79" s="0" t="n">
        <f aca="false">IF(AND(食数記録!$A79=プレビュー!$C$3,食数記録!$B79="夕",食数記録!$F79="男性入所",食数記録!$D79="欠食"),1,0)</f>
        <v>0</v>
      </c>
      <c r="G79" s="0" t="str">
        <f aca="false">IF(F79=1,SUM($F$2:F79),"")</f>
        <v/>
      </c>
      <c r="H79" s="0" t="n">
        <f aca="false">IF(AND(食数記録!$A79=プレビュー!$C$3,食数記録!$B79="朝",食数記録!$F79="女性入所",食数記録!$D79="欠食"),1,0)</f>
        <v>0</v>
      </c>
      <c r="I79" s="0" t="str">
        <f aca="false">IF(H79=1,SUM($H$2:H79),"")</f>
        <v/>
      </c>
      <c r="J79" s="0" t="n">
        <f aca="false">IF(AND(食数記録!$A79=プレビュー!$C$3,食数記録!$B79="昼",食数記録!$F79="女性入所",食数記録!$D79="欠食"),1,0)</f>
        <v>0</v>
      </c>
      <c r="K79" s="0" t="str">
        <f aca="false">IF(J79=1,SUM($J$2:J79),"")</f>
        <v/>
      </c>
      <c r="L79" s="0" t="n">
        <f aca="false">IF(AND(食数記録!$A79=プレビュー!$C$3,食数記録!$B79="夕",食数記録!$F79="女性入所",食数記録!$D79="欠食"),1,0)</f>
        <v>0</v>
      </c>
      <c r="M79" s="0" t="str">
        <f aca="false">IF(L79=1,SUM($L$2:L79),"")</f>
        <v/>
      </c>
      <c r="N79" s="0" t="n">
        <f aca="false">IF(AND(食数記録!$A79=プレビュー!$C$3,食数記録!$B79="朝",食数記録!$F79="男性GH",食数記録!$D79="臨時喫食"),1,0)</f>
        <v>0</v>
      </c>
      <c r="O79" s="0" t="str">
        <f aca="false">IF(N79=1,SUM($N$2:N79),"")</f>
        <v/>
      </c>
      <c r="P79" s="0" t="n">
        <f aca="false">IF(AND(食数記録!$A79=プレビュー!$C$3,食数記録!$B79="昼",食数記録!$F79="男性GH",食数記録!$D79="臨時喫食"),1,0)</f>
        <v>0</v>
      </c>
      <c r="Q79" s="0" t="str">
        <f aca="false">IF(P79=1,SUM($P$2:P79),"")</f>
        <v/>
      </c>
      <c r="R79" s="0" t="n">
        <f aca="false">IF(AND(食数記録!$A79=プレビュー!$C$3,食数記録!$B79="夕",食数記録!$F79="男性GH",食数記録!$D79="臨時喫食"),1,0)</f>
        <v>0</v>
      </c>
      <c r="S79" s="0" t="str">
        <f aca="false">IF(R79=1,SUM($R$2:R79),"")</f>
        <v/>
      </c>
      <c r="T79" s="0" t="n">
        <f aca="false">IF(AND(食数記録!$A79=プレビュー!$C$3,食数記録!$B79="朝",食数記録!$F79="女性GH",食数記録!$D79="臨時喫食"),1,0)</f>
        <v>0</v>
      </c>
      <c r="U79" s="0" t="str">
        <f aca="false">IF(T79=1,SUM($T$2:T79),"")</f>
        <v/>
      </c>
      <c r="V79" s="0" t="n">
        <f aca="false">IF(AND(食数記録!$A79=プレビュー!$C$3,食数記録!$B79="昼",食数記録!$F79="女性GH",食数記録!$D79="臨時喫食"),1,0)</f>
        <v>0</v>
      </c>
      <c r="W79" s="0" t="str">
        <f aca="false">IF(V79=1,SUM($V$2:V79),"")</f>
        <v/>
      </c>
      <c r="X79" s="0" t="n">
        <f aca="false">IF(AND(食数記録!$A79=プレビュー!$C$3,食数記録!$B79="夕",食数記録!$F79="女性GH",食数記録!$D79="臨時喫食"),1,0)</f>
        <v>0</v>
      </c>
      <c r="Y79" s="0" t="str">
        <f aca="false">IF(X79=1,SUM($X$2:X79),"")</f>
        <v/>
      </c>
    </row>
    <row r="80" customFormat="false" ht="15" hidden="false" customHeight="false" outlineLevel="0" collapsed="false">
      <c r="B80" s="0" t="n">
        <f aca="false">IF(AND(食数記録!$A80=プレビュー!$C$3,食数記録!$B80="朝",食数記録!$F80="男性入所",食数記録!$D80="欠食"),1,0)</f>
        <v>0</v>
      </c>
      <c r="C80" s="0" t="str">
        <f aca="false">IF(B80=1,SUM($B$2:B80),"")</f>
        <v/>
      </c>
      <c r="D80" s="0" t="n">
        <f aca="false">IF(AND(食数記録!$A80=プレビュー!$C$3,食数記録!$B80="昼",食数記録!$F80="男性入所",食数記録!$D80="欠食"),1,0)</f>
        <v>0</v>
      </c>
      <c r="E80" s="0" t="str">
        <f aca="false">IF(D80=1,SUM($D$2:D80),"")</f>
        <v/>
      </c>
      <c r="F80" s="0" t="n">
        <f aca="false">IF(AND(食数記録!$A80=プレビュー!$C$3,食数記録!$B80="夕",食数記録!$F80="男性入所",食数記録!$D80="欠食"),1,0)</f>
        <v>0</v>
      </c>
      <c r="G80" s="0" t="str">
        <f aca="false">IF(F80=1,SUM($F$2:F80),"")</f>
        <v/>
      </c>
      <c r="H80" s="0" t="n">
        <f aca="false">IF(AND(食数記録!$A80=プレビュー!$C$3,食数記録!$B80="朝",食数記録!$F80="女性入所",食数記録!$D80="欠食"),1,0)</f>
        <v>0</v>
      </c>
      <c r="I80" s="0" t="str">
        <f aca="false">IF(H80=1,SUM($H$2:H80),"")</f>
        <v/>
      </c>
      <c r="J80" s="0" t="n">
        <f aca="false">IF(AND(食数記録!$A80=プレビュー!$C$3,食数記録!$B80="昼",食数記録!$F80="女性入所",食数記録!$D80="欠食"),1,0)</f>
        <v>0</v>
      </c>
      <c r="K80" s="0" t="str">
        <f aca="false">IF(J80=1,SUM($J$2:J80),"")</f>
        <v/>
      </c>
      <c r="L80" s="0" t="n">
        <f aca="false">IF(AND(食数記録!$A80=プレビュー!$C$3,食数記録!$B80="夕",食数記録!$F80="女性入所",食数記録!$D80="欠食"),1,0)</f>
        <v>0</v>
      </c>
      <c r="M80" s="0" t="str">
        <f aca="false">IF(L80=1,SUM($L$2:L80),"")</f>
        <v/>
      </c>
      <c r="N80" s="0" t="n">
        <f aca="false">IF(AND(食数記録!$A80=プレビュー!$C$3,食数記録!$B80="朝",食数記録!$F80="男性GH",食数記録!$D80="臨時喫食"),1,0)</f>
        <v>0</v>
      </c>
      <c r="O80" s="0" t="str">
        <f aca="false">IF(N80=1,SUM($N$2:N80),"")</f>
        <v/>
      </c>
      <c r="P80" s="0" t="n">
        <f aca="false">IF(AND(食数記録!$A80=プレビュー!$C$3,食数記録!$B80="昼",食数記録!$F80="男性GH",食数記録!$D80="臨時喫食"),1,0)</f>
        <v>0</v>
      </c>
      <c r="Q80" s="0" t="str">
        <f aca="false">IF(P80=1,SUM($P$2:P80),"")</f>
        <v/>
      </c>
      <c r="R80" s="0" t="n">
        <f aca="false">IF(AND(食数記録!$A80=プレビュー!$C$3,食数記録!$B80="夕",食数記録!$F80="男性GH",食数記録!$D80="臨時喫食"),1,0)</f>
        <v>0</v>
      </c>
      <c r="S80" s="0" t="str">
        <f aca="false">IF(R80=1,SUM($R$2:R80),"")</f>
        <v/>
      </c>
      <c r="T80" s="0" t="n">
        <f aca="false">IF(AND(食数記録!$A80=プレビュー!$C$3,食数記録!$B80="朝",食数記録!$F80="女性GH",食数記録!$D80="臨時喫食"),1,0)</f>
        <v>0</v>
      </c>
      <c r="U80" s="0" t="str">
        <f aca="false">IF(T80=1,SUM($T$2:T80),"")</f>
        <v/>
      </c>
      <c r="V80" s="0" t="n">
        <f aca="false">IF(AND(食数記録!$A80=プレビュー!$C$3,食数記録!$B80="昼",食数記録!$F80="女性GH",食数記録!$D80="臨時喫食"),1,0)</f>
        <v>0</v>
      </c>
      <c r="W80" s="0" t="str">
        <f aca="false">IF(V80=1,SUM($V$2:V80),"")</f>
        <v/>
      </c>
      <c r="X80" s="0" t="n">
        <f aca="false">IF(AND(食数記録!$A80=プレビュー!$C$3,食数記録!$B80="夕",食数記録!$F80="女性GH",食数記録!$D80="臨時喫食"),1,0)</f>
        <v>0</v>
      </c>
      <c r="Y80" s="0" t="str">
        <f aca="false">IF(X80=1,SUM($X$2:X80),"")</f>
        <v/>
      </c>
    </row>
    <row r="81" customFormat="false" ht="15" hidden="false" customHeight="false" outlineLevel="0" collapsed="false">
      <c r="B81" s="0" t="n">
        <f aca="false">IF(AND(食数記録!$A81=プレビュー!$C$3,食数記録!$B81="朝",食数記録!$F81="男性入所",食数記録!$D81="欠食"),1,0)</f>
        <v>0</v>
      </c>
      <c r="C81" s="0" t="str">
        <f aca="false">IF(B81=1,SUM($B$2:B81),"")</f>
        <v/>
      </c>
      <c r="D81" s="0" t="n">
        <f aca="false">IF(AND(食数記録!$A81=プレビュー!$C$3,食数記録!$B81="昼",食数記録!$F81="男性入所",食数記録!$D81="欠食"),1,0)</f>
        <v>0</v>
      </c>
      <c r="E81" s="0" t="str">
        <f aca="false">IF(D81=1,SUM($D$2:D81),"")</f>
        <v/>
      </c>
      <c r="F81" s="0" t="n">
        <f aca="false">IF(AND(食数記録!$A81=プレビュー!$C$3,食数記録!$B81="夕",食数記録!$F81="男性入所",食数記録!$D81="欠食"),1,0)</f>
        <v>0</v>
      </c>
      <c r="G81" s="0" t="str">
        <f aca="false">IF(F81=1,SUM($F$2:F81),"")</f>
        <v/>
      </c>
      <c r="H81" s="0" t="n">
        <f aca="false">IF(AND(食数記録!$A81=プレビュー!$C$3,食数記録!$B81="朝",食数記録!$F81="女性入所",食数記録!$D81="欠食"),1,0)</f>
        <v>0</v>
      </c>
      <c r="I81" s="0" t="str">
        <f aca="false">IF(H81=1,SUM($H$2:H81),"")</f>
        <v/>
      </c>
      <c r="J81" s="0" t="n">
        <f aca="false">IF(AND(食数記録!$A81=プレビュー!$C$3,食数記録!$B81="昼",食数記録!$F81="女性入所",食数記録!$D81="欠食"),1,0)</f>
        <v>0</v>
      </c>
      <c r="K81" s="0" t="str">
        <f aca="false">IF(J81=1,SUM($J$2:J81),"")</f>
        <v/>
      </c>
      <c r="L81" s="0" t="n">
        <f aca="false">IF(AND(食数記録!$A81=プレビュー!$C$3,食数記録!$B81="夕",食数記録!$F81="女性入所",食数記録!$D81="欠食"),1,0)</f>
        <v>0</v>
      </c>
      <c r="M81" s="0" t="str">
        <f aca="false">IF(L81=1,SUM($L$2:L81),"")</f>
        <v/>
      </c>
      <c r="N81" s="0" t="n">
        <f aca="false">IF(AND(食数記録!$A81=プレビュー!$C$3,食数記録!$B81="朝",食数記録!$F81="男性GH",食数記録!$D81="臨時喫食"),1,0)</f>
        <v>0</v>
      </c>
      <c r="O81" s="0" t="str">
        <f aca="false">IF(N81=1,SUM($N$2:N81),"")</f>
        <v/>
      </c>
      <c r="P81" s="0" t="n">
        <f aca="false">IF(AND(食数記録!$A81=プレビュー!$C$3,食数記録!$B81="昼",食数記録!$F81="男性GH",食数記録!$D81="臨時喫食"),1,0)</f>
        <v>0</v>
      </c>
      <c r="Q81" s="0" t="str">
        <f aca="false">IF(P81=1,SUM($P$2:P81),"")</f>
        <v/>
      </c>
      <c r="R81" s="0" t="n">
        <f aca="false">IF(AND(食数記録!$A81=プレビュー!$C$3,食数記録!$B81="夕",食数記録!$F81="男性GH",食数記録!$D81="臨時喫食"),1,0)</f>
        <v>0</v>
      </c>
      <c r="S81" s="0" t="str">
        <f aca="false">IF(R81=1,SUM($R$2:R81),"")</f>
        <v/>
      </c>
      <c r="T81" s="0" t="n">
        <f aca="false">IF(AND(食数記録!$A81=プレビュー!$C$3,食数記録!$B81="朝",食数記録!$F81="女性GH",食数記録!$D81="臨時喫食"),1,0)</f>
        <v>0</v>
      </c>
      <c r="U81" s="0" t="str">
        <f aca="false">IF(T81=1,SUM($T$2:T81),"")</f>
        <v/>
      </c>
      <c r="V81" s="0" t="n">
        <f aca="false">IF(AND(食数記録!$A81=プレビュー!$C$3,食数記録!$B81="昼",食数記録!$F81="女性GH",食数記録!$D81="臨時喫食"),1,0)</f>
        <v>0</v>
      </c>
      <c r="W81" s="0" t="str">
        <f aca="false">IF(V81=1,SUM($V$2:V81),"")</f>
        <v/>
      </c>
      <c r="X81" s="0" t="n">
        <f aca="false">IF(AND(食数記録!$A81=プレビュー!$C$3,食数記録!$B81="夕",食数記録!$F81="女性GH",食数記録!$D81="臨時喫食"),1,0)</f>
        <v>0</v>
      </c>
      <c r="Y81" s="0" t="str">
        <f aca="false">IF(X81=1,SUM($X$2:X81),"")</f>
        <v/>
      </c>
    </row>
    <row r="82" customFormat="false" ht="15" hidden="false" customHeight="false" outlineLevel="0" collapsed="false">
      <c r="B82" s="0" t="n">
        <f aca="false">IF(AND(食数記録!$A82=プレビュー!$C$3,食数記録!$B82="朝",食数記録!$F82="男性入所",食数記録!$D82="欠食"),1,0)</f>
        <v>0</v>
      </c>
      <c r="C82" s="0" t="str">
        <f aca="false">IF(B82=1,SUM($B$2:B82),"")</f>
        <v/>
      </c>
      <c r="D82" s="0" t="n">
        <f aca="false">IF(AND(食数記録!$A82=プレビュー!$C$3,食数記録!$B82="昼",食数記録!$F82="男性入所",食数記録!$D82="欠食"),1,0)</f>
        <v>0</v>
      </c>
      <c r="E82" s="0" t="str">
        <f aca="false">IF(D82=1,SUM($D$2:D82),"")</f>
        <v/>
      </c>
      <c r="F82" s="0" t="n">
        <f aca="false">IF(AND(食数記録!$A82=プレビュー!$C$3,食数記録!$B82="夕",食数記録!$F82="男性入所",食数記録!$D82="欠食"),1,0)</f>
        <v>0</v>
      </c>
      <c r="G82" s="0" t="str">
        <f aca="false">IF(F82=1,SUM($F$2:F82),"")</f>
        <v/>
      </c>
      <c r="H82" s="0" t="n">
        <f aca="false">IF(AND(食数記録!$A82=プレビュー!$C$3,食数記録!$B82="朝",食数記録!$F82="女性入所",食数記録!$D82="欠食"),1,0)</f>
        <v>0</v>
      </c>
      <c r="I82" s="0" t="str">
        <f aca="false">IF(H82=1,SUM($H$2:H82),"")</f>
        <v/>
      </c>
      <c r="J82" s="0" t="n">
        <f aca="false">IF(AND(食数記録!$A82=プレビュー!$C$3,食数記録!$B82="昼",食数記録!$F82="女性入所",食数記録!$D82="欠食"),1,0)</f>
        <v>0</v>
      </c>
      <c r="K82" s="0" t="str">
        <f aca="false">IF(J82=1,SUM($J$2:J82),"")</f>
        <v/>
      </c>
      <c r="L82" s="0" t="n">
        <f aca="false">IF(AND(食数記録!$A82=プレビュー!$C$3,食数記録!$B82="夕",食数記録!$F82="女性入所",食数記録!$D82="欠食"),1,0)</f>
        <v>0</v>
      </c>
      <c r="M82" s="0" t="str">
        <f aca="false">IF(L82=1,SUM($L$2:L82),"")</f>
        <v/>
      </c>
      <c r="N82" s="0" t="n">
        <f aca="false">IF(AND(食数記録!$A82=プレビュー!$C$3,食数記録!$B82="朝",食数記録!$F82="男性GH",食数記録!$D82="臨時喫食"),1,0)</f>
        <v>0</v>
      </c>
      <c r="O82" s="0" t="str">
        <f aca="false">IF(N82=1,SUM($N$2:N82),"")</f>
        <v/>
      </c>
      <c r="P82" s="0" t="n">
        <f aca="false">IF(AND(食数記録!$A82=プレビュー!$C$3,食数記録!$B82="昼",食数記録!$F82="男性GH",食数記録!$D82="臨時喫食"),1,0)</f>
        <v>0</v>
      </c>
      <c r="Q82" s="0" t="str">
        <f aca="false">IF(P82=1,SUM($P$2:P82),"")</f>
        <v/>
      </c>
      <c r="R82" s="0" t="n">
        <f aca="false">IF(AND(食数記録!$A82=プレビュー!$C$3,食数記録!$B82="夕",食数記録!$F82="男性GH",食数記録!$D82="臨時喫食"),1,0)</f>
        <v>0</v>
      </c>
      <c r="S82" s="0" t="str">
        <f aca="false">IF(R82=1,SUM($R$2:R82),"")</f>
        <v/>
      </c>
      <c r="T82" s="0" t="n">
        <f aca="false">IF(AND(食数記録!$A82=プレビュー!$C$3,食数記録!$B82="朝",食数記録!$F82="女性GH",食数記録!$D82="臨時喫食"),1,0)</f>
        <v>0</v>
      </c>
      <c r="U82" s="0" t="str">
        <f aca="false">IF(T82=1,SUM($T$2:T82),"")</f>
        <v/>
      </c>
      <c r="V82" s="0" t="n">
        <f aca="false">IF(AND(食数記録!$A82=プレビュー!$C$3,食数記録!$B82="昼",食数記録!$F82="女性GH",食数記録!$D82="臨時喫食"),1,0)</f>
        <v>0</v>
      </c>
      <c r="W82" s="0" t="str">
        <f aca="false">IF(V82=1,SUM($V$2:V82),"")</f>
        <v/>
      </c>
      <c r="X82" s="0" t="n">
        <f aca="false">IF(AND(食数記録!$A82=プレビュー!$C$3,食数記録!$B82="夕",食数記録!$F82="女性GH",食数記録!$D82="臨時喫食"),1,0)</f>
        <v>0</v>
      </c>
      <c r="Y82" s="0" t="str">
        <f aca="false">IF(X82=1,SUM($X$2:X82),"")</f>
        <v/>
      </c>
    </row>
    <row r="83" customFormat="false" ht="15" hidden="false" customHeight="false" outlineLevel="0" collapsed="false">
      <c r="B83" s="0" t="n">
        <f aca="false">IF(AND(食数記録!$A83=プレビュー!$C$3,食数記録!$B83="朝",食数記録!$F83="男性入所",食数記録!$D83="欠食"),1,0)</f>
        <v>0</v>
      </c>
      <c r="C83" s="0" t="str">
        <f aca="false">IF(B83=1,SUM($B$2:B83),"")</f>
        <v/>
      </c>
      <c r="D83" s="0" t="n">
        <f aca="false">IF(AND(食数記録!$A83=プレビュー!$C$3,食数記録!$B83="昼",食数記録!$F83="男性入所",食数記録!$D83="欠食"),1,0)</f>
        <v>0</v>
      </c>
      <c r="E83" s="0" t="str">
        <f aca="false">IF(D83=1,SUM($D$2:D83),"")</f>
        <v/>
      </c>
      <c r="F83" s="0" t="n">
        <f aca="false">IF(AND(食数記録!$A83=プレビュー!$C$3,食数記録!$B83="夕",食数記録!$F83="男性入所",食数記録!$D83="欠食"),1,0)</f>
        <v>0</v>
      </c>
      <c r="G83" s="0" t="str">
        <f aca="false">IF(F83=1,SUM($F$2:F83),"")</f>
        <v/>
      </c>
      <c r="H83" s="0" t="n">
        <f aca="false">IF(AND(食数記録!$A83=プレビュー!$C$3,食数記録!$B83="朝",食数記録!$F83="女性入所",食数記録!$D83="欠食"),1,0)</f>
        <v>0</v>
      </c>
      <c r="I83" s="0" t="str">
        <f aca="false">IF(H83=1,SUM($H$2:H83),"")</f>
        <v/>
      </c>
      <c r="J83" s="0" t="n">
        <f aca="false">IF(AND(食数記録!$A83=プレビュー!$C$3,食数記録!$B83="昼",食数記録!$F83="女性入所",食数記録!$D83="欠食"),1,0)</f>
        <v>0</v>
      </c>
      <c r="K83" s="0" t="str">
        <f aca="false">IF(J83=1,SUM($J$2:J83),"")</f>
        <v/>
      </c>
      <c r="L83" s="0" t="n">
        <f aca="false">IF(AND(食数記録!$A83=プレビュー!$C$3,食数記録!$B83="夕",食数記録!$F83="女性入所",食数記録!$D83="欠食"),1,0)</f>
        <v>0</v>
      </c>
      <c r="M83" s="0" t="str">
        <f aca="false">IF(L83=1,SUM($L$2:L83),"")</f>
        <v/>
      </c>
      <c r="N83" s="0" t="n">
        <f aca="false">IF(AND(食数記録!$A83=プレビュー!$C$3,食数記録!$B83="朝",食数記録!$F83="男性GH",食数記録!$D83="臨時喫食"),1,0)</f>
        <v>0</v>
      </c>
      <c r="O83" s="0" t="str">
        <f aca="false">IF(N83=1,SUM($N$2:N83),"")</f>
        <v/>
      </c>
      <c r="P83" s="0" t="n">
        <f aca="false">IF(AND(食数記録!$A83=プレビュー!$C$3,食数記録!$B83="昼",食数記録!$F83="男性GH",食数記録!$D83="臨時喫食"),1,0)</f>
        <v>0</v>
      </c>
      <c r="Q83" s="0" t="str">
        <f aca="false">IF(P83=1,SUM($P$2:P83),"")</f>
        <v/>
      </c>
      <c r="R83" s="0" t="n">
        <f aca="false">IF(AND(食数記録!$A83=プレビュー!$C$3,食数記録!$B83="夕",食数記録!$F83="男性GH",食数記録!$D83="臨時喫食"),1,0)</f>
        <v>0</v>
      </c>
      <c r="S83" s="0" t="str">
        <f aca="false">IF(R83=1,SUM($R$2:R83),"")</f>
        <v/>
      </c>
      <c r="T83" s="0" t="n">
        <f aca="false">IF(AND(食数記録!$A83=プレビュー!$C$3,食数記録!$B83="朝",食数記録!$F83="女性GH",食数記録!$D83="臨時喫食"),1,0)</f>
        <v>0</v>
      </c>
      <c r="U83" s="0" t="str">
        <f aca="false">IF(T83=1,SUM($T$2:T83),"")</f>
        <v/>
      </c>
      <c r="V83" s="0" t="n">
        <f aca="false">IF(AND(食数記録!$A83=プレビュー!$C$3,食数記録!$B83="昼",食数記録!$F83="女性GH",食数記録!$D83="臨時喫食"),1,0)</f>
        <v>0</v>
      </c>
      <c r="W83" s="0" t="str">
        <f aca="false">IF(V83=1,SUM($V$2:V83),"")</f>
        <v/>
      </c>
      <c r="X83" s="0" t="n">
        <f aca="false">IF(AND(食数記録!$A83=プレビュー!$C$3,食数記録!$B83="夕",食数記録!$F83="女性GH",食数記録!$D83="臨時喫食"),1,0)</f>
        <v>0</v>
      </c>
      <c r="Y83" s="0" t="str">
        <f aca="false">IF(X83=1,SUM($X$2:X83),"")</f>
        <v/>
      </c>
    </row>
    <row r="84" customFormat="false" ht="15" hidden="false" customHeight="false" outlineLevel="0" collapsed="false">
      <c r="B84" s="0" t="n">
        <f aca="false">IF(AND(食数記録!$A84=プレビュー!$C$3,食数記録!$B84="朝",食数記録!$F84="男性入所",食数記録!$D84="欠食"),1,0)</f>
        <v>0</v>
      </c>
      <c r="C84" s="0" t="str">
        <f aca="false">IF(B84=1,SUM($B$2:B84),"")</f>
        <v/>
      </c>
      <c r="D84" s="0" t="n">
        <f aca="false">IF(AND(食数記録!$A84=プレビュー!$C$3,食数記録!$B84="昼",食数記録!$F84="男性入所",食数記録!$D84="欠食"),1,0)</f>
        <v>0</v>
      </c>
      <c r="E84" s="0" t="str">
        <f aca="false">IF(D84=1,SUM($D$2:D84),"")</f>
        <v/>
      </c>
      <c r="F84" s="0" t="n">
        <f aca="false">IF(AND(食数記録!$A84=プレビュー!$C$3,食数記録!$B84="夕",食数記録!$F84="男性入所",食数記録!$D84="欠食"),1,0)</f>
        <v>0</v>
      </c>
      <c r="G84" s="0" t="str">
        <f aca="false">IF(F84=1,SUM($F$2:F84),"")</f>
        <v/>
      </c>
      <c r="H84" s="0" t="n">
        <f aca="false">IF(AND(食数記録!$A84=プレビュー!$C$3,食数記録!$B84="朝",食数記録!$F84="女性入所",食数記録!$D84="欠食"),1,0)</f>
        <v>0</v>
      </c>
      <c r="I84" s="0" t="str">
        <f aca="false">IF(H84=1,SUM($H$2:H84),"")</f>
        <v/>
      </c>
      <c r="J84" s="0" t="n">
        <f aca="false">IF(AND(食数記録!$A84=プレビュー!$C$3,食数記録!$B84="昼",食数記録!$F84="女性入所",食数記録!$D84="欠食"),1,0)</f>
        <v>0</v>
      </c>
      <c r="K84" s="0" t="str">
        <f aca="false">IF(J84=1,SUM($J$2:J84),"")</f>
        <v/>
      </c>
      <c r="L84" s="0" t="n">
        <f aca="false">IF(AND(食数記録!$A84=プレビュー!$C$3,食数記録!$B84="夕",食数記録!$F84="女性入所",食数記録!$D84="欠食"),1,0)</f>
        <v>0</v>
      </c>
      <c r="M84" s="0" t="str">
        <f aca="false">IF(L84=1,SUM($L$2:L84),"")</f>
        <v/>
      </c>
      <c r="N84" s="0" t="n">
        <f aca="false">IF(AND(食数記録!$A84=プレビュー!$C$3,食数記録!$B84="朝",食数記録!$F84="男性GH",食数記録!$D84="臨時喫食"),1,0)</f>
        <v>0</v>
      </c>
      <c r="O84" s="0" t="str">
        <f aca="false">IF(N84=1,SUM($N$2:N84),"")</f>
        <v/>
      </c>
      <c r="P84" s="0" t="n">
        <f aca="false">IF(AND(食数記録!$A84=プレビュー!$C$3,食数記録!$B84="昼",食数記録!$F84="男性GH",食数記録!$D84="臨時喫食"),1,0)</f>
        <v>0</v>
      </c>
      <c r="Q84" s="0" t="str">
        <f aca="false">IF(P84=1,SUM($P$2:P84),"")</f>
        <v/>
      </c>
      <c r="R84" s="0" t="n">
        <f aca="false">IF(AND(食数記録!$A84=プレビュー!$C$3,食数記録!$B84="夕",食数記録!$F84="男性GH",食数記録!$D84="臨時喫食"),1,0)</f>
        <v>0</v>
      </c>
      <c r="S84" s="0" t="str">
        <f aca="false">IF(R84=1,SUM($R$2:R84),"")</f>
        <v/>
      </c>
      <c r="T84" s="0" t="n">
        <f aca="false">IF(AND(食数記録!$A84=プレビュー!$C$3,食数記録!$B84="朝",食数記録!$F84="女性GH",食数記録!$D84="臨時喫食"),1,0)</f>
        <v>0</v>
      </c>
      <c r="U84" s="0" t="str">
        <f aca="false">IF(T84=1,SUM($T$2:T84),"")</f>
        <v/>
      </c>
      <c r="V84" s="0" t="n">
        <f aca="false">IF(AND(食数記録!$A84=プレビュー!$C$3,食数記録!$B84="昼",食数記録!$F84="女性GH",食数記録!$D84="臨時喫食"),1,0)</f>
        <v>0</v>
      </c>
      <c r="W84" s="0" t="str">
        <f aca="false">IF(V84=1,SUM($V$2:V84),"")</f>
        <v/>
      </c>
      <c r="X84" s="0" t="n">
        <f aca="false">IF(AND(食数記録!$A84=プレビュー!$C$3,食数記録!$B84="夕",食数記録!$F84="女性GH",食数記録!$D84="臨時喫食"),1,0)</f>
        <v>0</v>
      </c>
      <c r="Y84" s="0" t="str">
        <f aca="false">IF(X84=1,SUM($X$2:X84),"")</f>
        <v/>
      </c>
    </row>
    <row r="85" customFormat="false" ht="15" hidden="false" customHeight="false" outlineLevel="0" collapsed="false">
      <c r="B85" s="0" t="n">
        <f aca="false">IF(AND(食数記録!$A85=プレビュー!$C$3,食数記録!$B85="朝",食数記録!$F85="男性入所",食数記録!$D85="欠食"),1,0)</f>
        <v>0</v>
      </c>
      <c r="C85" s="0" t="str">
        <f aca="false">IF(B85=1,SUM($B$2:B85),"")</f>
        <v/>
      </c>
      <c r="D85" s="0" t="n">
        <f aca="false">IF(AND(食数記録!$A85=プレビュー!$C$3,食数記録!$B85="昼",食数記録!$F85="男性入所",食数記録!$D85="欠食"),1,0)</f>
        <v>0</v>
      </c>
      <c r="E85" s="0" t="str">
        <f aca="false">IF(D85=1,SUM($D$2:D85),"")</f>
        <v/>
      </c>
      <c r="F85" s="0" t="n">
        <f aca="false">IF(AND(食数記録!$A85=プレビュー!$C$3,食数記録!$B85="夕",食数記録!$F85="男性入所",食数記録!$D85="欠食"),1,0)</f>
        <v>0</v>
      </c>
      <c r="G85" s="0" t="str">
        <f aca="false">IF(F85=1,SUM($F$2:F85),"")</f>
        <v/>
      </c>
      <c r="H85" s="0" t="n">
        <f aca="false">IF(AND(食数記録!$A85=プレビュー!$C$3,食数記録!$B85="朝",食数記録!$F85="女性入所",食数記録!$D85="欠食"),1,0)</f>
        <v>0</v>
      </c>
      <c r="I85" s="0" t="str">
        <f aca="false">IF(H85=1,SUM($H$2:H85),"")</f>
        <v/>
      </c>
      <c r="J85" s="0" t="n">
        <f aca="false">IF(AND(食数記録!$A85=プレビュー!$C$3,食数記録!$B85="昼",食数記録!$F85="女性入所",食数記録!$D85="欠食"),1,0)</f>
        <v>0</v>
      </c>
      <c r="K85" s="0" t="str">
        <f aca="false">IF(J85=1,SUM($J$2:J85),"")</f>
        <v/>
      </c>
      <c r="L85" s="0" t="n">
        <f aca="false">IF(AND(食数記録!$A85=プレビュー!$C$3,食数記録!$B85="夕",食数記録!$F85="女性入所",食数記録!$D85="欠食"),1,0)</f>
        <v>0</v>
      </c>
      <c r="M85" s="0" t="str">
        <f aca="false">IF(L85=1,SUM($L$2:L85),"")</f>
        <v/>
      </c>
      <c r="N85" s="0" t="n">
        <f aca="false">IF(AND(食数記録!$A85=プレビュー!$C$3,食数記録!$B85="朝",食数記録!$F85="男性GH",食数記録!$D85="臨時喫食"),1,0)</f>
        <v>0</v>
      </c>
      <c r="O85" s="0" t="str">
        <f aca="false">IF(N85=1,SUM($N$2:N85),"")</f>
        <v/>
      </c>
      <c r="P85" s="0" t="n">
        <f aca="false">IF(AND(食数記録!$A85=プレビュー!$C$3,食数記録!$B85="昼",食数記録!$F85="男性GH",食数記録!$D85="臨時喫食"),1,0)</f>
        <v>0</v>
      </c>
      <c r="Q85" s="0" t="str">
        <f aca="false">IF(P85=1,SUM($P$2:P85),"")</f>
        <v/>
      </c>
      <c r="R85" s="0" t="n">
        <f aca="false">IF(AND(食数記録!$A85=プレビュー!$C$3,食数記録!$B85="夕",食数記録!$F85="男性GH",食数記録!$D85="臨時喫食"),1,0)</f>
        <v>0</v>
      </c>
      <c r="S85" s="0" t="str">
        <f aca="false">IF(R85=1,SUM($R$2:R85),"")</f>
        <v/>
      </c>
      <c r="T85" s="0" t="n">
        <f aca="false">IF(AND(食数記録!$A85=プレビュー!$C$3,食数記録!$B85="朝",食数記録!$F85="女性GH",食数記録!$D85="臨時喫食"),1,0)</f>
        <v>0</v>
      </c>
      <c r="U85" s="0" t="str">
        <f aca="false">IF(T85=1,SUM($T$2:T85),"")</f>
        <v/>
      </c>
      <c r="V85" s="0" t="n">
        <f aca="false">IF(AND(食数記録!$A85=プレビュー!$C$3,食数記録!$B85="昼",食数記録!$F85="女性GH",食数記録!$D85="臨時喫食"),1,0)</f>
        <v>0</v>
      </c>
      <c r="W85" s="0" t="str">
        <f aca="false">IF(V85=1,SUM($V$2:V85),"")</f>
        <v/>
      </c>
      <c r="X85" s="0" t="n">
        <f aca="false">IF(AND(食数記録!$A85=プレビュー!$C$3,食数記録!$B85="夕",食数記録!$F85="女性GH",食数記録!$D85="臨時喫食"),1,0)</f>
        <v>0</v>
      </c>
      <c r="Y85" s="0" t="str">
        <f aca="false">IF(X85=1,SUM($X$2:X85),"")</f>
        <v/>
      </c>
    </row>
    <row r="86" customFormat="false" ht="15" hidden="false" customHeight="false" outlineLevel="0" collapsed="false">
      <c r="B86" s="0" t="n">
        <f aca="false">IF(AND(食数記録!$A86=プレビュー!$C$3,食数記録!$B86="朝",食数記録!$F86="男性入所",食数記録!$D86="欠食"),1,0)</f>
        <v>0</v>
      </c>
      <c r="C86" s="0" t="str">
        <f aca="false">IF(B86=1,SUM($B$2:B86),"")</f>
        <v/>
      </c>
      <c r="D86" s="0" t="n">
        <f aca="false">IF(AND(食数記録!$A86=プレビュー!$C$3,食数記録!$B86="昼",食数記録!$F86="男性入所",食数記録!$D86="欠食"),1,0)</f>
        <v>0</v>
      </c>
      <c r="E86" s="0" t="str">
        <f aca="false">IF(D86=1,SUM($D$2:D86),"")</f>
        <v/>
      </c>
      <c r="F86" s="0" t="n">
        <f aca="false">IF(AND(食数記録!$A86=プレビュー!$C$3,食数記録!$B86="夕",食数記録!$F86="男性入所",食数記録!$D86="欠食"),1,0)</f>
        <v>0</v>
      </c>
      <c r="G86" s="0" t="str">
        <f aca="false">IF(F86=1,SUM($F$2:F86),"")</f>
        <v/>
      </c>
      <c r="H86" s="0" t="n">
        <f aca="false">IF(AND(食数記録!$A86=プレビュー!$C$3,食数記録!$B86="朝",食数記録!$F86="女性入所",食数記録!$D86="欠食"),1,0)</f>
        <v>0</v>
      </c>
      <c r="I86" s="0" t="str">
        <f aca="false">IF(H86=1,SUM($H$2:H86),"")</f>
        <v/>
      </c>
      <c r="J86" s="0" t="n">
        <f aca="false">IF(AND(食数記録!$A86=プレビュー!$C$3,食数記録!$B86="昼",食数記録!$F86="女性入所",食数記録!$D86="欠食"),1,0)</f>
        <v>0</v>
      </c>
      <c r="K86" s="0" t="str">
        <f aca="false">IF(J86=1,SUM($J$2:J86),"")</f>
        <v/>
      </c>
      <c r="L86" s="0" t="n">
        <f aca="false">IF(AND(食数記録!$A86=プレビュー!$C$3,食数記録!$B86="夕",食数記録!$F86="女性入所",食数記録!$D86="欠食"),1,0)</f>
        <v>0</v>
      </c>
      <c r="M86" s="0" t="str">
        <f aca="false">IF(L86=1,SUM($L$2:L86),"")</f>
        <v/>
      </c>
      <c r="N86" s="0" t="n">
        <f aca="false">IF(AND(食数記録!$A86=プレビュー!$C$3,食数記録!$B86="朝",食数記録!$F86="男性GH",食数記録!$D86="臨時喫食"),1,0)</f>
        <v>0</v>
      </c>
      <c r="O86" s="0" t="str">
        <f aca="false">IF(N86=1,SUM($N$2:N86),"")</f>
        <v/>
      </c>
      <c r="P86" s="0" t="n">
        <f aca="false">IF(AND(食数記録!$A86=プレビュー!$C$3,食数記録!$B86="昼",食数記録!$F86="男性GH",食数記録!$D86="臨時喫食"),1,0)</f>
        <v>0</v>
      </c>
      <c r="Q86" s="0" t="str">
        <f aca="false">IF(P86=1,SUM($P$2:P86),"")</f>
        <v/>
      </c>
      <c r="R86" s="0" t="n">
        <f aca="false">IF(AND(食数記録!$A86=プレビュー!$C$3,食数記録!$B86="夕",食数記録!$F86="男性GH",食数記録!$D86="臨時喫食"),1,0)</f>
        <v>0</v>
      </c>
      <c r="S86" s="0" t="str">
        <f aca="false">IF(R86=1,SUM($R$2:R86),"")</f>
        <v/>
      </c>
      <c r="T86" s="0" t="n">
        <f aca="false">IF(AND(食数記録!$A86=プレビュー!$C$3,食数記録!$B86="朝",食数記録!$F86="女性GH",食数記録!$D86="臨時喫食"),1,0)</f>
        <v>0</v>
      </c>
      <c r="U86" s="0" t="str">
        <f aca="false">IF(T86=1,SUM($T$2:T86),"")</f>
        <v/>
      </c>
      <c r="V86" s="0" t="n">
        <f aca="false">IF(AND(食数記録!$A86=プレビュー!$C$3,食数記録!$B86="昼",食数記録!$F86="女性GH",食数記録!$D86="臨時喫食"),1,0)</f>
        <v>0</v>
      </c>
      <c r="W86" s="0" t="str">
        <f aca="false">IF(V86=1,SUM($V$2:V86),"")</f>
        <v/>
      </c>
      <c r="X86" s="0" t="n">
        <f aca="false">IF(AND(食数記録!$A86=プレビュー!$C$3,食数記録!$B86="夕",食数記録!$F86="女性GH",食数記録!$D86="臨時喫食"),1,0)</f>
        <v>0</v>
      </c>
      <c r="Y86" s="0" t="str">
        <f aca="false">IF(X86=1,SUM($X$2:X86),"")</f>
        <v/>
      </c>
    </row>
    <row r="87" customFormat="false" ht="15" hidden="false" customHeight="false" outlineLevel="0" collapsed="false">
      <c r="B87" s="0" t="n">
        <f aca="false">IF(AND(食数記録!$A87=プレビュー!$C$3,食数記録!$B87="朝",食数記録!$F87="男性入所",食数記録!$D87="欠食"),1,0)</f>
        <v>0</v>
      </c>
      <c r="C87" s="0" t="str">
        <f aca="false">IF(B87=1,SUM($B$2:B87),"")</f>
        <v/>
      </c>
      <c r="D87" s="0" t="n">
        <f aca="false">IF(AND(食数記録!$A87=プレビュー!$C$3,食数記録!$B87="昼",食数記録!$F87="男性入所",食数記録!$D87="欠食"),1,0)</f>
        <v>0</v>
      </c>
      <c r="E87" s="0" t="str">
        <f aca="false">IF(D87=1,SUM($D$2:D87),"")</f>
        <v/>
      </c>
      <c r="F87" s="0" t="n">
        <f aca="false">IF(AND(食数記録!$A87=プレビュー!$C$3,食数記録!$B87="夕",食数記録!$F87="男性入所",食数記録!$D87="欠食"),1,0)</f>
        <v>0</v>
      </c>
      <c r="G87" s="0" t="str">
        <f aca="false">IF(F87=1,SUM($F$2:F87),"")</f>
        <v/>
      </c>
      <c r="H87" s="0" t="n">
        <f aca="false">IF(AND(食数記録!$A87=プレビュー!$C$3,食数記録!$B87="朝",食数記録!$F87="女性入所",食数記録!$D87="欠食"),1,0)</f>
        <v>0</v>
      </c>
      <c r="I87" s="0" t="str">
        <f aca="false">IF(H87=1,SUM($H$2:H87),"")</f>
        <v/>
      </c>
      <c r="J87" s="0" t="n">
        <f aca="false">IF(AND(食数記録!$A87=プレビュー!$C$3,食数記録!$B87="昼",食数記録!$F87="女性入所",食数記録!$D87="欠食"),1,0)</f>
        <v>0</v>
      </c>
      <c r="K87" s="0" t="str">
        <f aca="false">IF(J87=1,SUM($J$2:J87),"")</f>
        <v/>
      </c>
      <c r="L87" s="0" t="n">
        <f aca="false">IF(AND(食数記録!$A87=プレビュー!$C$3,食数記録!$B87="夕",食数記録!$F87="女性入所",食数記録!$D87="欠食"),1,0)</f>
        <v>0</v>
      </c>
      <c r="M87" s="0" t="str">
        <f aca="false">IF(L87=1,SUM($L$2:L87),"")</f>
        <v/>
      </c>
      <c r="N87" s="0" t="n">
        <f aca="false">IF(AND(食数記録!$A87=プレビュー!$C$3,食数記録!$B87="朝",食数記録!$F87="男性GH",食数記録!$D87="臨時喫食"),1,0)</f>
        <v>0</v>
      </c>
      <c r="O87" s="0" t="str">
        <f aca="false">IF(N87=1,SUM($N$2:N87),"")</f>
        <v/>
      </c>
      <c r="P87" s="0" t="n">
        <f aca="false">IF(AND(食数記録!$A87=プレビュー!$C$3,食数記録!$B87="昼",食数記録!$F87="男性GH",食数記録!$D87="臨時喫食"),1,0)</f>
        <v>0</v>
      </c>
      <c r="Q87" s="0" t="str">
        <f aca="false">IF(P87=1,SUM($P$2:P87),"")</f>
        <v/>
      </c>
      <c r="R87" s="0" t="n">
        <f aca="false">IF(AND(食数記録!$A87=プレビュー!$C$3,食数記録!$B87="夕",食数記録!$F87="男性GH",食数記録!$D87="臨時喫食"),1,0)</f>
        <v>0</v>
      </c>
      <c r="S87" s="0" t="str">
        <f aca="false">IF(R87=1,SUM($R$2:R87),"")</f>
        <v/>
      </c>
      <c r="T87" s="0" t="n">
        <f aca="false">IF(AND(食数記録!$A87=プレビュー!$C$3,食数記録!$B87="朝",食数記録!$F87="女性GH",食数記録!$D87="臨時喫食"),1,0)</f>
        <v>0</v>
      </c>
      <c r="U87" s="0" t="str">
        <f aca="false">IF(T87=1,SUM($T$2:T87),"")</f>
        <v/>
      </c>
      <c r="V87" s="0" t="n">
        <f aca="false">IF(AND(食数記録!$A87=プレビュー!$C$3,食数記録!$B87="昼",食数記録!$F87="女性GH",食数記録!$D87="臨時喫食"),1,0)</f>
        <v>0</v>
      </c>
      <c r="W87" s="0" t="str">
        <f aca="false">IF(V87=1,SUM($V$2:V87),"")</f>
        <v/>
      </c>
      <c r="X87" s="0" t="n">
        <f aca="false">IF(AND(食数記録!$A87=プレビュー!$C$3,食数記録!$B87="夕",食数記録!$F87="女性GH",食数記録!$D87="臨時喫食"),1,0)</f>
        <v>0</v>
      </c>
      <c r="Y87" s="0" t="str">
        <f aca="false">IF(X87=1,SUM($X$2:X87),"")</f>
        <v/>
      </c>
    </row>
    <row r="88" customFormat="false" ht="15" hidden="false" customHeight="false" outlineLevel="0" collapsed="false">
      <c r="B88" s="0" t="n">
        <f aca="false">IF(AND(食数記録!$A88=プレビュー!$C$3,食数記録!$B88="朝",食数記録!$F88="男性入所",食数記録!$D88="欠食"),1,0)</f>
        <v>0</v>
      </c>
      <c r="C88" s="0" t="str">
        <f aca="false">IF(B88=1,SUM($B$2:B88),"")</f>
        <v/>
      </c>
      <c r="D88" s="0" t="n">
        <f aca="false">IF(AND(食数記録!$A88=プレビュー!$C$3,食数記録!$B88="昼",食数記録!$F88="男性入所",食数記録!$D88="欠食"),1,0)</f>
        <v>0</v>
      </c>
      <c r="E88" s="0" t="str">
        <f aca="false">IF(D88=1,SUM($D$2:D88),"")</f>
        <v/>
      </c>
      <c r="F88" s="0" t="n">
        <f aca="false">IF(AND(食数記録!$A88=プレビュー!$C$3,食数記録!$B88="夕",食数記録!$F88="男性入所",食数記録!$D88="欠食"),1,0)</f>
        <v>0</v>
      </c>
      <c r="G88" s="0" t="str">
        <f aca="false">IF(F88=1,SUM($F$2:F88),"")</f>
        <v/>
      </c>
      <c r="H88" s="0" t="n">
        <f aca="false">IF(AND(食数記録!$A88=プレビュー!$C$3,食数記録!$B88="朝",食数記録!$F88="女性入所",食数記録!$D88="欠食"),1,0)</f>
        <v>0</v>
      </c>
      <c r="I88" s="0" t="str">
        <f aca="false">IF(H88=1,SUM($H$2:H88),"")</f>
        <v/>
      </c>
      <c r="J88" s="0" t="n">
        <f aca="false">IF(AND(食数記録!$A88=プレビュー!$C$3,食数記録!$B88="昼",食数記録!$F88="女性入所",食数記録!$D88="欠食"),1,0)</f>
        <v>0</v>
      </c>
      <c r="K88" s="0" t="str">
        <f aca="false">IF(J88=1,SUM($J$2:J88),"")</f>
        <v/>
      </c>
      <c r="L88" s="0" t="n">
        <f aca="false">IF(AND(食数記録!$A88=プレビュー!$C$3,食数記録!$B88="夕",食数記録!$F88="女性入所",食数記録!$D88="欠食"),1,0)</f>
        <v>0</v>
      </c>
      <c r="M88" s="0" t="str">
        <f aca="false">IF(L88=1,SUM($L$2:L88),"")</f>
        <v/>
      </c>
      <c r="N88" s="0" t="n">
        <f aca="false">IF(AND(食数記録!$A88=プレビュー!$C$3,食数記録!$B88="朝",食数記録!$F88="男性GH",食数記録!$D88="臨時喫食"),1,0)</f>
        <v>0</v>
      </c>
      <c r="O88" s="0" t="str">
        <f aca="false">IF(N88=1,SUM($N$2:N88),"")</f>
        <v/>
      </c>
      <c r="P88" s="0" t="n">
        <f aca="false">IF(AND(食数記録!$A88=プレビュー!$C$3,食数記録!$B88="昼",食数記録!$F88="男性GH",食数記録!$D88="臨時喫食"),1,0)</f>
        <v>0</v>
      </c>
      <c r="Q88" s="0" t="str">
        <f aca="false">IF(P88=1,SUM($P$2:P88),"")</f>
        <v/>
      </c>
      <c r="R88" s="0" t="n">
        <f aca="false">IF(AND(食数記録!$A88=プレビュー!$C$3,食数記録!$B88="夕",食数記録!$F88="男性GH",食数記録!$D88="臨時喫食"),1,0)</f>
        <v>0</v>
      </c>
      <c r="S88" s="0" t="str">
        <f aca="false">IF(R88=1,SUM($R$2:R88),"")</f>
        <v/>
      </c>
      <c r="T88" s="0" t="n">
        <f aca="false">IF(AND(食数記録!$A88=プレビュー!$C$3,食数記録!$B88="朝",食数記録!$F88="女性GH",食数記録!$D88="臨時喫食"),1,0)</f>
        <v>0</v>
      </c>
      <c r="U88" s="0" t="str">
        <f aca="false">IF(T88=1,SUM($T$2:T88),"")</f>
        <v/>
      </c>
      <c r="V88" s="0" t="n">
        <f aca="false">IF(AND(食数記録!$A88=プレビュー!$C$3,食数記録!$B88="昼",食数記録!$F88="女性GH",食数記録!$D88="臨時喫食"),1,0)</f>
        <v>0</v>
      </c>
      <c r="W88" s="0" t="str">
        <f aca="false">IF(V88=1,SUM($V$2:V88),"")</f>
        <v/>
      </c>
      <c r="X88" s="0" t="n">
        <f aca="false">IF(AND(食数記録!$A88=プレビュー!$C$3,食数記録!$B88="夕",食数記録!$F88="女性GH",食数記録!$D88="臨時喫食"),1,0)</f>
        <v>0</v>
      </c>
      <c r="Y88" s="0" t="str">
        <f aca="false">IF(X88=1,SUM($X$2:X88),"")</f>
        <v/>
      </c>
    </row>
    <row r="89" customFormat="false" ht="15" hidden="false" customHeight="false" outlineLevel="0" collapsed="false">
      <c r="B89" s="0" t="n">
        <f aca="false">IF(AND(食数記録!$A89=プレビュー!$C$3,食数記録!$B89="朝",食数記録!$F89="男性入所",食数記録!$D89="欠食"),1,0)</f>
        <v>0</v>
      </c>
      <c r="C89" s="0" t="str">
        <f aca="false">IF(B89=1,SUM($B$2:B89),"")</f>
        <v/>
      </c>
      <c r="D89" s="0" t="n">
        <f aca="false">IF(AND(食数記録!$A89=プレビュー!$C$3,食数記録!$B89="昼",食数記録!$F89="男性入所",食数記録!$D89="欠食"),1,0)</f>
        <v>0</v>
      </c>
      <c r="E89" s="0" t="str">
        <f aca="false">IF(D89=1,SUM($D$2:D89),"")</f>
        <v/>
      </c>
      <c r="F89" s="0" t="n">
        <f aca="false">IF(AND(食数記録!$A89=プレビュー!$C$3,食数記録!$B89="夕",食数記録!$F89="男性入所",食数記録!$D89="欠食"),1,0)</f>
        <v>0</v>
      </c>
      <c r="G89" s="0" t="str">
        <f aca="false">IF(F89=1,SUM($F$2:F89),"")</f>
        <v/>
      </c>
      <c r="H89" s="0" t="n">
        <f aca="false">IF(AND(食数記録!$A89=プレビュー!$C$3,食数記録!$B89="朝",食数記録!$F89="女性入所",食数記録!$D89="欠食"),1,0)</f>
        <v>0</v>
      </c>
      <c r="I89" s="0" t="str">
        <f aca="false">IF(H89=1,SUM($H$2:H89),"")</f>
        <v/>
      </c>
      <c r="J89" s="0" t="n">
        <f aca="false">IF(AND(食数記録!$A89=プレビュー!$C$3,食数記録!$B89="昼",食数記録!$F89="女性入所",食数記録!$D89="欠食"),1,0)</f>
        <v>0</v>
      </c>
      <c r="K89" s="0" t="str">
        <f aca="false">IF(J89=1,SUM($J$2:J89),"")</f>
        <v/>
      </c>
      <c r="L89" s="0" t="n">
        <f aca="false">IF(AND(食数記録!$A89=プレビュー!$C$3,食数記録!$B89="夕",食数記録!$F89="女性入所",食数記録!$D89="欠食"),1,0)</f>
        <v>0</v>
      </c>
      <c r="M89" s="0" t="str">
        <f aca="false">IF(L89=1,SUM($L$2:L89),"")</f>
        <v/>
      </c>
      <c r="N89" s="0" t="n">
        <f aca="false">IF(AND(食数記録!$A89=プレビュー!$C$3,食数記録!$B89="朝",食数記録!$F89="男性GH",食数記録!$D89="臨時喫食"),1,0)</f>
        <v>0</v>
      </c>
      <c r="O89" s="0" t="str">
        <f aca="false">IF(N89=1,SUM($N$2:N89),"")</f>
        <v/>
      </c>
      <c r="P89" s="0" t="n">
        <f aca="false">IF(AND(食数記録!$A89=プレビュー!$C$3,食数記録!$B89="昼",食数記録!$F89="男性GH",食数記録!$D89="臨時喫食"),1,0)</f>
        <v>0</v>
      </c>
      <c r="Q89" s="0" t="str">
        <f aca="false">IF(P89=1,SUM($P$2:P89),"")</f>
        <v/>
      </c>
      <c r="R89" s="0" t="n">
        <f aca="false">IF(AND(食数記録!$A89=プレビュー!$C$3,食数記録!$B89="夕",食数記録!$F89="男性GH",食数記録!$D89="臨時喫食"),1,0)</f>
        <v>0</v>
      </c>
      <c r="S89" s="0" t="str">
        <f aca="false">IF(R89=1,SUM($R$2:R89),"")</f>
        <v/>
      </c>
      <c r="T89" s="0" t="n">
        <f aca="false">IF(AND(食数記録!$A89=プレビュー!$C$3,食数記録!$B89="朝",食数記録!$F89="女性GH",食数記録!$D89="臨時喫食"),1,0)</f>
        <v>0</v>
      </c>
      <c r="U89" s="0" t="str">
        <f aca="false">IF(T89=1,SUM($T$2:T89),"")</f>
        <v/>
      </c>
      <c r="V89" s="0" t="n">
        <f aca="false">IF(AND(食数記録!$A89=プレビュー!$C$3,食数記録!$B89="昼",食数記録!$F89="女性GH",食数記録!$D89="臨時喫食"),1,0)</f>
        <v>0</v>
      </c>
      <c r="W89" s="0" t="str">
        <f aca="false">IF(V89=1,SUM($V$2:V89),"")</f>
        <v/>
      </c>
      <c r="X89" s="0" t="n">
        <f aca="false">IF(AND(食数記録!$A89=プレビュー!$C$3,食数記録!$B89="夕",食数記録!$F89="女性GH",食数記録!$D89="臨時喫食"),1,0)</f>
        <v>0</v>
      </c>
      <c r="Y89" s="0" t="str">
        <f aca="false">IF(X89=1,SUM($X$2:X89),"")</f>
        <v/>
      </c>
    </row>
    <row r="90" customFormat="false" ht="15" hidden="false" customHeight="false" outlineLevel="0" collapsed="false">
      <c r="B90" s="0" t="n">
        <f aca="false">IF(AND(食数記録!$A90=プレビュー!$C$3,食数記録!$B90="朝",食数記録!$F90="男性入所",食数記録!$D90="欠食"),1,0)</f>
        <v>0</v>
      </c>
      <c r="C90" s="0" t="str">
        <f aca="false">IF(B90=1,SUM($B$2:B90),"")</f>
        <v/>
      </c>
      <c r="D90" s="0" t="n">
        <f aca="false">IF(AND(食数記録!$A90=プレビュー!$C$3,食数記録!$B90="昼",食数記録!$F90="男性入所",食数記録!$D90="欠食"),1,0)</f>
        <v>0</v>
      </c>
      <c r="E90" s="0" t="str">
        <f aca="false">IF(D90=1,SUM($D$2:D90),"")</f>
        <v/>
      </c>
      <c r="F90" s="0" t="n">
        <f aca="false">IF(AND(食数記録!$A90=プレビュー!$C$3,食数記録!$B90="夕",食数記録!$F90="男性入所",食数記録!$D90="欠食"),1,0)</f>
        <v>0</v>
      </c>
      <c r="G90" s="0" t="str">
        <f aca="false">IF(F90=1,SUM($F$2:F90),"")</f>
        <v/>
      </c>
      <c r="H90" s="0" t="n">
        <f aca="false">IF(AND(食数記録!$A90=プレビュー!$C$3,食数記録!$B90="朝",食数記録!$F90="女性入所",食数記録!$D90="欠食"),1,0)</f>
        <v>0</v>
      </c>
      <c r="I90" s="0" t="str">
        <f aca="false">IF(H90=1,SUM($H$2:H90),"")</f>
        <v/>
      </c>
      <c r="J90" s="0" t="n">
        <f aca="false">IF(AND(食数記録!$A90=プレビュー!$C$3,食数記録!$B90="昼",食数記録!$F90="女性入所",食数記録!$D90="欠食"),1,0)</f>
        <v>0</v>
      </c>
      <c r="K90" s="0" t="str">
        <f aca="false">IF(J90=1,SUM($J$2:J90),"")</f>
        <v/>
      </c>
      <c r="L90" s="0" t="n">
        <f aca="false">IF(AND(食数記録!$A90=プレビュー!$C$3,食数記録!$B90="夕",食数記録!$F90="女性入所",食数記録!$D90="欠食"),1,0)</f>
        <v>0</v>
      </c>
      <c r="M90" s="0" t="str">
        <f aca="false">IF(L90=1,SUM($L$2:L90),"")</f>
        <v/>
      </c>
      <c r="N90" s="0" t="n">
        <f aca="false">IF(AND(食数記録!$A90=プレビュー!$C$3,食数記録!$B90="朝",食数記録!$F90="男性GH",食数記録!$D90="臨時喫食"),1,0)</f>
        <v>0</v>
      </c>
      <c r="O90" s="0" t="str">
        <f aca="false">IF(N90=1,SUM($N$2:N90),"")</f>
        <v/>
      </c>
      <c r="P90" s="0" t="n">
        <f aca="false">IF(AND(食数記録!$A90=プレビュー!$C$3,食数記録!$B90="昼",食数記録!$F90="男性GH",食数記録!$D90="臨時喫食"),1,0)</f>
        <v>0</v>
      </c>
      <c r="Q90" s="0" t="str">
        <f aca="false">IF(P90=1,SUM($P$2:P90),"")</f>
        <v/>
      </c>
      <c r="R90" s="0" t="n">
        <f aca="false">IF(AND(食数記録!$A90=プレビュー!$C$3,食数記録!$B90="夕",食数記録!$F90="男性GH",食数記録!$D90="臨時喫食"),1,0)</f>
        <v>0</v>
      </c>
      <c r="S90" s="0" t="str">
        <f aca="false">IF(R90=1,SUM($R$2:R90),"")</f>
        <v/>
      </c>
      <c r="T90" s="0" t="n">
        <f aca="false">IF(AND(食数記録!$A90=プレビュー!$C$3,食数記録!$B90="朝",食数記録!$F90="女性GH",食数記録!$D90="臨時喫食"),1,0)</f>
        <v>0</v>
      </c>
      <c r="U90" s="0" t="str">
        <f aca="false">IF(T90=1,SUM($T$2:T90),"")</f>
        <v/>
      </c>
      <c r="V90" s="0" t="n">
        <f aca="false">IF(AND(食数記録!$A90=プレビュー!$C$3,食数記録!$B90="昼",食数記録!$F90="女性GH",食数記録!$D90="臨時喫食"),1,0)</f>
        <v>0</v>
      </c>
      <c r="W90" s="0" t="str">
        <f aca="false">IF(V90=1,SUM($V$2:V90),"")</f>
        <v/>
      </c>
      <c r="X90" s="0" t="n">
        <f aca="false">IF(AND(食数記録!$A90=プレビュー!$C$3,食数記録!$B90="夕",食数記録!$F90="女性GH",食数記録!$D90="臨時喫食"),1,0)</f>
        <v>0</v>
      </c>
      <c r="Y90" s="0" t="str">
        <f aca="false">IF(X90=1,SUM($X$2:X90),"")</f>
        <v/>
      </c>
    </row>
    <row r="91" customFormat="false" ht="15" hidden="false" customHeight="false" outlineLevel="0" collapsed="false">
      <c r="B91" s="0" t="n">
        <f aca="false">IF(AND(食数記録!$A91=プレビュー!$C$3,食数記録!$B91="朝",食数記録!$F91="男性入所",食数記録!$D91="欠食"),1,0)</f>
        <v>0</v>
      </c>
      <c r="C91" s="0" t="str">
        <f aca="false">IF(B91=1,SUM($B$2:B91),"")</f>
        <v/>
      </c>
      <c r="D91" s="0" t="n">
        <f aca="false">IF(AND(食数記録!$A91=プレビュー!$C$3,食数記録!$B91="昼",食数記録!$F91="男性入所",食数記録!$D91="欠食"),1,0)</f>
        <v>0</v>
      </c>
      <c r="E91" s="0" t="str">
        <f aca="false">IF(D91=1,SUM($D$2:D91),"")</f>
        <v/>
      </c>
      <c r="F91" s="0" t="n">
        <f aca="false">IF(AND(食数記録!$A91=プレビュー!$C$3,食数記録!$B91="夕",食数記録!$F91="男性入所",食数記録!$D91="欠食"),1,0)</f>
        <v>0</v>
      </c>
      <c r="G91" s="0" t="str">
        <f aca="false">IF(F91=1,SUM($F$2:F91),"")</f>
        <v/>
      </c>
      <c r="H91" s="0" t="n">
        <f aca="false">IF(AND(食数記録!$A91=プレビュー!$C$3,食数記録!$B91="朝",食数記録!$F91="女性入所",食数記録!$D91="欠食"),1,0)</f>
        <v>0</v>
      </c>
      <c r="I91" s="0" t="str">
        <f aca="false">IF(H91=1,SUM($H$2:H91),"")</f>
        <v/>
      </c>
      <c r="J91" s="0" t="n">
        <f aca="false">IF(AND(食数記録!$A91=プレビュー!$C$3,食数記録!$B91="昼",食数記録!$F91="女性入所",食数記録!$D91="欠食"),1,0)</f>
        <v>0</v>
      </c>
      <c r="K91" s="0" t="str">
        <f aca="false">IF(J91=1,SUM($J$2:J91),"")</f>
        <v/>
      </c>
      <c r="L91" s="0" t="n">
        <f aca="false">IF(AND(食数記録!$A91=プレビュー!$C$3,食数記録!$B91="夕",食数記録!$F91="女性入所",食数記録!$D91="欠食"),1,0)</f>
        <v>0</v>
      </c>
      <c r="M91" s="0" t="str">
        <f aca="false">IF(L91=1,SUM($L$2:L91),"")</f>
        <v/>
      </c>
      <c r="N91" s="0" t="n">
        <f aca="false">IF(AND(食数記録!$A91=プレビュー!$C$3,食数記録!$B91="朝",食数記録!$F91="男性GH",食数記録!$D91="臨時喫食"),1,0)</f>
        <v>0</v>
      </c>
      <c r="O91" s="0" t="str">
        <f aca="false">IF(N91=1,SUM($N$2:N91),"")</f>
        <v/>
      </c>
      <c r="P91" s="0" t="n">
        <f aca="false">IF(AND(食数記録!$A91=プレビュー!$C$3,食数記録!$B91="昼",食数記録!$F91="男性GH",食数記録!$D91="臨時喫食"),1,0)</f>
        <v>0</v>
      </c>
      <c r="Q91" s="0" t="str">
        <f aca="false">IF(P91=1,SUM($P$2:P91),"")</f>
        <v/>
      </c>
      <c r="R91" s="0" t="n">
        <f aca="false">IF(AND(食数記録!$A91=プレビュー!$C$3,食数記録!$B91="夕",食数記録!$F91="男性GH",食数記録!$D91="臨時喫食"),1,0)</f>
        <v>0</v>
      </c>
      <c r="S91" s="0" t="str">
        <f aca="false">IF(R91=1,SUM($R$2:R91),"")</f>
        <v/>
      </c>
      <c r="T91" s="0" t="n">
        <f aca="false">IF(AND(食数記録!$A91=プレビュー!$C$3,食数記録!$B91="朝",食数記録!$F91="女性GH",食数記録!$D91="臨時喫食"),1,0)</f>
        <v>0</v>
      </c>
      <c r="U91" s="0" t="str">
        <f aca="false">IF(T91=1,SUM($T$2:T91),"")</f>
        <v/>
      </c>
      <c r="V91" s="0" t="n">
        <f aca="false">IF(AND(食数記録!$A91=プレビュー!$C$3,食数記録!$B91="昼",食数記録!$F91="女性GH",食数記録!$D91="臨時喫食"),1,0)</f>
        <v>0</v>
      </c>
      <c r="W91" s="0" t="str">
        <f aca="false">IF(V91=1,SUM($V$2:V91),"")</f>
        <v/>
      </c>
      <c r="X91" s="0" t="n">
        <f aca="false">IF(AND(食数記録!$A91=プレビュー!$C$3,食数記録!$B91="夕",食数記録!$F91="女性GH",食数記録!$D91="臨時喫食"),1,0)</f>
        <v>0</v>
      </c>
      <c r="Y91" s="0" t="str">
        <f aca="false">IF(X91=1,SUM($X$2:X91),"")</f>
        <v/>
      </c>
    </row>
    <row r="92" customFormat="false" ht="15" hidden="false" customHeight="false" outlineLevel="0" collapsed="false">
      <c r="B92" s="0" t="n">
        <f aca="false">IF(AND(食数記録!$A92=プレビュー!$C$3,食数記録!$B92="朝",食数記録!$F92="男性入所",食数記録!$D92="欠食"),1,0)</f>
        <v>0</v>
      </c>
      <c r="C92" s="0" t="str">
        <f aca="false">IF(B92=1,SUM($B$2:B92),"")</f>
        <v/>
      </c>
      <c r="D92" s="0" t="n">
        <f aca="false">IF(AND(食数記録!$A92=プレビュー!$C$3,食数記録!$B92="昼",食数記録!$F92="男性入所",食数記録!$D92="欠食"),1,0)</f>
        <v>0</v>
      </c>
      <c r="E92" s="0" t="str">
        <f aca="false">IF(D92=1,SUM($D$2:D92),"")</f>
        <v/>
      </c>
      <c r="F92" s="0" t="n">
        <f aca="false">IF(AND(食数記録!$A92=プレビュー!$C$3,食数記録!$B92="夕",食数記録!$F92="男性入所",食数記録!$D92="欠食"),1,0)</f>
        <v>0</v>
      </c>
      <c r="G92" s="0" t="str">
        <f aca="false">IF(F92=1,SUM($F$2:F92),"")</f>
        <v/>
      </c>
      <c r="H92" s="0" t="n">
        <f aca="false">IF(AND(食数記録!$A92=プレビュー!$C$3,食数記録!$B92="朝",食数記録!$F92="女性入所",食数記録!$D92="欠食"),1,0)</f>
        <v>0</v>
      </c>
      <c r="I92" s="0" t="str">
        <f aca="false">IF(H92=1,SUM($H$2:H92),"")</f>
        <v/>
      </c>
      <c r="J92" s="0" t="n">
        <f aca="false">IF(AND(食数記録!$A92=プレビュー!$C$3,食数記録!$B92="昼",食数記録!$F92="女性入所",食数記録!$D92="欠食"),1,0)</f>
        <v>0</v>
      </c>
      <c r="K92" s="0" t="str">
        <f aca="false">IF(J92=1,SUM($J$2:J92),"")</f>
        <v/>
      </c>
      <c r="L92" s="0" t="n">
        <f aca="false">IF(AND(食数記録!$A92=プレビュー!$C$3,食数記録!$B92="夕",食数記録!$F92="女性入所",食数記録!$D92="欠食"),1,0)</f>
        <v>0</v>
      </c>
      <c r="M92" s="0" t="str">
        <f aca="false">IF(L92=1,SUM($L$2:L92),"")</f>
        <v/>
      </c>
      <c r="N92" s="0" t="n">
        <f aca="false">IF(AND(食数記録!$A92=プレビュー!$C$3,食数記録!$B92="朝",食数記録!$F92="男性GH",食数記録!$D92="臨時喫食"),1,0)</f>
        <v>0</v>
      </c>
      <c r="O92" s="0" t="str">
        <f aca="false">IF(N92=1,SUM($N$2:N92),"")</f>
        <v/>
      </c>
      <c r="P92" s="0" t="n">
        <f aca="false">IF(AND(食数記録!$A92=プレビュー!$C$3,食数記録!$B92="昼",食数記録!$F92="男性GH",食数記録!$D92="臨時喫食"),1,0)</f>
        <v>0</v>
      </c>
      <c r="Q92" s="0" t="str">
        <f aca="false">IF(P92=1,SUM($P$2:P92),"")</f>
        <v/>
      </c>
      <c r="R92" s="0" t="n">
        <f aca="false">IF(AND(食数記録!$A92=プレビュー!$C$3,食数記録!$B92="夕",食数記録!$F92="男性GH",食数記録!$D92="臨時喫食"),1,0)</f>
        <v>0</v>
      </c>
      <c r="S92" s="0" t="str">
        <f aca="false">IF(R92=1,SUM($R$2:R92),"")</f>
        <v/>
      </c>
      <c r="T92" s="0" t="n">
        <f aca="false">IF(AND(食数記録!$A92=プレビュー!$C$3,食数記録!$B92="朝",食数記録!$F92="女性GH",食数記録!$D92="臨時喫食"),1,0)</f>
        <v>0</v>
      </c>
      <c r="U92" s="0" t="str">
        <f aca="false">IF(T92=1,SUM($T$2:T92),"")</f>
        <v/>
      </c>
      <c r="V92" s="0" t="n">
        <f aca="false">IF(AND(食数記録!$A92=プレビュー!$C$3,食数記録!$B92="昼",食数記録!$F92="女性GH",食数記録!$D92="臨時喫食"),1,0)</f>
        <v>0</v>
      </c>
      <c r="W92" s="0" t="str">
        <f aca="false">IF(V92=1,SUM($V$2:V92),"")</f>
        <v/>
      </c>
      <c r="X92" s="0" t="n">
        <f aca="false">IF(AND(食数記録!$A92=プレビュー!$C$3,食数記録!$B92="夕",食数記録!$F92="女性GH",食数記録!$D92="臨時喫食"),1,0)</f>
        <v>0</v>
      </c>
      <c r="Y92" s="0" t="str">
        <f aca="false">IF(X92=1,SUM($X$2:X92),"")</f>
        <v/>
      </c>
    </row>
    <row r="93" customFormat="false" ht="15" hidden="false" customHeight="false" outlineLevel="0" collapsed="false">
      <c r="B93" s="0" t="n">
        <f aca="false">IF(AND(食数記録!$A93=プレビュー!$C$3,食数記録!$B93="朝",食数記録!$F93="男性入所",食数記録!$D93="欠食"),1,0)</f>
        <v>0</v>
      </c>
      <c r="C93" s="0" t="str">
        <f aca="false">IF(B93=1,SUM($B$2:B93),"")</f>
        <v/>
      </c>
      <c r="D93" s="0" t="n">
        <f aca="false">IF(AND(食数記録!$A93=プレビュー!$C$3,食数記録!$B93="昼",食数記録!$F93="男性入所",食数記録!$D93="欠食"),1,0)</f>
        <v>0</v>
      </c>
      <c r="E93" s="0" t="str">
        <f aca="false">IF(D93=1,SUM($D$2:D93),"")</f>
        <v/>
      </c>
      <c r="F93" s="0" t="n">
        <f aca="false">IF(AND(食数記録!$A93=プレビュー!$C$3,食数記録!$B93="夕",食数記録!$F93="男性入所",食数記録!$D93="欠食"),1,0)</f>
        <v>0</v>
      </c>
      <c r="G93" s="0" t="str">
        <f aca="false">IF(F93=1,SUM($F$2:F93),"")</f>
        <v/>
      </c>
      <c r="H93" s="0" t="n">
        <f aca="false">IF(AND(食数記録!$A93=プレビュー!$C$3,食数記録!$B93="朝",食数記録!$F93="女性入所",食数記録!$D93="欠食"),1,0)</f>
        <v>0</v>
      </c>
      <c r="I93" s="0" t="str">
        <f aca="false">IF(H93=1,SUM($H$2:H93),"")</f>
        <v/>
      </c>
      <c r="J93" s="0" t="n">
        <f aca="false">IF(AND(食数記録!$A93=プレビュー!$C$3,食数記録!$B93="昼",食数記録!$F93="女性入所",食数記録!$D93="欠食"),1,0)</f>
        <v>0</v>
      </c>
      <c r="K93" s="0" t="str">
        <f aca="false">IF(J93=1,SUM($J$2:J93),"")</f>
        <v/>
      </c>
      <c r="L93" s="0" t="n">
        <f aca="false">IF(AND(食数記録!$A93=プレビュー!$C$3,食数記録!$B93="夕",食数記録!$F93="女性入所",食数記録!$D93="欠食"),1,0)</f>
        <v>0</v>
      </c>
      <c r="M93" s="0" t="str">
        <f aca="false">IF(L93=1,SUM($L$2:L93),"")</f>
        <v/>
      </c>
      <c r="N93" s="0" t="n">
        <f aca="false">IF(AND(食数記録!$A93=プレビュー!$C$3,食数記録!$B93="朝",食数記録!$F93="男性GH",食数記録!$D93="臨時喫食"),1,0)</f>
        <v>0</v>
      </c>
      <c r="O93" s="0" t="str">
        <f aca="false">IF(N93=1,SUM($N$2:N93),"")</f>
        <v/>
      </c>
      <c r="P93" s="0" t="n">
        <f aca="false">IF(AND(食数記録!$A93=プレビュー!$C$3,食数記録!$B93="昼",食数記録!$F93="男性GH",食数記録!$D93="臨時喫食"),1,0)</f>
        <v>0</v>
      </c>
      <c r="Q93" s="0" t="str">
        <f aca="false">IF(P93=1,SUM($P$2:P93),"")</f>
        <v/>
      </c>
      <c r="R93" s="0" t="n">
        <f aca="false">IF(AND(食数記録!$A93=プレビュー!$C$3,食数記録!$B93="夕",食数記録!$F93="男性GH",食数記録!$D93="臨時喫食"),1,0)</f>
        <v>0</v>
      </c>
      <c r="S93" s="0" t="str">
        <f aca="false">IF(R93=1,SUM($R$2:R93),"")</f>
        <v/>
      </c>
      <c r="T93" s="0" t="n">
        <f aca="false">IF(AND(食数記録!$A93=プレビュー!$C$3,食数記録!$B93="朝",食数記録!$F93="女性GH",食数記録!$D93="臨時喫食"),1,0)</f>
        <v>0</v>
      </c>
      <c r="U93" s="0" t="str">
        <f aca="false">IF(T93=1,SUM($T$2:T93),"")</f>
        <v/>
      </c>
      <c r="V93" s="0" t="n">
        <f aca="false">IF(AND(食数記録!$A93=プレビュー!$C$3,食数記録!$B93="昼",食数記録!$F93="女性GH",食数記録!$D93="臨時喫食"),1,0)</f>
        <v>0</v>
      </c>
      <c r="W93" s="0" t="str">
        <f aca="false">IF(V93=1,SUM($V$2:V93),"")</f>
        <v/>
      </c>
      <c r="X93" s="0" t="n">
        <f aca="false">IF(AND(食数記録!$A93=プレビュー!$C$3,食数記録!$B93="夕",食数記録!$F93="女性GH",食数記録!$D93="臨時喫食"),1,0)</f>
        <v>0</v>
      </c>
      <c r="Y93" s="0" t="str">
        <f aca="false">IF(X93=1,SUM($X$2:X93),"")</f>
        <v/>
      </c>
    </row>
    <row r="94" customFormat="false" ht="15" hidden="false" customHeight="false" outlineLevel="0" collapsed="false">
      <c r="B94" s="0" t="n">
        <f aca="false">IF(AND(食数記録!$A94=プレビュー!$C$3,食数記録!$B94="朝",食数記録!$F94="男性入所",食数記録!$D94="欠食"),1,0)</f>
        <v>0</v>
      </c>
      <c r="C94" s="0" t="str">
        <f aca="false">IF(B94=1,SUM($B$2:B94),"")</f>
        <v/>
      </c>
      <c r="D94" s="0" t="n">
        <f aca="false">IF(AND(食数記録!$A94=プレビュー!$C$3,食数記録!$B94="昼",食数記録!$F94="男性入所",食数記録!$D94="欠食"),1,0)</f>
        <v>0</v>
      </c>
      <c r="E94" s="0" t="str">
        <f aca="false">IF(D94=1,SUM($D$2:D94),"")</f>
        <v/>
      </c>
      <c r="F94" s="0" t="n">
        <f aca="false">IF(AND(食数記録!$A94=プレビュー!$C$3,食数記録!$B94="夕",食数記録!$F94="男性入所",食数記録!$D94="欠食"),1,0)</f>
        <v>0</v>
      </c>
      <c r="G94" s="0" t="str">
        <f aca="false">IF(F94=1,SUM($F$2:F94),"")</f>
        <v/>
      </c>
      <c r="H94" s="0" t="n">
        <f aca="false">IF(AND(食数記録!$A94=プレビュー!$C$3,食数記録!$B94="朝",食数記録!$F94="女性入所",食数記録!$D94="欠食"),1,0)</f>
        <v>0</v>
      </c>
      <c r="I94" s="0" t="str">
        <f aca="false">IF(H94=1,SUM($H$2:H94),"")</f>
        <v/>
      </c>
      <c r="J94" s="0" t="n">
        <f aca="false">IF(AND(食数記録!$A94=プレビュー!$C$3,食数記録!$B94="昼",食数記録!$F94="女性入所",食数記録!$D94="欠食"),1,0)</f>
        <v>0</v>
      </c>
      <c r="K94" s="0" t="str">
        <f aca="false">IF(J94=1,SUM($J$2:J94),"")</f>
        <v/>
      </c>
      <c r="L94" s="0" t="n">
        <f aca="false">IF(AND(食数記録!$A94=プレビュー!$C$3,食数記録!$B94="夕",食数記録!$F94="女性入所",食数記録!$D94="欠食"),1,0)</f>
        <v>0</v>
      </c>
      <c r="M94" s="0" t="str">
        <f aca="false">IF(L94=1,SUM($L$2:L94),"")</f>
        <v/>
      </c>
      <c r="N94" s="0" t="n">
        <f aca="false">IF(AND(食数記録!$A94=プレビュー!$C$3,食数記録!$B94="朝",食数記録!$F94="男性GH",食数記録!$D94="臨時喫食"),1,0)</f>
        <v>0</v>
      </c>
      <c r="O94" s="0" t="str">
        <f aca="false">IF(N94=1,SUM($N$2:N94),"")</f>
        <v/>
      </c>
      <c r="P94" s="0" t="n">
        <f aca="false">IF(AND(食数記録!$A94=プレビュー!$C$3,食数記録!$B94="昼",食数記録!$F94="男性GH",食数記録!$D94="臨時喫食"),1,0)</f>
        <v>0</v>
      </c>
      <c r="Q94" s="0" t="str">
        <f aca="false">IF(P94=1,SUM($P$2:P94),"")</f>
        <v/>
      </c>
      <c r="R94" s="0" t="n">
        <f aca="false">IF(AND(食数記録!$A94=プレビュー!$C$3,食数記録!$B94="夕",食数記録!$F94="男性GH",食数記録!$D94="臨時喫食"),1,0)</f>
        <v>0</v>
      </c>
      <c r="S94" s="0" t="str">
        <f aca="false">IF(R94=1,SUM($R$2:R94),"")</f>
        <v/>
      </c>
      <c r="T94" s="0" t="n">
        <f aca="false">IF(AND(食数記録!$A94=プレビュー!$C$3,食数記録!$B94="朝",食数記録!$F94="女性GH",食数記録!$D94="臨時喫食"),1,0)</f>
        <v>0</v>
      </c>
      <c r="U94" s="0" t="str">
        <f aca="false">IF(T94=1,SUM($T$2:T94),"")</f>
        <v/>
      </c>
      <c r="V94" s="0" t="n">
        <f aca="false">IF(AND(食数記録!$A94=プレビュー!$C$3,食数記録!$B94="昼",食数記録!$F94="女性GH",食数記録!$D94="臨時喫食"),1,0)</f>
        <v>0</v>
      </c>
      <c r="W94" s="0" t="str">
        <f aca="false">IF(V94=1,SUM($V$2:V94),"")</f>
        <v/>
      </c>
      <c r="X94" s="0" t="n">
        <f aca="false">IF(AND(食数記録!$A94=プレビュー!$C$3,食数記録!$B94="夕",食数記録!$F94="女性GH",食数記録!$D94="臨時喫食"),1,0)</f>
        <v>0</v>
      </c>
      <c r="Y94" s="0" t="str">
        <f aca="false">IF(X94=1,SUM($X$2:X94),"")</f>
        <v/>
      </c>
    </row>
    <row r="95" customFormat="false" ht="15" hidden="false" customHeight="false" outlineLevel="0" collapsed="false">
      <c r="B95" s="0" t="n">
        <f aca="false">IF(AND(食数記録!$A95=プレビュー!$C$3,食数記録!$B95="朝",食数記録!$F95="男性入所",食数記録!$D95="欠食"),1,0)</f>
        <v>0</v>
      </c>
      <c r="C95" s="0" t="str">
        <f aca="false">IF(B95=1,SUM($B$2:B95),"")</f>
        <v/>
      </c>
      <c r="D95" s="0" t="n">
        <f aca="false">IF(AND(食数記録!$A95=プレビュー!$C$3,食数記録!$B95="昼",食数記録!$F95="男性入所",食数記録!$D95="欠食"),1,0)</f>
        <v>0</v>
      </c>
      <c r="E95" s="0" t="str">
        <f aca="false">IF(D95=1,SUM($D$2:D95),"")</f>
        <v/>
      </c>
      <c r="F95" s="0" t="n">
        <f aca="false">IF(AND(食数記録!$A95=プレビュー!$C$3,食数記録!$B95="夕",食数記録!$F95="男性入所",食数記録!$D95="欠食"),1,0)</f>
        <v>0</v>
      </c>
      <c r="G95" s="0" t="str">
        <f aca="false">IF(F95=1,SUM($F$2:F95),"")</f>
        <v/>
      </c>
      <c r="H95" s="0" t="n">
        <f aca="false">IF(AND(食数記録!$A95=プレビュー!$C$3,食数記録!$B95="朝",食数記録!$F95="女性入所",食数記録!$D95="欠食"),1,0)</f>
        <v>0</v>
      </c>
      <c r="I95" s="0" t="str">
        <f aca="false">IF(H95=1,SUM($H$2:H95),"")</f>
        <v/>
      </c>
      <c r="J95" s="0" t="n">
        <f aca="false">IF(AND(食数記録!$A95=プレビュー!$C$3,食数記録!$B95="昼",食数記録!$F95="女性入所",食数記録!$D95="欠食"),1,0)</f>
        <v>0</v>
      </c>
      <c r="K95" s="0" t="str">
        <f aca="false">IF(J95=1,SUM($J$2:J95),"")</f>
        <v/>
      </c>
      <c r="L95" s="0" t="n">
        <f aca="false">IF(AND(食数記録!$A95=プレビュー!$C$3,食数記録!$B95="夕",食数記録!$F95="女性入所",食数記録!$D95="欠食"),1,0)</f>
        <v>0</v>
      </c>
      <c r="M95" s="0" t="str">
        <f aca="false">IF(L95=1,SUM($L$2:L95),"")</f>
        <v/>
      </c>
      <c r="N95" s="0" t="n">
        <f aca="false">IF(AND(食数記録!$A95=プレビュー!$C$3,食数記録!$B95="朝",食数記録!$F95="男性GH",食数記録!$D95="臨時喫食"),1,0)</f>
        <v>0</v>
      </c>
      <c r="O95" s="0" t="str">
        <f aca="false">IF(N95=1,SUM($N$2:N95),"")</f>
        <v/>
      </c>
      <c r="P95" s="0" t="n">
        <f aca="false">IF(AND(食数記録!$A95=プレビュー!$C$3,食数記録!$B95="昼",食数記録!$F95="男性GH",食数記録!$D95="臨時喫食"),1,0)</f>
        <v>0</v>
      </c>
      <c r="Q95" s="0" t="str">
        <f aca="false">IF(P95=1,SUM($P$2:P95),"")</f>
        <v/>
      </c>
      <c r="R95" s="0" t="n">
        <f aca="false">IF(AND(食数記録!$A95=プレビュー!$C$3,食数記録!$B95="夕",食数記録!$F95="男性GH",食数記録!$D95="臨時喫食"),1,0)</f>
        <v>0</v>
      </c>
      <c r="S95" s="0" t="str">
        <f aca="false">IF(R95=1,SUM($R$2:R95),"")</f>
        <v/>
      </c>
      <c r="T95" s="0" t="n">
        <f aca="false">IF(AND(食数記録!$A95=プレビュー!$C$3,食数記録!$B95="朝",食数記録!$F95="女性GH",食数記録!$D95="臨時喫食"),1,0)</f>
        <v>0</v>
      </c>
      <c r="U95" s="0" t="str">
        <f aca="false">IF(T95=1,SUM($T$2:T95),"")</f>
        <v/>
      </c>
      <c r="V95" s="0" t="n">
        <f aca="false">IF(AND(食数記録!$A95=プレビュー!$C$3,食数記録!$B95="昼",食数記録!$F95="女性GH",食数記録!$D95="臨時喫食"),1,0)</f>
        <v>0</v>
      </c>
      <c r="W95" s="0" t="str">
        <f aca="false">IF(V95=1,SUM($V$2:V95),"")</f>
        <v/>
      </c>
      <c r="X95" s="0" t="n">
        <f aca="false">IF(AND(食数記録!$A95=プレビュー!$C$3,食数記録!$B95="夕",食数記録!$F95="女性GH",食数記録!$D95="臨時喫食"),1,0)</f>
        <v>0</v>
      </c>
      <c r="Y95" s="0" t="str">
        <f aca="false">IF(X95=1,SUM($X$2:X95),"")</f>
        <v/>
      </c>
    </row>
    <row r="96" customFormat="false" ht="15" hidden="false" customHeight="false" outlineLevel="0" collapsed="false">
      <c r="B96" s="0" t="n">
        <f aca="false">IF(AND(食数記録!$A96=プレビュー!$C$3,食数記録!$B96="朝",食数記録!$F96="男性入所",食数記録!$D96="欠食"),1,0)</f>
        <v>0</v>
      </c>
      <c r="C96" s="0" t="str">
        <f aca="false">IF(B96=1,SUM($B$2:B96),"")</f>
        <v/>
      </c>
      <c r="D96" s="0" t="n">
        <f aca="false">IF(AND(食数記録!$A96=プレビュー!$C$3,食数記録!$B96="昼",食数記録!$F96="男性入所",食数記録!$D96="欠食"),1,0)</f>
        <v>0</v>
      </c>
      <c r="E96" s="0" t="str">
        <f aca="false">IF(D96=1,SUM($D$2:D96),"")</f>
        <v/>
      </c>
      <c r="F96" s="0" t="n">
        <f aca="false">IF(AND(食数記録!$A96=プレビュー!$C$3,食数記録!$B96="夕",食数記録!$F96="男性入所",食数記録!$D96="欠食"),1,0)</f>
        <v>0</v>
      </c>
      <c r="G96" s="0" t="str">
        <f aca="false">IF(F96=1,SUM($F$2:F96),"")</f>
        <v/>
      </c>
      <c r="H96" s="0" t="n">
        <f aca="false">IF(AND(食数記録!$A96=プレビュー!$C$3,食数記録!$B96="朝",食数記録!$F96="女性入所",食数記録!$D96="欠食"),1,0)</f>
        <v>0</v>
      </c>
      <c r="I96" s="0" t="str">
        <f aca="false">IF(H96=1,SUM($H$2:H96),"")</f>
        <v/>
      </c>
      <c r="J96" s="0" t="n">
        <f aca="false">IF(AND(食数記録!$A96=プレビュー!$C$3,食数記録!$B96="昼",食数記録!$F96="女性入所",食数記録!$D96="欠食"),1,0)</f>
        <v>0</v>
      </c>
      <c r="K96" s="0" t="str">
        <f aca="false">IF(J96=1,SUM($J$2:J96),"")</f>
        <v/>
      </c>
      <c r="L96" s="0" t="n">
        <f aca="false">IF(AND(食数記録!$A96=プレビュー!$C$3,食数記録!$B96="夕",食数記録!$F96="女性入所",食数記録!$D96="欠食"),1,0)</f>
        <v>0</v>
      </c>
      <c r="M96" s="0" t="str">
        <f aca="false">IF(L96=1,SUM($L$2:L96),"")</f>
        <v/>
      </c>
      <c r="N96" s="0" t="n">
        <f aca="false">IF(AND(食数記録!$A96=プレビュー!$C$3,食数記録!$B96="朝",食数記録!$F96="男性GH",食数記録!$D96="臨時喫食"),1,0)</f>
        <v>0</v>
      </c>
      <c r="O96" s="0" t="str">
        <f aca="false">IF(N96=1,SUM($N$2:N96),"")</f>
        <v/>
      </c>
      <c r="P96" s="0" t="n">
        <f aca="false">IF(AND(食数記録!$A96=プレビュー!$C$3,食数記録!$B96="昼",食数記録!$F96="男性GH",食数記録!$D96="臨時喫食"),1,0)</f>
        <v>0</v>
      </c>
      <c r="Q96" s="0" t="str">
        <f aca="false">IF(P96=1,SUM($P$2:P96),"")</f>
        <v/>
      </c>
      <c r="R96" s="0" t="n">
        <f aca="false">IF(AND(食数記録!$A96=プレビュー!$C$3,食数記録!$B96="夕",食数記録!$F96="男性GH",食数記録!$D96="臨時喫食"),1,0)</f>
        <v>0</v>
      </c>
      <c r="S96" s="0" t="str">
        <f aca="false">IF(R96=1,SUM($R$2:R96),"")</f>
        <v/>
      </c>
      <c r="T96" s="0" t="n">
        <f aca="false">IF(AND(食数記録!$A96=プレビュー!$C$3,食数記録!$B96="朝",食数記録!$F96="女性GH",食数記録!$D96="臨時喫食"),1,0)</f>
        <v>0</v>
      </c>
      <c r="U96" s="0" t="str">
        <f aca="false">IF(T96=1,SUM($T$2:T96),"")</f>
        <v/>
      </c>
      <c r="V96" s="0" t="n">
        <f aca="false">IF(AND(食数記録!$A96=プレビュー!$C$3,食数記録!$B96="昼",食数記録!$F96="女性GH",食数記録!$D96="臨時喫食"),1,0)</f>
        <v>0</v>
      </c>
      <c r="W96" s="0" t="str">
        <f aca="false">IF(V96=1,SUM($V$2:V96),"")</f>
        <v/>
      </c>
      <c r="X96" s="0" t="n">
        <f aca="false">IF(AND(食数記録!$A96=プレビュー!$C$3,食数記録!$B96="夕",食数記録!$F96="女性GH",食数記録!$D96="臨時喫食"),1,0)</f>
        <v>0</v>
      </c>
      <c r="Y96" s="0" t="str">
        <f aca="false">IF(X96=1,SUM($X$2:X96),"")</f>
        <v/>
      </c>
    </row>
    <row r="97" customFormat="false" ht="15" hidden="false" customHeight="false" outlineLevel="0" collapsed="false">
      <c r="B97" s="0" t="n">
        <f aca="false">IF(AND(食数記録!$A97=プレビュー!$C$3,食数記録!$B97="朝",食数記録!$F97="男性入所",食数記録!$D97="欠食"),1,0)</f>
        <v>0</v>
      </c>
      <c r="C97" s="0" t="str">
        <f aca="false">IF(B97=1,SUM($B$2:B97),"")</f>
        <v/>
      </c>
      <c r="D97" s="0" t="n">
        <f aca="false">IF(AND(食数記録!$A97=プレビュー!$C$3,食数記録!$B97="昼",食数記録!$F97="男性入所",食数記録!$D97="欠食"),1,0)</f>
        <v>0</v>
      </c>
      <c r="E97" s="0" t="str">
        <f aca="false">IF(D97=1,SUM($D$2:D97),"")</f>
        <v/>
      </c>
      <c r="F97" s="0" t="n">
        <f aca="false">IF(AND(食数記録!$A97=プレビュー!$C$3,食数記録!$B97="夕",食数記録!$F97="男性入所",食数記録!$D97="欠食"),1,0)</f>
        <v>0</v>
      </c>
      <c r="G97" s="0" t="str">
        <f aca="false">IF(F97=1,SUM($F$2:F97),"")</f>
        <v/>
      </c>
      <c r="H97" s="0" t="n">
        <f aca="false">IF(AND(食数記録!$A97=プレビュー!$C$3,食数記録!$B97="朝",食数記録!$F97="女性入所",食数記録!$D97="欠食"),1,0)</f>
        <v>0</v>
      </c>
      <c r="I97" s="0" t="str">
        <f aca="false">IF(H97=1,SUM($H$2:H97),"")</f>
        <v/>
      </c>
      <c r="J97" s="0" t="n">
        <f aca="false">IF(AND(食数記録!$A97=プレビュー!$C$3,食数記録!$B97="昼",食数記録!$F97="女性入所",食数記録!$D97="欠食"),1,0)</f>
        <v>0</v>
      </c>
      <c r="K97" s="0" t="str">
        <f aca="false">IF(J97=1,SUM($J$2:J97),"")</f>
        <v/>
      </c>
      <c r="L97" s="0" t="n">
        <f aca="false">IF(AND(食数記録!$A97=プレビュー!$C$3,食数記録!$B97="夕",食数記録!$F97="女性入所",食数記録!$D97="欠食"),1,0)</f>
        <v>0</v>
      </c>
      <c r="M97" s="0" t="str">
        <f aca="false">IF(L97=1,SUM($L$2:L97),"")</f>
        <v/>
      </c>
      <c r="N97" s="0" t="n">
        <f aca="false">IF(AND(食数記録!$A97=プレビュー!$C$3,食数記録!$B97="朝",食数記録!$F97="男性GH",食数記録!$D97="臨時喫食"),1,0)</f>
        <v>0</v>
      </c>
      <c r="O97" s="0" t="str">
        <f aca="false">IF(N97=1,SUM($N$2:N97),"")</f>
        <v/>
      </c>
      <c r="P97" s="0" t="n">
        <f aca="false">IF(AND(食数記録!$A97=プレビュー!$C$3,食数記録!$B97="昼",食数記録!$F97="男性GH",食数記録!$D97="臨時喫食"),1,0)</f>
        <v>0</v>
      </c>
      <c r="Q97" s="0" t="str">
        <f aca="false">IF(P97=1,SUM($P$2:P97),"")</f>
        <v/>
      </c>
      <c r="R97" s="0" t="n">
        <f aca="false">IF(AND(食数記録!$A97=プレビュー!$C$3,食数記録!$B97="夕",食数記録!$F97="男性GH",食数記録!$D97="臨時喫食"),1,0)</f>
        <v>0</v>
      </c>
      <c r="S97" s="0" t="str">
        <f aca="false">IF(R97=1,SUM($R$2:R97),"")</f>
        <v/>
      </c>
      <c r="T97" s="0" t="n">
        <f aca="false">IF(AND(食数記録!$A97=プレビュー!$C$3,食数記録!$B97="朝",食数記録!$F97="女性GH",食数記録!$D97="臨時喫食"),1,0)</f>
        <v>0</v>
      </c>
      <c r="U97" s="0" t="str">
        <f aca="false">IF(T97=1,SUM($T$2:T97),"")</f>
        <v/>
      </c>
      <c r="V97" s="0" t="n">
        <f aca="false">IF(AND(食数記録!$A97=プレビュー!$C$3,食数記録!$B97="昼",食数記録!$F97="女性GH",食数記録!$D97="臨時喫食"),1,0)</f>
        <v>0</v>
      </c>
      <c r="W97" s="0" t="str">
        <f aca="false">IF(V97=1,SUM($V$2:V97),"")</f>
        <v/>
      </c>
      <c r="X97" s="0" t="n">
        <f aca="false">IF(AND(食数記録!$A97=プレビュー!$C$3,食数記録!$B97="夕",食数記録!$F97="女性GH",食数記録!$D97="臨時喫食"),1,0)</f>
        <v>0</v>
      </c>
      <c r="Y97" s="0" t="str">
        <f aca="false">IF(X97=1,SUM($X$2:X97),"")</f>
        <v/>
      </c>
    </row>
    <row r="98" customFormat="false" ht="15" hidden="false" customHeight="false" outlineLevel="0" collapsed="false">
      <c r="B98" s="0" t="n">
        <f aca="false">IF(AND(食数記録!$A98=プレビュー!$C$3,食数記録!$B98="朝",食数記録!$F98="男性入所",食数記録!$D98="欠食"),1,0)</f>
        <v>0</v>
      </c>
      <c r="C98" s="0" t="str">
        <f aca="false">IF(B98=1,SUM($B$2:B98),"")</f>
        <v/>
      </c>
      <c r="D98" s="0" t="n">
        <f aca="false">IF(AND(食数記録!$A98=プレビュー!$C$3,食数記録!$B98="昼",食数記録!$F98="男性入所",食数記録!$D98="欠食"),1,0)</f>
        <v>0</v>
      </c>
      <c r="E98" s="0" t="str">
        <f aca="false">IF(D98=1,SUM($D$2:D98),"")</f>
        <v/>
      </c>
      <c r="F98" s="0" t="n">
        <f aca="false">IF(AND(食数記録!$A98=プレビュー!$C$3,食数記録!$B98="夕",食数記録!$F98="男性入所",食数記録!$D98="欠食"),1,0)</f>
        <v>0</v>
      </c>
      <c r="G98" s="0" t="str">
        <f aca="false">IF(F98=1,SUM($F$2:F98),"")</f>
        <v/>
      </c>
      <c r="H98" s="0" t="n">
        <f aca="false">IF(AND(食数記録!$A98=プレビュー!$C$3,食数記録!$B98="朝",食数記録!$F98="女性入所",食数記録!$D98="欠食"),1,0)</f>
        <v>0</v>
      </c>
      <c r="I98" s="0" t="str">
        <f aca="false">IF(H98=1,SUM($H$2:H98),"")</f>
        <v/>
      </c>
      <c r="J98" s="0" t="n">
        <f aca="false">IF(AND(食数記録!$A98=プレビュー!$C$3,食数記録!$B98="昼",食数記録!$F98="女性入所",食数記録!$D98="欠食"),1,0)</f>
        <v>0</v>
      </c>
      <c r="K98" s="0" t="str">
        <f aca="false">IF(J98=1,SUM($J$2:J98),"")</f>
        <v/>
      </c>
      <c r="L98" s="0" t="n">
        <f aca="false">IF(AND(食数記録!$A98=プレビュー!$C$3,食数記録!$B98="夕",食数記録!$F98="女性入所",食数記録!$D98="欠食"),1,0)</f>
        <v>0</v>
      </c>
      <c r="M98" s="0" t="str">
        <f aca="false">IF(L98=1,SUM($L$2:L98),"")</f>
        <v/>
      </c>
      <c r="N98" s="0" t="n">
        <f aca="false">IF(AND(食数記録!$A98=プレビュー!$C$3,食数記録!$B98="朝",食数記録!$F98="男性GH",食数記録!$D98="臨時喫食"),1,0)</f>
        <v>0</v>
      </c>
      <c r="O98" s="0" t="str">
        <f aca="false">IF(N98=1,SUM($N$2:N98),"")</f>
        <v/>
      </c>
      <c r="P98" s="0" t="n">
        <f aca="false">IF(AND(食数記録!$A98=プレビュー!$C$3,食数記録!$B98="昼",食数記録!$F98="男性GH",食数記録!$D98="臨時喫食"),1,0)</f>
        <v>0</v>
      </c>
      <c r="Q98" s="0" t="str">
        <f aca="false">IF(P98=1,SUM($P$2:P98),"")</f>
        <v/>
      </c>
      <c r="R98" s="0" t="n">
        <f aca="false">IF(AND(食数記録!$A98=プレビュー!$C$3,食数記録!$B98="夕",食数記録!$F98="男性GH",食数記録!$D98="臨時喫食"),1,0)</f>
        <v>0</v>
      </c>
      <c r="S98" s="0" t="str">
        <f aca="false">IF(R98=1,SUM($R$2:R98),"")</f>
        <v/>
      </c>
      <c r="T98" s="0" t="n">
        <f aca="false">IF(AND(食数記録!$A98=プレビュー!$C$3,食数記録!$B98="朝",食数記録!$F98="女性GH",食数記録!$D98="臨時喫食"),1,0)</f>
        <v>0</v>
      </c>
      <c r="U98" s="0" t="str">
        <f aca="false">IF(T98=1,SUM($T$2:T98),"")</f>
        <v/>
      </c>
      <c r="V98" s="0" t="n">
        <f aca="false">IF(AND(食数記録!$A98=プレビュー!$C$3,食数記録!$B98="昼",食数記録!$F98="女性GH",食数記録!$D98="臨時喫食"),1,0)</f>
        <v>0</v>
      </c>
      <c r="W98" s="0" t="str">
        <f aca="false">IF(V98=1,SUM($V$2:V98),"")</f>
        <v/>
      </c>
      <c r="X98" s="0" t="n">
        <f aca="false">IF(AND(食数記録!$A98=プレビュー!$C$3,食数記録!$B98="夕",食数記録!$F98="女性GH",食数記録!$D98="臨時喫食"),1,0)</f>
        <v>0</v>
      </c>
      <c r="Y98" s="0" t="str">
        <f aca="false">IF(X98=1,SUM($X$2:X98),"")</f>
        <v/>
      </c>
    </row>
    <row r="99" customFormat="false" ht="15" hidden="false" customHeight="false" outlineLevel="0" collapsed="false">
      <c r="B99" s="0" t="n">
        <f aca="false">IF(AND(食数記録!$A99=プレビュー!$C$3,食数記録!$B99="朝",食数記録!$F99="男性入所",食数記録!$D99="欠食"),1,0)</f>
        <v>0</v>
      </c>
      <c r="C99" s="0" t="str">
        <f aca="false">IF(B99=1,SUM($B$2:B99),"")</f>
        <v/>
      </c>
      <c r="D99" s="0" t="n">
        <f aca="false">IF(AND(食数記録!$A99=プレビュー!$C$3,食数記録!$B99="昼",食数記録!$F99="男性入所",食数記録!$D99="欠食"),1,0)</f>
        <v>0</v>
      </c>
      <c r="E99" s="0" t="str">
        <f aca="false">IF(D99=1,SUM($D$2:D99),"")</f>
        <v/>
      </c>
      <c r="F99" s="0" t="n">
        <f aca="false">IF(AND(食数記録!$A99=プレビュー!$C$3,食数記録!$B99="夕",食数記録!$F99="男性入所",食数記録!$D99="欠食"),1,0)</f>
        <v>0</v>
      </c>
      <c r="G99" s="0" t="str">
        <f aca="false">IF(F99=1,SUM($F$2:F99),"")</f>
        <v/>
      </c>
      <c r="H99" s="0" t="n">
        <f aca="false">IF(AND(食数記録!$A99=プレビュー!$C$3,食数記録!$B99="朝",食数記録!$F99="女性入所",食数記録!$D99="欠食"),1,0)</f>
        <v>0</v>
      </c>
      <c r="I99" s="0" t="str">
        <f aca="false">IF(H99=1,SUM($H$2:H99),"")</f>
        <v/>
      </c>
      <c r="J99" s="0" t="n">
        <f aca="false">IF(AND(食数記録!$A99=プレビュー!$C$3,食数記録!$B99="昼",食数記録!$F99="女性入所",食数記録!$D99="欠食"),1,0)</f>
        <v>0</v>
      </c>
      <c r="K99" s="0" t="str">
        <f aca="false">IF(J99=1,SUM($J$2:J99),"")</f>
        <v/>
      </c>
      <c r="L99" s="0" t="n">
        <f aca="false">IF(AND(食数記録!$A99=プレビュー!$C$3,食数記録!$B99="夕",食数記録!$F99="女性入所",食数記録!$D99="欠食"),1,0)</f>
        <v>0</v>
      </c>
      <c r="M99" s="0" t="str">
        <f aca="false">IF(L99=1,SUM($L$2:L99),"")</f>
        <v/>
      </c>
      <c r="N99" s="0" t="n">
        <f aca="false">IF(AND(食数記録!$A99=プレビュー!$C$3,食数記録!$B99="朝",食数記録!$F99="男性GH",食数記録!$D99="臨時喫食"),1,0)</f>
        <v>0</v>
      </c>
      <c r="O99" s="0" t="str">
        <f aca="false">IF(N99=1,SUM($N$2:N99),"")</f>
        <v/>
      </c>
      <c r="P99" s="0" t="n">
        <f aca="false">IF(AND(食数記録!$A99=プレビュー!$C$3,食数記録!$B99="昼",食数記録!$F99="男性GH",食数記録!$D99="臨時喫食"),1,0)</f>
        <v>0</v>
      </c>
      <c r="Q99" s="0" t="str">
        <f aca="false">IF(P99=1,SUM($P$2:P99),"")</f>
        <v/>
      </c>
      <c r="R99" s="0" t="n">
        <f aca="false">IF(AND(食数記録!$A99=プレビュー!$C$3,食数記録!$B99="夕",食数記録!$F99="男性GH",食数記録!$D99="臨時喫食"),1,0)</f>
        <v>0</v>
      </c>
      <c r="S99" s="0" t="str">
        <f aca="false">IF(R99=1,SUM($R$2:R99),"")</f>
        <v/>
      </c>
      <c r="T99" s="0" t="n">
        <f aca="false">IF(AND(食数記録!$A99=プレビュー!$C$3,食数記録!$B99="朝",食数記録!$F99="女性GH",食数記録!$D99="臨時喫食"),1,0)</f>
        <v>0</v>
      </c>
      <c r="U99" s="0" t="str">
        <f aca="false">IF(T99=1,SUM($T$2:T99),"")</f>
        <v/>
      </c>
      <c r="V99" s="0" t="n">
        <f aca="false">IF(AND(食数記録!$A99=プレビュー!$C$3,食数記録!$B99="昼",食数記録!$F99="女性GH",食数記録!$D99="臨時喫食"),1,0)</f>
        <v>0</v>
      </c>
      <c r="W99" s="0" t="str">
        <f aca="false">IF(V99=1,SUM($V$2:V99),"")</f>
        <v/>
      </c>
      <c r="X99" s="0" t="n">
        <f aca="false">IF(AND(食数記録!$A99=プレビュー!$C$3,食数記録!$B99="夕",食数記録!$F99="女性GH",食数記録!$D99="臨時喫食"),1,0)</f>
        <v>0</v>
      </c>
      <c r="Y99" s="0" t="str">
        <f aca="false">IF(X99=1,SUM($X$2:X99),"")</f>
        <v/>
      </c>
    </row>
    <row r="100" customFormat="false" ht="15" hidden="false" customHeight="false" outlineLevel="0" collapsed="false">
      <c r="B100" s="0" t="n">
        <f aca="false">IF(AND(食数記録!$A100=プレビュー!$C$3,食数記録!$B100="朝",食数記録!$F100="男性入所",食数記録!$D100="欠食"),1,0)</f>
        <v>0</v>
      </c>
      <c r="C100" s="0" t="str">
        <f aca="false">IF(B100=1,SUM($B$2:B100),"")</f>
        <v/>
      </c>
      <c r="D100" s="0" t="n">
        <f aca="false">IF(AND(食数記録!$A100=プレビュー!$C$3,食数記録!$B100="昼",食数記録!$F100="男性入所",食数記録!$D100="欠食"),1,0)</f>
        <v>0</v>
      </c>
      <c r="E100" s="0" t="str">
        <f aca="false">IF(D100=1,SUM($D$2:D100),"")</f>
        <v/>
      </c>
      <c r="F100" s="0" t="n">
        <f aca="false">IF(AND(食数記録!$A100=プレビュー!$C$3,食数記録!$B100="夕",食数記録!$F100="男性入所",食数記録!$D100="欠食"),1,0)</f>
        <v>0</v>
      </c>
      <c r="G100" s="0" t="str">
        <f aca="false">IF(F100=1,SUM($F$2:F100),"")</f>
        <v/>
      </c>
      <c r="H100" s="0" t="n">
        <f aca="false">IF(AND(食数記録!$A100=プレビュー!$C$3,食数記録!$B100="朝",食数記録!$F100="女性入所",食数記録!$D100="欠食"),1,0)</f>
        <v>0</v>
      </c>
      <c r="I100" s="0" t="str">
        <f aca="false">IF(H100=1,SUM($H$2:H100),"")</f>
        <v/>
      </c>
      <c r="J100" s="0" t="n">
        <f aca="false">IF(AND(食数記録!$A100=プレビュー!$C$3,食数記録!$B100="昼",食数記録!$F100="女性入所",食数記録!$D100="欠食"),1,0)</f>
        <v>0</v>
      </c>
      <c r="K100" s="0" t="str">
        <f aca="false">IF(J100=1,SUM($J$2:J100),"")</f>
        <v/>
      </c>
      <c r="L100" s="0" t="n">
        <f aca="false">IF(AND(食数記録!$A100=プレビュー!$C$3,食数記録!$B100="夕",食数記録!$F100="女性入所",食数記録!$D100="欠食"),1,0)</f>
        <v>0</v>
      </c>
      <c r="M100" s="0" t="str">
        <f aca="false">IF(L100=1,SUM($L$2:L100),"")</f>
        <v/>
      </c>
      <c r="N100" s="0" t="n">
        <f aca="false">IF(AND(食数記録!$A100=プレビュー!$C$3,食数記録!$B100="朝",食数記録!$F100="男性GH",食数記録!$D100="臨時喫食"),1,0)</f>
        <v>0</v>
      </c>
      <c r="O100" s="0" t="str">
        <f aca="false">IF(N100=1,SUM($N$2:N100),"")</f>
        <v/>
      </c>
      <c r="P100" s="0" t="n">
        <f aca="false">IF(AND(食数記録!$A100=プレビュー!$C$3,食数記録!$B100="昼",食数記録!$F100="男性GH",食数記録!$D100="臨時喫食"),1,0)</f>
        <v>0</v>
      </c>
      <c r="Q100" s="0" t="str">
        <f aca="false">IF(P100=1,SUM($P$2:P100),"")</f>
        <v/>
      </c>
      <c r="R100" s="0" t="n">
        <f aca="false">IF(AND(食数記録!$A100=プレビュー!$C$3,食数記録!$B100="夕",食数記録!$F100="男性GH",食数記録!$D100="臨時喫食"),1,0)</f>
        <v>0</v>
      </c>
      <c r="S100" s="0" t="str">
        <f aca="false">IF(R100=1,SUM($R$2:R100),"")</f>
        <v/>
      </c>
      <c r="T100" s="0" t="n">
        <f aca="false">IF(AND(食数記録!$A100=プレビュー!$C$3,食数記録!$B100="朝",食数記録!$F100="女性GH",食数記録!$D100="臨時喫食"),1,0)</f>
        <v>0</v>
      </c>
      <c r="U100" s="0" t="str">
        <f aca="false">IF(T100=1,SUM($T$2:T100),"")</f>
        <v/>
      </c>
      <c r="V100" s="0" t="n">
        <f aca="false">IF(AND(食数記録!$A100=プレビュー!$C$3,食数記録!$B100="昼",食数記録!$F100="女性GH",食数記録!$D100="臨時喫食"),1,0)</f>
        <v>0</v>
      </c>
      <c r="W100" s="0" t="str">
        <f aca="false">IF(V100=1,SUM($V$2:V100),"")</f>
        <v/>
      </c>
      <c r="X100" s="0" t="n">
        <f aca="false">IF(AND(食数記録!$A100=プレビュー!$C$3,食数記録!$B100="夕",食数記録!$F100="女性GH",食数記録!$D100="臨時喫食"),1,0)</f>
        <v>0</v>
      </c>
      <c r="Y100" s="0" t="str">
        <f aca="false">IF(X100=1,SUM($X$2:X100),"")</f>
        <v/>
      </c>
    </row>
    <row r="101" customFormat="false" ht="15" hidden="false" customHeight="false" outlineLevel="0" collapsed="false">
      <c r="B101" s="0" t="n">
        <f aca="false">IF(AND(食数記録!$A101=プレビュー!$C$3,食数記録!$B101="朝",食数記録!$F101="男性入所",食数記録!$D101="欠食"),1,0)</f>
        <v>0</v>
      </c>
      <c r="C101" s="0" t="str">
        <f aca="false">IF(B101=1,SUM($B$2:B101),"")</f>
        <v/>
      </c>
      <c r="D101" s="0" t="n">
        <f aca="false">IF(AND(食数記録!$A101=プレビュー!$C$3,食数記録!$B101="昼",食数記録!$F101="男性入所",食数記録!$D101="欠食"),1,0)</f>
        <v>0</v>
      </c>
      <c r="E101" s="0" t="str">
        <f aca="false">IF(D101=1,SUM($D$2:D101),"")</f>
        <v/>
      </c>
      <c r="F101" s="0" t="n">
        <f aca="false">IF(AND(食数記録!$A101=プレビュー!$C$3,食数記録!$B101="夕",食数記録!$F101="男性入所",食数記録!$D101="欠食"),1,0)</f>
        <v>0</v>
      </c>
      <c r="G101" s="0" t="str">
        <f aca="false">IF(F101=1,SUM($F$2:F101),"")</f>
        <v/>
      </c>
      <c r="H101" s="0" t="n">
        <f aca="false">IF(AND(食数記録!$A101=プレビュー!$C$3,食数記録!$B101="朝",食数記録!$F101="女性入所",食数記録!$D101="欠食"),1,0)</f>
        <v>0</v>
      </c>
      <c r="I101" s="0" t="str">
        <f aca="false">IF(H101=1,SUM($H$2:H101),"")</f>
        <v/>
      </c>
      <c r="J101" s="0" t="n">
        <f aca="false">IF(AND(食数記録!$A101=プレビュー!$C$3,食数記録!$B101="昼",食数記録!$F101="女性入所",食数記録!$D101="欠食"),1,0)</f>
        <v>0</v>
      </c>
      <c r="K101" s="0" t="str">
        <f aca="false">IF(J101=1,SUM($J$2:J101),"")</f>
        <v/>
      </c>
      <c r="L101" s="0" t="n">
        <f aca="false">IF(AND(食数記録!$A101=プレビュー!$C$3,食数記録!$B101="夕",食数記録!$F101="女性入所",食数記録!$D101="欠食"),1,0)</f>
        <v>0</v>
      </c>
      <c r="M101" s="0" t="str">
        <f aca="false">IF(L101=1,SUM($L$2:L101),"")</f>
        <v/>
      </c>
      <c r="N101" s="0" t="n">
        <f aca="false">IF(AND(食数記録!$A101=プレビュー!$C$3,食数記録!$B101="朝",食数記録!$F101="男性GH",食数記録!$D101="臨時喫食"),1,0)</f>
        <v>0</v>
      </c>
      <c r="O101" s="0" t="str">
        <f aca="false">IF(N101=1,SUM($N$2:N101),"")</f>
        <v/>
      </c>
      <c r="P101" s="0" t="n">
        <f aca="false">IF(AND(食数記録!$A101=プレビュー!$C$3,食数記録!$B101="昼",食数記録!$F101="男性GH",食数記録!$D101="臨時喫食"),1,0)</f>
        <v>0</v>
      </c>
      <c r="Q101" s="0" t="str">
        <f aca="false">IF(P101=1,SUM($P$2:P101),"")</f>
        <v/>
      </c>
      <c r="R101" s="0" t="n">
        <f aca="false">IF(AND(食数記録!$A101=プレビュー!$C$3,食数記録!$B101="夕",食数記録!$F101="男性GH",食数記録!$D101="臨時喫食"),1,0)</f>
        <v>0</v>
      </c>
      <c r="S101" s="0" t="str">
        <f aca="false">IF(R101=1,SUM($R$2:R101),"")</f>
        <v/>
      </c>
      <c r="T101" s="0" t="n">
        <f aca="false">IF(AND(食数記録!$A101=プレビュー!$C$3,食数記録!$B101="朝",食数記録!$F101="女性GH",食数記録!$D101="臨時喫食"),1,0)</f>
        <v>0</v>
      </c>
      <c r="U101" s="0" t="str">
        <f aca="false">IF(T101=1,SUM($T$2:T101),"")</f>
        <v/>
      </c>
      <c r="V101" s="0" t="n">
        <f aca="false">IF(AND(食数記録!$A101=プレビュー!$C$3,食数記録!$B101="昼",食数記録!$F101="女性GH",食数記録!$D101="臨時喫食"),1,0)</f>
        <v>0</v>
      </c>
      <c r="W101" s="0" t="str">
        <f aca="false">IF(V101=1,SUM($V$2:V101),"")</f>
        <v/>
      </c>
      <c r="X101" s="0" t="n">
        <f aca="false">IF(AND(食数記録!$A101=プレビュー!$C$3,食数記録!$B101="夕",食数記録!$F101="女性GH",食数記録!$D101="臨時喫食"),1,0)</f>
        <v>0</v>
      </c>
      <c r="Y101" s="0" t="str">
        <f aca="false">IF(X101=1,SUM($X$2:X101),"")</f>
        <v/>
      </c>
    </row>
    <row r="102" customFormat="false" ht="15" hidden="false" customHeight="false" outlineLevel="0" collapsed="false">
      <c r="B102" s="0" t="n">
        <f aca="false">IF(AND(食数記録!$A102=プレビュー!$C$3,食数記録!$B102="朝",食数記録!$F102="男性入所",食数記録!$D102="欠食"),1,0)</f>
        <v>0</v>
      </c>
      <c r="C102" s="0" t="str">
        <f aca="false">IF(B102=1,SUM($B$2:B102),"")</f>
        <v/>
      </c>
      <c r="D102" s="0" t="n">
        <f aca="false">IF(AND(食数記録!$A102=プレビュー!$C$3,食数記録!$B102="昼",食数記録!$F102="男性入所",食数記録!$D102="欠食"),1,0)</f>
        <v>0</v>
      </c>
      <c r="E102" s="0" t="str">
        <f aca="false">IF(D102=1,SUM($D$2:D102),"")</f>
        <v/>
      </c>
      <c r="F102" s="0" t="n">
        <f aca="false">IF(AND(食数記録!$A102=プレビュー!$C$3,食数記録!$B102="夕",食数記録!$F102="男性入所",食数記録!$D102="欠食"),1,0)</f>
        <v>0</v>
      </c>
      <c r="G102" s="0" t="str">
        <f aca="false">IF(F102=1,SUM($F$2:F102),"")</f>
        <v/>
      </c>
      <c r="H102" s="0" t="n">
        <f aca="false">IF(AND(食数記録!$A102=プレビュー!$C$3,食数記録!$B102="朝",食数記録!$F102="女性入所",食数記録!$D102="欠食"),1,0)</f>
        <v>0</v>
      </c>
      <c r="I102" s="0" t="str">
        <f aca="false">IF(H102=1,SUM($H$2:H102),"")</f>
        <v/>
      </c>
      <c r="J102" s="0" t="n">
        <f aca="false">IF(AND(食数記録!$A102=プレビュー!$C$3,食数記録!$B102="昼",食数記録!$F102="女性入所",食数記録!$D102="欠食"),1,0)</f>
        <v>0</v>
      </c>
      <c r="K102" s="0" t="str">
        <f aca="false">IF(J102=1,SUM($J$2:J102),"")</f>
        <v/>
      </c>
      <c r="L102" s="0" t="n">
        <f aca="false">IF(AND(食数記録!$A102=プレビュー!$C$3,食数記録!$B102="夕",食数記録!$F102="女性入所",食数記録!$D102="欠食"),1,0)</f>
        <v>0</v>
      </c>
      <c r="M102" s="0" t="str">
        <f aca="false">IF(L102=1,SUM($L$2:L102),"")</f>
        <v/>
      </c>
      <c r="N102" s="0" t="n">
        <f aca="false">IF(AND(食数記録!$A102=プレビュー!$C$3,食数記録!$B102="朝",食数記録!$F102="男性GH",食数記録!$D102="臨時喫食"),1,0)</f>
        <v>0</v>
      </c>
      <c r="O102" s="0" t="str">
        <f aca="false">IF(N102=1,SUM($N$2:N102),"")</f>
        <v/>
      </c>
      <c r="P102" s="0" t="n">
        <f aca="false">IF(AND(食数記録!$A102=プレビュー!$C$3,食数記録!$B102="昼",食数記録!$F102="男性GH",食数記録!$D102="臨時喫食"),1,0)</f>
        <v>0</v>
      </c>
      <c r="Q102" s="0" t="str">
        <f aca="false">IF(P102=1,SUM($P$2:P102),"")</f>
        <v/>
      </c>
      <c r="R102" s="0" t="n">
        <f aca="false">IF(AND(食数記録!$A102=プレビュー!$C$3,食数記録!$B102="夕",食数記録!$F102="男性GH",食数記録!$D102="臨時喫食"),1,0)</f>
        <v>0</v>
      </c>
      <c r="S102" s="0" t="str">
        <f aca="false">IF(R102=1,SUM($R$2:R102),"")</f>
        <v/>
      </c>
      <c r="T102" s="0" t="n">
        <f aca="false">IF(AND(食数記録!$A102=プレビュー!$C$3,食数記録!$B102="朝",食数記録!$F102="女性GH",食数記録!$D102="臨時喫食"),1,0)</f>
        <v>0</v>
      </c>
      <c r="U102" s="0" t="str">
        <f aca="false">IF(T102=1,SUM($T$2:T102),"")</f>
        <v/>
      </c>
      <c r="V102" s="0" t="n">
        <f aca="false">IF(AND(食数記録!$A102=プレビュー!$C$3,食数記録!$B102="昼",食数記録!$F102="女性GH",食数記録!$D102="臨時喫食"),1,0)</f>
        <v>0</v>
      </c>
      <c r="W102" s="0" t="str">
        <f aca="false">IF(V102=1,SUM($V$2:V102),"")</f>
        <v/>
      </c>
      <c r="X102" s="0" t="n">
        <f aca="false">IF(AND(食数記録!$A102=プレビュー!$C$3,食数記録!$B102="夕",食数記録!$F102="女性GH",食数記録!$D102="臨時喫食"),1,0)</f>
        <v>0</v>
      </c>
      <c r="Y102" s="0" t="str">
        <f aca="false">IF(X102=1,SUM($X$2:X102),"")</f>
        <v/>
      </c>
    </row>
    <row r="103" customFormat="false" ht="15" hidden="false" customHeight="false" outlineLevel="0" collapsed="false">
      <c r="B103" s="0" t="n">
        <f aca="false">IF(AND(食数記録!$A103=プレビュー!$C$3,食数記録!$B103="朝",食数記録!$F103="男性入所",食数記録!$D103="欠食"),1,0)</f>
        <v>0</v>
      </c>
      <c r="C103" s="0" t="str">
        <f aca="false">IF(B103=1,SUM($B$2:B103),"")</f>
        <v/>
      </c>
      <c r="D103" s="0" t="n">
        <f aca="false">IF(AND(食数記録!$A103=プレビュー!$C$3,食数記録!$B103="昼",食数記録!$F103="男性入所",食数記録!$D103="欠食"),1,0)</f>
        <v>0</v>
      </c>
      <c r="E103" s="0" t="str">
        <f aca="false">IF(D103=1,SUM($D$2:D103),"")</f>
        <v/>
      </c>
      <c r="F103" s="0" t="n">
        <f aca="false">IF(AND(食数記録!$A103=プレビュー!$C$3,食数記録!$B103="夕",食数記録!$F103="男性入所",食数記録!$D103="欠食"),1,0)</f>
        <v>0</v>
      </c>
      <c r="G103" s="0" t="str">
        <f aca="false">IF(F103=1,SUM($F$2:F103),"")</f>
        <v/>
      </c>
      <c r="H103" s="0" t="n">
        <f aca="false">IF(AND(食数記録!$A103=プレビュー!$C$3,食数記録!$B103="朝",食数記録!$F103="女性入所",食数記録!$D103="欠食"),1,0)</f>
        <v>0</v>
      </c>
      <c r="I103" s="0" t="str">
        <f aca="false">IF(H103=1,SUM($H$2:H103),"")</f>
        <v/>
      </c>
      <c r="J103" s="0" t="n">
        <f aca="false">IF(AND(食数記録!$A103=プレビュー!$C$3,食数記録!$B103="昼",食数記録!$F103="女性入所",食数記録!$D103="欠食"),1,0)</f>
        <v>0</v>
      </c>
      <c r="K103" s="0" t="str">
        <f aca="false">IF(J103=1,SUM($J$2:J103),"")</f>
        <v/>
      </c>
      <c r="L103" s="0" t="n">
        <f aca="false">IF(AND(食数記録!$A103=プレビュー!$C$3,食数記録!$B103="夕",食数記録!$F103="女性入所",食数記録!$D103="欠食"),1,0)</f>
        <v>0</v>
      </c>
      <c r="M103" s="0" t="str">
        <f aca="false">IF(L103=1,SUM($L$2:L103),"")</f>
        <v/>
      </c>
      <c r="N103" s="0" t="n">
        <f aca="false">IF(AND(食数記録!$A103=プレビュー!$C$3,食数記録!$B103="朝",食数記録!$F103="男性GH",食数記録!$D103="臨時喫食"),1,0)</f>
        <v>0</v>
      </c>
      <c r="O103" s="0" t="str">
        <f aca="false">IF(N103=1,SUM($N$2:N103),"")</f>
        <v/>
      </c>
      <c r="P103" s="0" t="n">
        <f aca="false">IF(AND(食数記録!$A103=プレビュー!$C$3,食数記録!$B103="昼",食数記録!$F103="男性GH",食数記録!$D103="臨時喫食"),1,0)</f>
        <v>0</v>
      </c>
      <c r="Q103" s="0" t="str">
        <f aca="false">IF(P103=1,SUM($P$2:P103),"")</f>
        <v/>
      </c>
      <c r="R103" s="0" t="n">
        <f aca="false">IF(AND(食数記録!$A103=プレビュー!$C$3,食数記録!$B103="夕",食数記録!$F103="男性GH",食数記録!$D103="臨時喫食"),1,0)</f>
        <v>0</v>
      </c>
      <c r="S103" s="0" t="str">
        <f aca="false">IF(R103=1,SUM($R$2:R103),"")</f>
        <v/>
      </c>
      <c r="T103" s="0" t="n">
        <f aca="false">IF(AND(食数記録!$A103=プレビュー!$C$3,食数記録!$B103="朝",食数記録!$F103="女性GH",食数記録!$D103="臨時喫食"),1,0)</f>
        <v>0</v>
      </c>
      <c r="U103" s="0" t="str">
        <f aca="false">IF(T103=1,SUM($T$2:T103),"")</f>
        <v/>
      </c>
      <c r="V103" s="0" t="n">
        <f aca="false">IF(AND(食数記録!$A103=プレビュー!$C$3,食数記録!$B103="昼",食数記録!$F103="女性GH",食数記録!$D103="臨時喫食"),1,0)</f>
        <v>0</v>
      </c>
      <c r="W103" s="0" t="str">
        <f aca="false">IF(V103=1,SUM($V$2:V103),"")</f>
        <v/>
      </c>
      <c r="X103" s="0" t="n">
        <f aca="false">IF(AND(食数記録!$A103=プレビュー!$C$3,食数記録!$B103="夕",食数記録!$F103="女性GH",食数記録!$D103="臨時喫食"),1,0)</f>
        <v>0</v>
      </c>
      <c r="Y103" s="0" t="str">
        <f aca="false">IF(X103=1,SUM($X$2:X103),"")</f>
        <v/>
      </c>
    </row>
    <row r="104" customFormat="false" ht="15" hidden="false" customHeight="false" outlineLevel="0" collapsed="false">
      <c r="B104" s="0" t="n">
        <f aca="false">IF(AND(食数記録!$A104=プレビュー!$C$3,食数記録!$B104="朝",食数記録!$F104="男性入所",食数記録!$D104="欠食"),1,0)</f>
        <v>0</v>
      </c>
      <c r="C104" s="0" t="str">
        <f aca="false">IF(B104=1,SUM($B$2:B104),"")</f>
        <v/>
      </c>
      <c r="D104" s="0" t="n">
        <f aca="false">IF(AND(食数記録!$A104=プレビュー!$C$3,食数記録!$B104="昼",食数記録!$F104="男性入所",食数記録!$D104="欠食"),1,0)</f>
        <v>0</v>
      </c>
      <c r="E104" s="0" t="str">
        <f aca="false">IF(D104=1,SUM($D$2:D104),"")</f>
        <v/>
      </c>
      <c r="F104" s="0" t="n">
        <f aca="false">IF(AND(食数記録!$A104=プレビュー!$C$3,食数記録!$B104="夕",食数記録!$F104="男性入所",食数記録!$D104="欠食"),1,0)</f>
        <v>0</v>
      </c>
      <c r="G104" s="0" t="str">
        <f aca="false">IF(F104=1,SUM($F$2:F104),"")</f>
        <v/>
      </c>
      <c r="H104" s="0" t="n">
        <f aca="false">IF(AND(食数記録!$A104=プレビュー!$C$3,食数記録!$B104="朝",食数記録!$F104="女性入所",食数記録!$D104="欠食"),1,0)</f>
        <v>0</v>
      </c>
      <c r="I104" s="0" t="str">
        <f aca="false">IF(H104=1,SUM($H$2:H104),"")</f>
        <v/>
      </c>
      <c r="J104" s="0" t="n">
        <f aca="false">IF(AND(食数記録!$A104=プレビュー!$C$3,食数記録!$B104="昼",食数記録!$F104="女性入所",食数記録!$D104="欠食"),1,0)</f>
        <v>0</v>
      </c>
      <c r="K104" s="0" t="str">
        <f aca="false">IF(J104=1,SUM($J$2:J104),"")</f>
        <v/>
      </c>
      <c r="L104" s="0" t="n">
        <f aca="false">IF(AND(食数記録!$A104=プレビュー!$C$3,食数記録!$B104="夕",食数記録!$F104="女性入所",食数記録!$D104="欠食"),1,0)</f>
        <v>0</v>
      </c>
      <c r="M104" s="0" t="str">
        <f aca="false">IF(L104=1,SUM($L$2:L104),"")</f>
        <v/>
      </c>
      <c r="N104" s="0" t="n">
        <f aca="false">IF(AND(食数記録!$A104=プレビュー!$C$3,食数記録!$B104="朝",食数記録!$F104="男性GH",食数記録!$D104="臨時喫食"),1,0)</f>
        <v>0</v>
      </c>
      <c r="O104" s="0" t="str">
        <f aca="false">IF(N104=1,SUM($N$2:N104),"")</f>
        <v/>
      </c>
      <c r="P104" s="0" t="n">
        <f aca="false">IF(AND(食数記録!$A104=プレビュー!$C$3,食数記録!$B104="昼",食数記録!$F104="男性GH",食数記録!$D104="臨時喫食"),1,0)</f>
        <v>0</v>
      </c>
      <c r="Q104" s="0" t="str">
        <f aca="false">IF(P104=1,SUM($P$2:P104),"")</f>
        <v/>
      </c>
      <c r="R104" s="0" t="n">
        <f aca="false">IF(AND(食数記録!$A104=プレビュー!$C$3,食数記録!$B104="夕",食数記録!$F104="男性GH",食数記録!$D104="臨時喫食"),1,0)</f>
        <v>0</v>
      </c>
      <c r="S104" s="0" t="str">
        <f aca="false">IF(R104=1,SUM($R$2:R104),"")</f>
        <v/>
      </c>
      <c r="T104" s="0" t="n">
        <f aca="false">IF(AND(食数記録!$A104=プレビュー!$C$3,食数記録!$B104="朝",食数記録!$F104="女性GH",食数記録!$D104="臨時喫食"),1,0)</f>
        <v>0</v>
      </c>
      <c r="U104" s="0" t="str">
        <f aca="false">IF(T104=1,SUM($T$2:T104),"")</f>
        <v/>
      </c>
      <c r="V104" s="0" t="n">
        <f aca="false">IF(AND(食数記録!$A104=プレビュー!$C$3,食数記録!$B104="昼",食数記録!$F104="女性GH",食数記録!$D104="臨時喫食"),1,0)</f>
        <v>0</v>
      </c>
      <c r="W104" s="0" t="str">
        <f aca="false">IF(V104=1,SUM($V$2:V104),"")</f>
        <v/>
      </c>
      <c r="X104" s="0" t="n">
        <f aca="false">IF(AND(食数記録!$A104=プレビュー!$C$3,食数記録!$B104="夕",食数記録!$F104="女性GH",食数記録!$D104="臨時喫食"),1,0)</f>
        <v>0</v>
      </c>
      <c r="Y104" s="0" t="str">
        <f aca="false">IF(X104=1,SUM($X$2:X104),"")</f>
        <v/>
      </c>
    </row>
    <row r="105" customFormat="false" ht="15" hidden="false" customHeight="false" outlineLevel="0" collapsed="false">
      <c r="B105" s="0" t="n">
        <f aca="false">IF(AND(食数記録!$A105=プレビュー!$C$3,食数記録!$B105="朝",食数記録!$F105="男性入所",食数記録!$D105="欠食"),1,0)</f>
        <v>0</v>
      </c>
      <c r="C105" s="0" t="str">
        <f aca="false">IF(B105=1,SUM($B$2:B105),"")</f>
        <v/>
      </c>
      <c r="D105" s="0" t="n">
        <f aca="false">IF(AND(食数記録!$A105=プレビュー!$C$3,食数記録!$B105="昼",食数記録!$F105="男性入所",食数記録!$D105="欠食"),1,0)</f>
        <v>0</v>
      </c>
      <c r="E105" s="0" t="str">
        <f aca="false">IF(D105=1,SUM($D$2:D105),"")</f>
        <v/>
      </c>
      <c r="F105" s="0" t="n">
        <f aca="false">IF(AND(食数記録!$A105=プレビュー!$C$3,食数記録!$B105="夕",食数記録!$F105="男性入所",食数記録!$D105="欠食"),1,0)</f>
        <v>0</v>
      </c>
      <c r="G105" s="0" t="str">
        <f aca="false">IF(F105=1,SUM($F$2:F105),"")</f>
        <v/>
      </c>
      <c r="H105" s="0" t="n">
        <f aca="false">IF(AND(食数記録!$A105=プレビュー!$C$3,食数記録!$B105="朝",食数記録!$F105="女性入所",食数記録!$D105="欠食"),1,0)</f>
        <v>0</v>
      </c>
      <c r="I105" s="0" t="str">
        <f aca="false">IF(H105=1,SUM($H$2:H105),"")</f>
        <v/>
      </c>
      <c r="J105" s="0" t="n">
        <f aca="false">IF(AND(食数記録!$A105=プレビュー!$C$3,食数記録!$B105="昼",食数記録!$F105="女性入所",食数記録!$D105="欠食"),1,0)</f>
        <v>0</v>
      </c>
      <c r="K105" s="0" t="str">
        <f aca="false">IF(J105=1,SUM($J$2:J105),"")</f>
        <v/>
      </c>
      <c r="L105" s="0" t="n">
        <f aca="false">IF(AND(食数記録!$A105=プレビュー!$C$3,食数記録!$B105="夕",食数記録!$F105="女性入所",食数記録!$D105="欠食"),1,0)</f>
        <v>0</v>
      </c>
      <c r="M105" s="0" t="str">
        <f aca="false">IF(L105=1,SUM($L$2:L105),"")</f>
        <v/>
      </c>
      <c r="N105" s="0" t="n">
        <f aca="false">IF(AND(食数記録!$A105=プレビュー!$C$3,食数記録!$B105="朝",食数記録!$F105="男性GH",食数記録!$D105="臨時喫食"),1,0)</f>
        <v>0</v>
      </c>
      <c r="O105" s="0" t="str">
        <f aca="false">IF(N105=1,SUM($N$2:N105),"")</f>
        <v/>
      </c>
      <c r="P105" s="0" t="n">
        <f aca="false">IF(AND(食数記録!$A105=プレビュー!$C$3,食数記録!$B105="昼",食数記録!$F105="男性GH",食数記録!$D105="臨時喫食"),1,0)</f>
        <v>0</v>
      </c>
      <c r="Q105" s="0" t="str">
        <f aca="false">IF(P105=1,SUM($P$2:P105),"")</f>
        <v/>
      </c>
      <c r="R105" s="0" t="n">
        <f aca="false">IF(AND(食数記録!$A105=プレビュー!$C$3,食数記録!$B105="夕",食数記録!$F105="男性GH",食数記録!$D105="臨時喫食"),1,0)</f>
        <v>0</v>
      </c>
      <c r="S105" s="0" t="str">
        <f aca="false">IF(R105=1,SUM($R$2:R105),"")</f>
        <v/>
      </c>
      <c r="T105" s="0" t="n">
        <f aca="false">IF(AND(食数記録!$A105=プレビュー!$C$3,食数記録!$B105="朝",食数記録!$F105="女性GH",食数記録!$D105="臨時喫食"),1,0)</f>
        <v>0</v>
      </c>
      <c r="U105" s="0" t="str">
        <f aca="false">IF(T105=1,SUM($T$2:T105),"")</f>
        <v/>
      </c>
      <c r="V105" s="0" t="n">
        <f aca="false">IF(AND(食数記録!$A105=プレビュー!$C$3,食数記録!$B105="昼",食数記録!$F105="女性GH",食数記録!$D105="臨時喫食"),1,0)</f>
        <v>0</v>
      </c>
      <c r="W105" s="0" t="str">
        <f aca="false">IF(V105=1,SUM($V$2:V105),"")</f>
        <v/>
      </c>
      <c r="X105" s="0" t="n">
        <f aca="false">IF(AND(食数記録!$A105=プレビュー!$C$3,食数記録!$B105="夕",食数記録!$F105="女性GH",食数記録!$D105="臨時喫食"),1,0)</f>
        <v>0</v>
      </c>
      <c r="Y105" s="0" t="str">
        <f aca="false">IF(X105=1,SUM($X$2:X105),"")</f>
        <v/>
      </c>
    </row>
    <row r="106" customFormat="false" ht="15" hidden="false" customHeight="false" outlineLevel="0" collapsed="false">
      <c r="B106" s="0" t="n">
        <f aca="false">IF(AND(食数記録!$A106=プレビュー!$C$3,食数記録!$B106="朝",食数記録!$F106="男性入所",食数記録!$D106="欠食"),1,0)</f>
        <v>0</v>
      </c>
      <c r="C106" s="0" t="str">
        <f aca="false">IF(B106=1,SUM($B$2:B106),"")</f>
        <v/>
      </c>
      <c r="D106" s="0" t="n">
        <f aca="false">IF(AND(食数記録!$A106=プレビュー!$C$3,食数記録!$B106="昼",食数記録!$F106="男性入所",食数記録!$D106="欠食"),1,0)</f>
        <v>0</v>
      </c>
      <c r="E106" s="0" t="str">
        <f aca="false">IF(D106=1,SUM($D$2:D106),"")</f>
        <v/>
      </c>
      <c r="F106" s="0" t="n">
        <f aca="false">IF(AND(食数記録!$A106=プレビュー!$C$3,食数記録!$B106="夕",食数記録!$F106="男性入所",食数記録!$D106="欠食"),1,0)</f>
        <v>0</v>
      </c>
      <c r="G106" s="0" t="str">
        <f aca="false">IF(F106=1,SUM($F$2:F106),"")</f>
        <v/>
      </c>
      <c r="H106" s="0" t="n">
        <f aca="false">IF(AND(食数記録!$A106=プレビュー!$C$3,食数記録!$B106="朝",食数記録!$F106="女性入所",食数記録!$D106="欠食"),1,0)</f>
        <v>0</v>
      </c>
      <c r="I106" s="0" t="str">
        <f aca="false">IF(H106=1,SUM($H$2:H106),"")</f>
        <v/>
      </c>
      <c r="J106" s="0" t="n">
        <f aca="false">IF(AND(食数記録!$A106=プレビュー!$C$3,食数記録!$B106="昼",食数記録!$F106="女性入所",食数記録!$D106="欠食"),1,0)</f>
        <v>0</v>
      </c>
      <c r="K106" s="0" t="str">
        <f aca="false">IF(J106=1,SUM($J$2:J106),"")</f>
        <v/>
      </c>
      <c r="L106" s="0" t="n">
        <f aca="false">IF(AND(食数記録!$A106=プレビュー!$C$3,食数記録!$B106="夕",食数記録!$F106="女性入所",食数記録!$D106="欠食"),1,0)</f>
        <v>0</v>
      </c>
      <c r="M106" s="0" t="str">
        <f aca="false">IF(L106=1,SUM($L$2:L106),"")</f>
        <v/>
      </c>
      <c r="N106" s="0" t="n">
        <f aca="false">IF(AND(食数記録!$A106=プレビュー!$C$3,食数記録!$B106="朝",食数記録!$F106="男性GH",食数記録!$D106="臨時喫食"),1,0)</f>
        <v>0</v>
      </c>
      <c r="O106" s="0" t="str">
        <f aca="false">IF(N106=1,SUM($N$2:N106),"")</f>
        <v/>
      </c>
      <c r="P106" s="0" t="n">
        <f aca="false">IF(AND(食数記録!$A106=プレビュー!$C$3,食数記録!$B106="昼",食数記録!$F106="男性GH",食数記録!$D106="臨時喫食"),1,0)</f>
        <v>0</v>
      </c>
      <c r="Q106" s="0" t="str">
        <f aca="false">IF(P106=1,SUM($P$2:P106),"")</f>
        <v/>
      </c>
      <c r="R106" s="0" t="n">
        <f aca="false">IF(AND(食数記録!$A106=プレビュー!$C$3,食数記録!$B106="夕",食数記録!$F106="男性GH",食数記録!$D106="臨時喫食"),1,0)</f>
        <v>0</v>
      </c>
      <c r="S106" s="0" t="str">
        <f aca="false">IF(R106=1,SUM($R$2:R106),"")</f>
        <v/>
      </c>
      <c r="T106" s="0" t="n">
        <f aca="false">IF(AND(食数記録!$A106=プレビュー!$C$3,食数記録!$B106="朝",食数記録!$F106="女性GH",食数記録!$D106="臨時喫食"),1,0)</f>
        <v>0</v>
      </c>
      <c r="U106" s="0" t="str">
        <f aca="false">IF(T106=1,SUM($T$2:T106),"")</f>
        <v/>
      </c>
      <c r="V106" s="0" t="n">
        <f aca="false">IF(AND(食数記録!$A106=プレビュー!$C$3,食数記録!$B106="昼",食数記録!$F106="女性GH",食数記録!$D106="臨時喫食"),1,0)</f>
        <v>0</v>
      </c>
      <c r="W106" s="0" t="str">
        <f aca="false">IF(V106=1,SUM($V$2:V106),"")</f>
        <v/>
      </c>
      <c r="X106" s="0" t="n">
        <f aca="false">IF(AND(食数記録!$A106=プレビュー!$C$3,食数記録!$B106="夕",食数記録!$F106="女性GH",食数記録!$D106="臨時喫食"),1,0)</f>
        <v>0</v>
      </c>
      <c r="Y106" s="0" t="str">
        <f aca="false">IF(X106=1,SUM($X$2:X106),"")</f>
        <v/>
      </c>
    </row>
    <row r="107" customFormat="false" ht="15" hidden="false" customHeight="false" outlineLevel="0" collapsed="false">
      <c r="B107" s="0" t="n">
        <f aca="false">IF(AND(食数記録!$A107=プレビュー!$C$3,食数記録!$B107="朝",食数記録!$F107="男性入所",食数記録!$D107="欠食"),1,0)</f>
        <v>0</v>
      </c>
      <c r="C107" s="0" t="str">
        <f aca="false">IF(B107=1,SUM($B$2:B107),"")</f>
        <v/>
      </c>
      <c r="D107" s="0" t="n">
        <f aca="false">IF(AND(食数記録!$A107=プレビュー!$C$3,食数記録!$B107="昼",食数記録!$F107="男性入所",食数記録!$D107="欠食"),1,0)</f>
        <v>0</v>
      </c>
      <c r="E107" s="0" t="str">
        <f aca="false">IF(D107=1,SUM($D$2:D107),"")</f>
        <v/>
      </c>
      <c r="F107" s="0" t="n">
        <f aca="false">IF(AND(食数記録!$A107=プレビュー!$C$3,食数記録!$B107="夕",食数記録!$F107="男性入所",食数記録!$D107="欠食"),1,0)</f>
        <v>0</v>
      </c>
      <c r="G107" s="0" t="str">
        <f aca="false">IF(F107=1,SUM($F$2:F107),"")</f>
        <v/>
      </c>
      <c r="H107" s="0" t="n">
        <f aca="false">IF(AND(食数記録!$A107=プレビュー!$C$3,食数記録!$B107="朝",食数記録!$F107="女性入所",食数記録!$D107="欠食"),1,0)</f>
        <v>0</v>
      </c>
      <c r="I107" s="0" t="str">
        <f aca="false">IF(H107=1,SUM($H$2:H107),"")</f>
        <v/>
      </c>
      <c r="J107" s="0" t="n">
        <f aca="false">IF(AND(食数記録!$A107=プレビュー!$C$3,食数記録!$B107="昼",食数記録!$F107="女性入所",食数記録!$D107="欠食"),1,0)</f>
        <v>0</v>
      </c>
      <c r="K107" s="0" t="str">
        <f aca="false">IF(J107=1,SUM($J$2:J107),"")</f>
        <v/>
      </c>
      <c r="L107" s="0" t="n">
        <f aca="false">IF(AND(食数記録!$A107=プレビュー!$C$3,食数記録!$B107="夕",食数記録!$F107="女性入所",食数記録!$D107="欠食"),1,0)</f>
        <v>0</v>
      </c>
      <c r="M107" s="0" t="str">
        <f aca="false">IF(L107=1,SUM($L$2:L107),"")</f>
        <v/>
      </c>
      <c r="N107" s="0" t="n">
        <f aca="false">IF(AND(食数記録!$A107=プレビュー!$C$3,食数記録!$B107="朝",食数記録!$F107="男性GH",食数記録!$D107="臨時喫食"),1,0)</f>
        <v>0</v>
      </c>
      <c r="O107" s="0" t="str">
        <f aca="false">IF(N107=1,SUM($N$2:N107),"")</f>
        <v/>
      </c>
      <c r="P107" s="0" t="n">
        <f aca="false">IF(AND(食数記録!$A107=プレビュー!$C$3,食数記録!$B107="昼",食数記録!$F107="男性GH",食数記録!$D107="臨時喫食"),1,0)</f>
        <v>0</v>
      </c>
      <c r="Q107" s="0" t="str">
        <f aca="false">IF(P107=1,SUM($P$2:P107),"")</f>
        <v/>
      </c>
      <c r="R107" s="0" t="n">
        <f aca="false">IF(AND(食数記録!$A107=プレビュー!$C$3,食数記録!$B107="夕",食数記録!$F107="男性GH",食数記録!$D107="臨時喫食"),1,0)</f>
        <v>0</v>
      </c>
      <c r="S107" s="0" t="str">
        <f aca="false">IF(R107=1,SUM($R$2:R107),"")</f>
        <v/>
      </c>
      <c r="T107" s="0" t="n">
        <f aca="false">IF(AND(食数記録!$A107=プレビュー!$C$3,食数記録!$B107="朝",食数記録!$F107="女性GH",食数記録!$D107="臨時喫食"),1,0)</f>
        <v>0</v>
      </c>
      <c r="U107" s="0" t="str">
        <f aca="false">IF(T107=1,SUM($T$2:T107),"")</f>
        <v/>
      </c>
      <c r="V107" s="0" t="n">
        <f aca="false">IF(AND(食数記録!$A107=プレビュー!$C$3,食数記録!$B107="昼",食数記録!$F107="女性GH",食数記録!$D107="臨時喫食"),1,0)</f>
        <v>0</v>
      </c>
      <c r="W107" s="0" t="str">
        <f aca="false">IF(V107=1,SUM($V$2:V107),"")</f>
        <v/>
      </c>
      <c r="X107" s="0" t="n">
        <f aca="false">IF(AND(食数記録!$A107=プレビュー!$C$3,食数記録!$B107="夕",食数記録!$F107="女性GH",食数記録!$D107="臨時喫食"),1,0)</f>
        <v>0</v>
      </c>
      <c r="Y107" s="0" t="str">
        <f aca="false">IF(X107=1,SUM($X$2:X107),"")</f>
        <v/>
      </c>
    </row>
    <row r="108" customFormat="false" ht="15" hidden="false" customHeight="false" outlineLevel="0" collapsed="false">
      <c r="B108" s="0" t="n">
        <f aca="false">IF(AND(食数記録!$A108=プレビュー!$C$3,食数記録!$B108="朝",食数記録!$F108="男性入所",食数記録!$D108="欠食"),1,0)</f>
        <v>0</v>
      </c>
      <c r="C108" s="0" t="str">
        <f aca="false">IF(B108=1,SUM($B$2:B108),"")</f>
        <v/>
      </c>
      <c r="D108" s="0" t="n">
        <f aca="false">IF(AND(食数記録!$A108=プレビュー!$C$3,食数記録!$B108="昼",食数記録!$F108="男性入所",食数記録!$D108="欠食"),1,0)</f>
        <v>0</v>
      </c>
      <c r="E108" s="0" t="str">
        <f aca="false">IF(D108=1,SUM($D$2:D108),"")</f>
        <v/>
      </c>
      <c r="F108" s="0" t="n">
        <f aca="false">IF(AND(食数記録!$A108=プレビュー!$C$3,食数記録!$B108="夕",食数記録!$F108="男性入所",食数記録!$D108="欠食"),1,0)</f>
        <v>0</v>
      </c>
      <c r="G108" s="0" t="str">
        <f aca="false">IF(F108=1,SUM($F$2:F108),"")</f>
        <v/>
      </c>
      <c r="H108" s="0" t="n">
        <f aca="false">IF(AND(食数記録!$A108=プレビュー!$C$3,食数記録!$B108="朝",食数記録!$F108="女性入所",食数記録!$D108="欠食"),1,0)</f>
        <v>0</v>
      </c>
      <c r="I108" s="0" t="str">
        <f aca="false">IF(H108=1,SUM($H$2:H108),"")</f>
        <v/>
      </c>
      <c r="J108" s="0" t="n">
        <f aca="false">IF(AND(食数記録!$A108=プレビュー!$C$3,食数記録!$B108="昼",食数記録!$F108="女性入所",食数記録!$D108="欠食"),1,0)</f>
        <v>0</v>
      </c>
      <c r="K108" s="0" t="str">
        <f aca="false">IF(J108=1,SUM($J$2:J108),"")</f>
        <v/>
      </c>
      <c r="L108" s="0" t="n">
        <f aca="false">IF(AND(食数記録!$A108=プレビュー!$C$3,食数記録!$B108="夕",食数記録!$F108="女性入所",食数記録!$D108="欠食"),1,0)</f>
        <v>0</v>
      </c>
      <c r="M108" s="0" t="str">
        <f aca="false">IF(L108=1,SUM($L$2:L108),"")</f>
        <v/>
      </c>
      <c r="N108" s="0" t="n">
        <f aca="false">IF(AND(食数記録!$A108=プレビュー!$C$3,食数記録!$B108="朝",食数記録!$F108="男性GH",食数記録!$D108="臨時喫食"),1,0)</f>
        <v>0</v>
      </c>
      <c r="O108" s="0" t="str">
        <f aca="false">IF(N108=1,SUM($N$2:N108),"")</f>
        <v/>
      </c>
      <c r="P108" s="0" t="n">
        <f aca="false">IF(AND(食数記録!$A108=プレビュー!$C$3,食数記録!$B108="昼",食数記録!$F108="男性GH",食数記録!$D108="臨時喫食"),1,0)</f>
        <v>0</v>
      </c>
      <c r="Q108" s="0" t="str">
        <f aca="false">IF(P108=1,SUM($P$2:P108),"")</f>
        <v/>
      </c>
      <c r="R108" s="0" t="n">
        <f aca="false">IF(AND(食数記録!$A108=プレビュー!$C$3,食数記録!$B108="夕",食数記録!$F108="男性GH",食数記録!$D108="臨時喫食"),1,0)</f>
        <v>0</v>
      </c>
      <c r="S108" s="0" t="str">
        <f aca="false">IF(R108=1,SUM($R$2:R108),"")</f>
        <v/>
      </c>
      <c r="T108" s="0" t="n">
        <f aca="false">IF(AND(食数記録!$A108=プレビュー!$C$3,食数記録!$B108="朝",食数記録!$F108="女性GH",食数記録!$D108="臨時喫食"),1,0)</f>
        <v>0</v>
      </c>
      <c r="U108" s="0" t="str">
        <f aca="false">IF(T108=1,SUM($T$2:T108),"")</f>
        <v/>
      </c>
      <c r="V108" s="0" t="n">
        <f aca="false">IF(AND(食数記録!$A108=プレビュー!$C$3,食数記録!$B108="昼",食数記録!$F108="女性GH",食数記録!$D108="臨時喫食"),1,0)</f>
        <v>0</v>
      </c>
      <c r="W108" s="0" t="str">
        <f aca="false">IF(V108=1,SUM($V$2:V108),"")</f>
        <v/>
      </c>
      <c r="X108" s="0" t="n">
        <f aca="false">IF(AND(食数記録!$A108=プレビュー!$C$3,食数記録!$B108="夕",食数記録!$F108="女性GH",食数記録!$D108="臨時喫食"),1,0)</f>
        <v>0</v>
      </c>
      <c r="Y108" s="0" t="str">
        <f aca="false">IF(X108=1,SUM($X$2:X108),"")</f>
        <v/>
      </c>
    </row>
    <row r="109" customFormat="false" ht="15" hidden="false" customHeight="false" outlineLevel="0" collapsed="false">
      <c r="B109" s="0" t="n">
        <f aca="false">IF(AND(食数記録!$A109=プレビュー!$C$3,食数記録!$B109="朝",食数記録!$F109="男性入所",食数記録!$D109="欠食"),1,0)</f>
        <v>0</v>
      </c>
      <c r="C109" s="0" t="str">
        <f aca="false">IF(B109=1,SUM($B$2:B109),"")</f>
        <v/>
      </c>
      <c r="D109" s="0" t="n">
        <f aca="false">IF(AND(食数記録!$A109=プレビュー!$C$3,食数記録!$B109="昼",食数記録!$F109="男性入所",食数記録!$D109="欠食"),1,0)</f>
        <v>0</v>
      </c>
      <c r="E109" s="0" t="str">
        <f aca="false">IF(D109=1,SUM($D$2:D109),"")</f>
        <v/>
      </c>
      <c r="F109" s="0" t="n">
        <f aca="false">IF(AND(食数記録!$A109=プレビュー!$C$3,食数記録!$B109="夕",食数記録!$F109="男性入所",食数記録!$D109="欠食"),1,0)</f>
        <v>0</v>
      </c>
      <c r="G109" s="0" t="str">
        <f aca="false">IF(F109=1,SUM($F$2:F109),"")</f>
        <v/>
      </c>
      <c r="H109" s="0" t="n">
        <f aca="false">IF(AND(食数記録!$A109=プレビュー!$C$3,食数記録!$B109="朝",食数記録!$F109="女性入所",食数記録!$D109="欠食"),1,0)</f>
        <v>0</v>
      </c>
      <c r="I109" s="0" t="str">
        <f aca="false">IF(H109=1,SUM($H$2:H109),"")</f>
        <v/>
      </c>
      <c r="J109" s="0" t="n">
        <f aca="false">IF(AND(食数記録!$A109=プレビュー!$C$3,食数記録!$B109="昼",食数記録!$F109="女性入所",食数記録!$D109="欠食"),1,0)</f>
        <v>0</v>
      </c>
      <c r="K109" s="0" t="str">
        <f aca="false">IF(J109=1,SUM($J$2:J109),"")</f>
        <v/>
      </c>
      <c r="L109" s="0" t="n">
        <f aca="false">IF(AND(食数記録!$A109=プレビュー!$C$3,食数記録!$B109="夕",食数記録!$F109="女性入所",食数記録!$D109="欠食"),1,0)</f>
        <v>0</v>
      </c>
      <c r="M109" s="0" t="str">
        <f aca="false">IF(L109=1,SUM($L$2:L109),"")</f>
        <v/>
      </c>
      <c r="N109" s="0" t="n">
        <f aca="false">IF(AND(食数記録!$A109=プレビュー!$C$3,食数記録!$B109="朝",食数記録!$F109="男性GH",食数記録!$D109="臨時喫食"),1,0)</f>
        <v>0</v>
      </c>
      <c r="O109" s="0" t="str">
        <f aca="false">IF(N109=1,SUM($N$2:N109),"")</f>
        <v/>
      </c>
      <c r="P109" s="0" t="n">
        <f aca="false">IF(AND(食数記録!$A109=プレビュー!$C$3,食数記録!$B109="昼",食数記録!$F109="男性GH",食数記録!$D109="臨時喫食"),1,0)</f>
        <v>0</v>
      </c>
      <c r="Q109" s="0" t="str">
        <f aca="false">IF(P109=1,SUM($P$2:P109),"")</f>
        <v/>
      </c>
      <c r="R109" s="0" t="n">
        <f aca="false">IF(AND(食数記録!$A109=プレビュー!$C$3,食数記録!$B109="夕",食数記録!$F109="男性GH",食数記録!$D109="臨時喫食"),1,0)</f>
        <v>0</v>
      </c>
      <c r="S109" s="0" t="str">
        <f aca="false">IF(R109=1,SUM($R$2:R109),"")</f>
        <v/>
      </c>
      <c r="T109" s="0" t="n">
        <f aca="false">IF(AND(食数記録!$A109=プレビュー!$C$3,食数記録!$B109="朝",食数記録!$F109="女性GH",食数記録!$D109="臨時喫食"),1,0)</f>
        <v>0</v>
      </c>
      <c r="U109" s="0" t="str">
        <f aca="false">IF(T109=1,SUM($T$2:T109),"")</f>
        <v/>
      </c>
      <c r="V109" s="0" t="n">
        <f aca="false">IF(AND(食数記録!$A109=プレビュー!$C$3,食数記録!$B109="昼",食数記録!$F109="女性GH",食数記録!$D109="臨時喫食"),1,0)</f>
        <v>0</v>
      </c>
      <c r="W109" s="0" t="str">
        <f aca="false">IF(V109=1,SUM($V$2:V109),"")</f>
        <v/>
      </c>
      <c r="X109" s="0" t="n">
        <f aca="false">IF(AND(食数記録!$A109=プレビュー!$C$3,食数記録!$B109="夕",食数記録!$F109="女性GH",食数記録!$D109="臨時喫食"),1,0)</f>
        <v>0</v>
      </c>
      <c r="Y109" s="0" t="str">
        <f aca="false">IF(X109=1,SUM($X$2:X109),"")</f>
        <v/>
      </c>
    </row>
    <row r="110" customFormat="false" ht="15" hidden="false" customHeight="false" outlineLevel="0" collapsed="false">
      <c r="B110" s="0" t="n">
        <f aca="false">IF(AND(食数記録!$A110=プレビュー!$C$3,食数記録!$B110="朝",食数記録!$F110="男性入所",食数記録!$D110="欠食"),1,0)</f>
        <v>0</v>
      </c>
      <c r="C110" s="0" t="str">
        <f aca="false">IF(B110=1,SUM($B$2:B110),"")</f>
        <v/>
      </c>
      <c r="D110" s="0" t="n">
        <f aca="false">IF(AND(食数記録!$A110=プレビュー!$C$3,食数記録!$B110="昼",食数記録!$F110="男性入所",食数記録!$D110="欠食"),1,0)</f>
        <v>0</v>
      </c>
      <c r="E110" s="0" t="str">
        <f aca="false">IF(D110=1,SUM($D$2:D110),"")</f>
        <v/>
      </c>
      <c r="F110" s="0" t="n">
        <f aca="false">IF(AND(食数記録!$A110=プレビュー!$C$3,食数記録!$B110="夕",食数記録!$F110="男性入所",食数記録!$D110="欠食"),1,0)</f>
        <v>0</v>
      </c>
      <c r="G110" s="0" t="str">
        <f aca="false">IF(F110=1,SUM($F$2:F110),"")</f>
        <v/>
      </c>
      <c r="H110" s="0" t="n">
        <f aca="false">IF(AND(食数記録!$A110=プレビュー!$C$3,食数記録!$B110="朝",食数記録!$F110="女性入所",食数記録!$D110="欠食"),1,0)</f>
        <v>0</v>
      </c>
      <c r="I110" s="0" t="str">
        <f aca="false">IF(H110=1,SUM($H$2:H110),"")</f>
        <v/>
      </c>
      <c r="J110" s="0" t="n">
        <f aca="false">IF(AND(食数記録!$A110=プレビュー!$C$3,食数記録!$B110="昼",食数記録!$F110="女性入所",食数記録!$D110="欠食"),1,0)</f>
        <v>0</v>
      </c>
      <c r="K110" s="0" t="str">
        <f aca="false">IF(J110=1,SUM($J$2:J110),"")</f>
        <v/>
      </c>
      <c r="L110" s="0" t="n">
        <f aca="false">IF(AND(食数記録!$A110=プレビュー!$C$3,食数記録!$B110="夕",食数記録!$F110="女性入所",食数記録!$D110="欠食"),1,0)</f>
        <v>0</v>
      </c>
      <c r="M110" s="0" t="str">
        <f aca="false">IF(L110=1,SUM($L$2:L110),"")</f>
        <v/>
      </c>
      <c r="N110" s="0" t="n">
        <f aca="false">IF(AND(食数記録!$A110=プレビュー!$C$3,食数記録!$B110="朝",食数記録!$F110="男性GH",食数記録!$D110="臨時喫食"),1,0)</f>
        <v>0</v>
      </c>
      <c r="O110" s="0" t="str">
        <f aca="false">IF(N110=1,SUM($N$2:N110),"")</f>
        <v/>
      </c>
      <c r="P110" s="0" t="n">
        <f aca="false">IF(AND(食数記録!$A110=プレビュー!$C$3,食数記録!$B110="昼",食数記録!$F110="男性GH",食数記録!$D110="臨時喫食"),1,0)</f>
        <v>0</v>
      </c>
      <c r="Q110" s="0" t="str">
        <f aca="false">IF(P110=1,SUM($P$2:P110),"")</f>
        <v/>
      </c>
      <c r="R110" s="0" t="n">
        <f aca="false">IF(AND(食数記録!$A110=プレビュー!$C$3,食数記録!$B110="夕",食数記録!$F110="男性GH",食数記録!$D110="臨時喫食"),1,0)</f>
        <v>0</v>
      </c>
      <c r="S110" s="0" t="str">
        <f aca="false">IF(R110=1,SUM($R$2:R110),"")</f>
        <v/>
      </c>
      <c r="T110" s="0" t="n">
        <f aca="false">IF(AND(食数記録!$A110=プレビュー!$C$3,食数記録!$B110="朝",食数記録!$F110="女性GH",食数記録!$D110="臨時喫食"),1,0)</f>
        <v>0</v>
      </c>
      <c r="U110" s="0" t="str">
        <f aca="false">IF(T110=1,SUM($T$2:T110),"")</f>
        <v/>
      </c>
      <c r="V110" s="0" t="n">
        <f aca="false">IF(AND(食数記録!$A110=プレビュー!$C$3,食数記録!$B110="昼",食数記録!$F110="女性GH",食数記録!$D110="臨時喫食"),1,0)</f>
        <v>0</v>
      </c>
      <c r="W110" s="0" t="str">
        <f aca="false">IF(V110=1,SUM($V$2:V110),"")</f>
        <v/>
      </c>
      <c r="X110" s="0" t="n">
        <f aca="false">IF(AND(食数記録!$A110=プレビュー!$C$3,食数記録!$B110="夕",食数記録!$F110="女性GH",食数記録!$D110="臨時喫食"),1,0)</f>
        <v>0</v>
      </c>
      <c r="Y110" s="0" t="str">
        <f aca="false">IF(X110=1,SUM($X$2:X110),"")</f>
        <v/>
      </c>
    </row>
    <row r="111" customFormat="false" ht="15" hidden="false" customHeight="false" outlineLevel="0" collapsed="false">
      <c r="B111" s="0" t="n">
        <f aca="false">IF(AND(食数記録!$A111=プレビュー!$C$3,食数記録!$B111="朝",食数記録!$F111="男性入所",食数記録!$D111="欠食"),1,0)</f>
        <v>0</v>
      </c>
      <c r="C111" s="0" t="str">
        <f aca="false">IF(B111=1,SUM($B$2:B111),"")</f>
        <v/>
      </c>
      <c r="D111" s="0" t="n">
        <f aca="false">IF(AND(食数記録!$A111=プレビュー!$C$3,食数記録!$B111="昼",食数記録!$F111="男性入所",食数記録!$D111="欠食"),1,0)</f>
        <v>0</v>
      </c>
      <c r="E111" s="0" t="str">
        <f aca="false">IF(D111=1,SUM($D$2:D111),"")</f>
        <v/>
      </c>
      <c r="F111" s="0" t="n">
        <f aca="false">IF(AND(食数記録!$A111=プレビュー!$C$3,食数記録!$B111="夕",食数記録!$F111="男性入所",食数記録!$D111="欠食"),1,0)</f>
        <v>0</v>
      </c>
      <c r="G111" s="0" t="str">
        <f aca="false">IF(F111=1,SUM($F$2:F111),"")</f>
        <v/>
      </c>
      <c r="H111" s="0" t="n">
        <f aca="false">IF(AND(食数記録!$A111=プレビュー!$C$3,食数記録!$B111="朝",食数記録!$F111="女性入所",食数記録!$D111="欠食"),1,0)</f>
        <v>0</v>
      </c>
      <c r="I111" s="0" t="str">
        <f aca="false">IF(H111=1,SUM($H$2:H111),"")</f>
        <v/>
      </c>
      <c r="J111" s="0" t="n">
        <f aca="false">IF(AND(食数記録!$A111=プレビュー!$C$3,食数記録!$B111="昼",食数記録!$F111="女性入所",食数記録!$D111="欠食"),1,0)</f>
        <v>0</v>
      </c>
      <c r="K111" s="0" t="str">
        <f aca="false">IF(J111=1,SUM($J$2:J111),"")</f>
        <v/>
      </c>
      <c r="L111" s="0" t="n">
        <f aca="false">IF(AND(食数記録!$A111=プレビュー!$C$3,食数記録!$B111="夕",食数記録!$F111="女性入所",食数記録!$D111="欠食"),1,0)</f>
        <v>0</v>
      </c>
      <c r="M111" s="0" t="str">
        <f aca="false">IF(L111=1,SUM($L$2:L111),"")</f>
        <v/>
      </c>
      <c r="N111" s="0" t="n">
        <f aca="false">IF(AND(食数記録!$A111=プレビュー!$C$3,食数記録!$B111="朝",食数記録!$F111="男性GH",食数記録!$D111="臨時喫食"),1,0)</f>
        <v>0</v>
      </c>
      <c r="O111" s="0" t="str">
        <f aca="false">IF(N111=1,SUM($N$2:N111),"")</f>
        <v/>
      </c>
      <c r="P111" s="0" t="n">
        <f aca="false">IF(AND(食数記録!$A111=プレビュー!$C$3,食数記録!$B111="昼",食数記録!$F111="男性GH",食数記録!$D111="臨時喫食"),1,0)</f>
        <v>0</v>
      </c>
      <c r="Q111" s="0" t="str">
        <f aca="false">IF(P111=1,SUM($P$2:P111),"")</f>
        <v/>
      </c>
      <c r="R111" s="0" t="n">
        <f aca="false">IF(AND(食数記録!$A111=プレビュー!$C$3,食数記録!$B111="夕",食数記録!$F111="男性GH",食数記録!$D111="臨時喫食"),1,0)</f>
        <v>0</v>
      </c>
      <c r="S111" s="0" t="str">
        <f aca="false">IF(R111=1,SUM($R$2:R111),"")</f>
        <v/>
      </c>
      <c r="T111" s="0" t="n">
        <f aca="false">IF(AND(食数記録!$A111=プレビュー!$C$3,食数記録!$B111="朝",食数記録!$F111="女性GH",食数記録!$D111="臨時喫食"),1,0)</f>
        <v>0</v>
      </c>
      <c r="U111" s="0" t="str">
        <f aca="false">IF(T111=1,SUM($T$2:T111),"")</f>
        <v/>
      </c>
      <c r="V111" s="0" t="n">
        <f aca="false">IF(AND(食数記録!$A111=プレビュー!$C$3,食数記録!$B111="昼",食数記録!$F111="女性GH",食数記録!$D111="臨時喫食"),1,0)</f>
        <v>0</v>
      </c>
      <c r="W111" s="0" t="str">
        <f aca="false">IF(V111=1,SUM($V$2:V111),"")</f>
        <v/>
      </c>
      <c r="X111" s="0" t="n">
        <f aca="false">IF(AND(食数記録!$A111=プレビュー!$C$3,食数記録!$B111="夕",食数記録!$F111="女性GH",食数記録!$D111="臨時喫食"),1,0)</f>
        <v>0</v>
      </c>
      <c r="Y111" s="0" t="str">
        <f aca="false">IF(X111=1,SUM($X$2:X111),"")</f>
        <v/>
      </c>
    </row>
    <row r="112" customFormat="false" ht="15" hidden="false" customHeight="false" outlineLevel="0" collapsed="false">
      <c r="B112" s="0" t="n">
        <f aca="false">IF(AND(食数記録!$A112=プレビュー!$C$3,食数記録!$B112="朝",食数記録!$F112="男性入所",食数記録!$D112="欠食"),1,0)</f>
        <v>0</v>
      </c>
      <c r="C112" s="0" t="str">
        <f aca="false">IF(B112=1,SUM($B$2:B112),"")</f>
        <v/>
      </c>
      <c r="D112" s="0" t="n">
        <f aca="false">IF(AND(食数記録!$A112=プレビュー!$C$3,食数記録!$B112="昼",食数記録!$F112="男性入所",食数記録!$D112="欠食"),1,0)</f>
        <v>0</v>
      </c>
      <c r="E112" s="0" t="str">
        <f aca="false">IF(D112=1,SUM($D$2:D112),"")</f>
        <v/>
      </c>
      <c r="F112" s="0" t="n">
        <f aca="false">IF(AND(食数記録!$A112=プレビュー!$C$3,食数記録!$B112="夕",食数記録!$F112="男性入所",食数記録!$D112="欠食"),1,0)</f>
        <v>0</v>
      </c>
      <c r="G112" s="0" t="str">
        <f aca="false">IF(F112=1,SUM($F$2:F112),"")</f>
        <v/>
      </c>
      <c r="H112" s="0" t="n">
        <f aca="false">IF(AND(食数記録!$A112=プレビュー!$C$3,食数記録!$B112="朝",食数記録!$F112="女性入所",食数記録!$D112="欠食"),1,0)</f>
        <v>0</v>
      </c>
      <c r="I112" s="0" t="str">
        <f aca="false">IF(H112=1,SUM($H$2:H112),"")</f>
        <v/>
      </c>
      <c r="J112" s="0" t="n">
        <f aca="false">IF(AND(食数記録!$A112=プレビュー!$C$3,食数記録!$B112="昼",食数記録!$F112="女性入所",食数記録!$D112="欠食"),1,0)</f>
        <v>0</v>
      </c>
      <c r="K112" s="0" t="str">
        <f aca="false">IF(J112=1,SUM($J$2:J112),"")</f>
        <v/>
      </c>
      <c r="L112" s="0" t="n">
        <f aca="false">IF(AND(食数記録!$A112=プレビュー!$C$3,食数記録!$B112="夕",食数記録!$F112="女性入所",食数記録!$D112="欠食"),1,0)</f>
        <v>0</v>
      </c>
      <c r="M112" s="0" t="str">
        <f aca="false">IF(L112=1,SUM($L$2:L112),"")</f>
        <v/>
      </c>
      <c r="N112" s="0" t="n">
        <f aca="false">IF(AND(食数記録!$A112=プレビュー!$C$3,食数記録!$B112="朝",食数記録!$F112="男性GH",食数記録!$D112="臨時喫食"),1,0)</f>
        <v>0</v>
      </c>
      <c r="O112" s="0" t="str">
        <f aca="false">IF(N112=1,SUM($N$2:N112),"")</f>
        <v/>
      </c>
      <c r="P112" s="0" t="n">
        <f aca="false">IF(AND(食数記録!$A112=プレビュー!$C$3,食数記録!$B112="昼",食数記録!$F112="男性GH",食数記録!$D112="臨時喫食"),1,0)</f>
        <v>0</v>
      </c>
      <c r="Q112" s="0" t="str">
        <f aca="false">IF(P112=1,SUM($P$2:P112),"")</f>
        <v/>
      </c>
      <c r="R112" s="0" t="n">
        <f aca="false">IF(AND(食数記録!$A112=プレビュー!$C$3,食数記録!$B112="夕",食数記録!$F112="男性GH",食数記録!$D112="臨時喫食"),1,0)</f>
        <v>0</v>
      </c>
      <c r="S112" s="0" t="str">
        <f aca="false">IF(R112=1,SUM($R$2:R112),"")</f>
        <v/>
      </c>
      <c r="T112" s="0" t="n">
        <f aca="false">IF(AND(食数記録!$A112=プレビュー!$C$3,食数記録!$B112="朝",食数記録!$F112="女性GH",食数記録!$D112="臨時喫食"),1,0)</f>
        <v>0</v>
      </c>
      <c r="U112" s="0" t="str">
        <f aca="false">IF(T112=1,SUM($T$2:T112),"")</f>
        <v/>
      </c>
      <c r="V112" s="0" t="n">
        <f aca="false">IF(AND(食数記録!$A112=プレビュー!$C$3,食数記録!$B112="昼",食数記録!$F112="女性GH",食数記録!$D112="臨時喫食"),1,0)</f>
        <v>0</v>
      </c>
      <c r="W112" s="0" t="str">
        <f aca="false">IF(V112=1,SUM($V$2:V112),"")</f>
        <v/>
      </c>
      <c r="X112" s="0" t="n">
        <f aca="false">IF(AND(食数記録!$A112=プレビュー!$C$3,食数記録!$B112="夕",食数記録!$F112="女性GH",食数記録!$D112="臨時喫食"),1,0)</f>
        <v>0</v>
      </c>
      <c r="Y112" s="0" t="str">
        <f aca="false">IF(X112=1,SUM($X$2:X112),"")</f>
        <v/>
      </c>
    </row>
    <row r="113" customFormat="false" ht="15" hidden="false" customHeight="false" outlineLevel="0" collapsed="false">
      <c r="B113" s="0" t="n">
        <f aca="false">IF(AND(食数記録!$A113=プレビュー!$C$3,食数記録!$B113="朝",食数記録!$F113="男性入所",食数記録!$D113="欠食"),1,0)</f>
        <v>0</v>
      </c>
      <c r="C113" s="0" t="str">
        <f aca="false">IF(B113=1,SUM($B$2:B113),"")</f>
        <v/>
      </c>
      <c r="D113" s="0" t="n">
        <f aca="false">IF(AND(食数記録!$A113=プレビュー!$C$3,食数記録!$B113="昼",食数記録!$F113="男性入所",食数記録!$D113="欠食"),1,0)</f>
        <v>0</v>
      </c>
      <c r="E113" s="0" t="str">
        <f aca="false">IF(D113=1,SUM($D$2:D113),"")</f>
        <v/>
      </c>
      <c r="F113" s="0" t="n">
        <f aca="false">IF(AND(食数記録!$A113=プレビュー!$C$3,食数記録!$B113="夕",食数記録!$F113="男性入所",食数記録!$D113="欠食"),1,0)</f>
        <v>0</v>
      </c>
      <c r="G113" s="0" t="str">
        <f aca="false">IF(F113=1,SUM($F$2:F113),"")</f>
        <v/>
      </c>
      <c r="H113" s="0" t="n">
        <f aca="false">IF(AND(食数記録!$A113=プレビュー!$C$3,食数記録!$B113="朝",食数記録!$F113="女性入所",食数記録!$D113="欠食"),1,0)</f>
        <v>0</v>
      </c>
      <c r="I113" s="0" t="str">
        <f aca="false">IF(H113=1,SUM($H$2:H113),"")</f>
        <v/>
      </c>
      <c r="J113" s="0" t="n">
        <f aca="false">IF(AND(食数記録!$A113=プレビュー!$C$3,食数記録!$B113="昼",食数記録!$F113="女性入所",食数記録!$D113="欠食"),1,0)</f>
        <v>0</v>
      </c>
      <c r="K113" s="0" t="str">
        <f aca="false">IF(J113=1,SUM($J$2:J113),"")</f>
        <v/>
      </c>
      <c r="L113" s="0" t="n">
        <f aca="false">IF(AND(食数記録!$A113=プレビュー!$C$3,食数記録!$B113="夕",食数記録!$F113="女性入所",食数記録!$D113="欠食"),1,0)</f>
        <v>0</v>
      </c>
      <c r="M113" s="0" t="str">
        <f aca="false">IF(L113=1,SUM($L$2:L113),"")</f>
        <v/>
      </c>
      <c r="N113" s="0" t="n">
        <f aca="false">IF(AND(食数記録!$A113=プレビュー!$C$3,食数記録!$B113="朝",食数記録!$F113="男性GH",食数記録!$D113="臨時喫食"),1,0)</f>
        <v>0</v>
      </c>
      <c r="O113" s="0" t="str">
        <f aca="false">IF(N113=1,SUM($N$2:N113),"")</f>
        <v/>
      </c>
      <c r="P113" s="0" t="n">
        <f aca="false">IF(AND(食数記録!$A113=プレビュー!$C$3,食数記録!$B113="昼",食数記録!$F113="男性GH",食数記録!$D113="臨時喫食"),1,0)</f>
        <v>0</v>
      </c>
      <c r="Q113" s="0" t="str">
        <f aca="false">IF(P113=1,SUM($P$2:P113),"")</f>
        <v/>
      </c>
      <c r="R113" s="0" t="n">
        <f aca="false">IF(AND(食数記録!$A113=プレビュー!$C$3,食数記録!$B113="夕",食数記録!$F113="男性GH",食数記録!$D113="臨時喫食"),1,0)</f>
        <v>0</v>
      </c>
      <c r="S113" s="0" t="str">
        <f aca="false">IF(R113=1,SUM($R$2:R113),"")</f>
        <v/>
      </c>
      <c r="T113" s="0" t="n">
        <f aca="false">IF(AND(食数記録!$A113=プレビュー!$C$3,食数記録!$B113="朝",食数記録!$F113="女性GH",食数記録!$D113="臨時喫食"),1,0)</f>
        <v>0</v>
      </c>
      <c r="U113" s="0" t="str">
        <f aca="false">IF(T113=1,SUM($T$2:T113),"")</f>
        <v/>
      </c>
      <c r="V113" s="0" t="n">
        <f aca="false">IF(AND(食数記録!$A113=プレビュー!$C$3,食数記録!$B113="昼",食数記録!$F113="女性GH",食数記録!$D113="臨時喫食"),1,0)</f>
        <v>0</v>
      </c>
      <c r="W113" s="0" t="str">
        <f aca="false">IF(V113=1,SUM($V$2:V113),"")</f>
        <v/>
      </c>
      <c r="X113" s="0" t="n">
        <f aca="false">IF(AND(食数記録!$A113=プレビュー!$C$3,食数記録!$B113="夕",食数記録!$F113="女性GH",食数記録!$D113="臨時喫食"),1,0)</f>
        <v>0</v>
      </c>
      <c r="Y113" s="0" t="str">
        <f aca="false">IF(X113=1,SUM($X$2:X113),"")</f>
        <v/>
      </c>
    </row>
    <row r="114" customFormat="false" ht="15" hidden="false" customHeight="false" outlineLevel="0" collapsed="false">
      <c r="B114" s="0" t="n">
        <f aca="false">IF(AND(食数記録!$A114=プレビュー!$C$3,食数記録!$B114="朝",食数記録!$F114="男性入所",食数記録!$D114="欠食"),1,0)</f>
        <v>0</v>
      </c>
      <c r="C114" s="0" t="str">
        <f aca="false">IF(B114=1,SUM($B$2:B114),"")</f>
        <v/>
      </c>
      <c r="D114" s="0" t="n">
        <f aca="false">IF(AND(食数記録!$A114=プレビュー!$C$3,食数記録!$B114="昼",食数記録!$F114="男性入所",食数記録!$D114="欠食"),1,0)</f>
        <v>0</v>
      </c>
      <c r="E114" s="0" t="str">
        <f aca="false">IF(D114=1,SUM($D$2:D114),"")</f>
        <v/>
      </c>
      <c r="F114" s="0" t="n">
        <f aca="false">IF(AND(食数記録!$A114=プレビュー!$C$3,食数記録!$B114="夕",食数記録!$F114="男性入所",食数記録!$D114="欠食"),1,0)</f>
        <v>0</v>
      </c>
      <c r="G114" s="0" t="str">
        <f aca="false">IF(F114=1,SUM($F$2:F114),"")</f>
        <v/>
      </c>
      <c r="H114" s="0" t="n">
        <f aca="false">IF(AND(食数記録!$A114=プレビュー!$C$3,食数記録!$B114="朝",食数記録!$F114="女性入所",食数記録!$D114="欠食"),1,0)</f>
        <v>0</v>
      </c>
      <c r="I114" s="0" t="str">
        <f aca="false">IF(H114=1,SUM($H$2:H114),"")</f>
        <v/>
      </c>
      <c r="J114" s="0" t="n">
        <f aca="false">IF(AND(食数記録!$A114=プレビュー!$C$3,食数記録!$B114="昼",食数記録!$F114="女性入所",食数記録!$D114="欠食"),1,0)</f>
        <v>0</v>
      </c>
      <c r="K114" s="0" t="str">
        <f aca="false">IF(J114=1,SUM($J$2:J114),"")</f>
        <v/>
      </c>
      <c r="L114" s="0" t="n">
        <f aca="false">IF(AND(食数記録!$A114=プレビュー!$C$3,食数記録!$B114="夕",食数記録!$F114="女性入所",食数記録!$D114="欠食"),1,0)</f>
        <v>0</v>
      </c>
      <c r="M114" s="0" t="str">
        <f aca="false">IF(L114=1,SUM($L$2:L114),"")</f>
        <v/>
      </c>
      <c r="N114" s="0" t="n">
        <f aca="false">IF(AND(食数記録!$A114=プレビュー!$C$3,食数記録!$B114="朝",食数記録!$F114="男性GH",食数記録!$D114="臨時喫食"),1,0)</f>
        <v>0</v>
      </c>
      <c r="O114" s="0" t="str">
        <f aca="false">IF(N114=1,SUM($N$2:N114),"")</f>
        <v/>
      </c>
      <c r="P114" s="0" t="n">
        <f aca="false">IF(AND(食数記録!$A114=プレビュー!$C$3,食数記録!$B114="昼",食数記録!$F114="男性GH",食数記録!$D114="臨時喫食"),1,0)</f>
        <v>0</v>
      </c>
      <c r="Q114" s="0" t="str">
        <f aca="false">IF(P114=1,SUM($P$2:P114),"")</f>
        <v/>
      </c>
      <c r="R114" s="0" t="n">
        <f aca="false">IF(AND(食数記録!$A114=プレビュー!$C$3,食数記録!$B114="夕",食数記録!$F114="男性GH",食数記録!$D114="臨時喫食"),1,0)</f>
        <v>0</v>
      </c>
      <c r="S114" s="0" t="str">
        <f aca="false">IF(R114=1,SUM($R$2:R114),"")</f>
        <v/>
      </c>
      <c r="T114" s="0" t="n">
        <f aca="false">IF(AND(食数記録!$A114=プレビュー!$C$3,食数記録!$B114="朝",食数記録!$F114="女性GH",食数記録!$D114="臨時喫食"),1,0)</f>
        <v>0</v>
      </c>
      <c r="U114" s="0" t="str">
        <f aca="false">IF(T114=1,SUM($T$2:T114),"")</f>
        <v/>
      </c>
      <c r="V114" s="0" t="n">
        <f aca="false">IF(AND(食数記録!$A114=プレビュー!$C$3,食数記録!$B114="昼",食数記録!$F114="女性GH",食数記録!$D114="臨時喫食"),1,0)</f>
        <v>0</v>
      </c>
      <c r="W114" s="0" t="str">
        <f aca="false">IF(V114=1,SUM($V$2:V114),"")</f>
        <v/>
      </c>
      <c r="X114" s="0" t="n">
        <f aca="false">IF(AND(食数記録!$A114=プレビュー!$C$3,食数記録!$B114="夕",食数記録!$F114="女性GH",食数記録!$D114="臨時喫食"),1,0)</f>
        <v>0</v>
      </c>
      <c r="Y114" s="0" t="str">
        <f aca="false">IF(X114=1,SUM($X$2:X114),"")</f>
        <v/>
      </c>
    </row>
    <row r="115" customFormat="false" ht="15" hidden="false" customHeight="false" outlineLevel="0" collapsed="false">
      <c r="B115" s="0" t="n">
        <f aca="false">IF(AND(食数記録!$A115=プレビュー!$C$3,食数記録!$B115="朝",食数記録!$F115="男性入所",食数記録!$D115="欠食"),1,0)</f>
        <v>0</v>
      </c>
      <c r="C115" s="0" t="str">
        <f aca="false">IF(B115=1,SUM($B$2:B115),"")</f>
        <v/>
      </c>
      <c r="D115" s="0" t="n">
        <f aca="false">IF(AND(食数記録!$A115=プレビュー!$C$3,食数記録!$B115="昼",食数記録!$F115="男性入所",食数記録!$D115="欠食"),1,0)</f>
        <v>0</v>
      </c>
      <c r="E115" s="0" t="str">
        <f aca="false">IF(D115=1,SUM($D$2:D115),"")</f>
        <v/>
      </c>
      <c r="F115" s="0" t="n">
        <f aca="false">IF(AND(食数記録!$A115=プレビュー!$C$3,食数記録!$B115="夕",食数記録!$F115="男性入所",食数記録!$D115="欠食"),1,0)</f>
        <v>0</v>
      </c>
      <c r="G115" s="0" t="str">
        <f aca="false">IF(F115=1,SUM($F$2:F115),"")</f>
        <v/>
      </c>
      <c r="H115" s="0" t="n">
        <f aca="false">IF(AND(食数記録!$A115=プレビュー!$C$3,食数記録!$B115="朝",食数記録!$F115="女性入所",食数記録!$D115="欠食"),1,0)</f>
        <v>0</v>
      </c>
      <c r="I115" s="0" t="str">
        <f aca="false">IF(H115=1,SUM($H$2:H115),"")</f>
        <v/>
      </c>
      <c r="J115" s="0" t="n">
        <f aca="false">IF(AND(食数記録!$A115=プレビュー!$C$3,食数記録!$B115="昼",食数記録!$F115="女性入所",食数記録!$D115="欠食"),1,0)</f>
        <v>0</v>
      </c>
      <c r="K115" s="0" t="str">
        <f aca="false">IF(J115=1,SUM($J$2:J115),"")</f>
        <v/>
      </c>
      <c r="L115" s="0" t="n">
        <f aca="false">IF(AND(食数記録!$A115=プレビュー!$C$3,食数記録!$B115="夕",食数記録!$F115="女性入所",食数記録!$D115="欠食"),1,0)</f>
        <v>0</v>
      </c>
      <c r="M115" s="0" t="str">
        <f aca="false">IF(L115=1,SUM($L$2:L115),"")</f>
        <v/>
      </c>
      <c r="N115" s="0" t="n">
        <f aca="false">IF(AND(食数記録!$A115=プレビュー!$C$3,食数記録!$B115="朝",食数記録!$F115="男性GH",食数記録!$D115="臨時喫食"),1,0)</f>
        <v>0</v>
      </c>
      <c r="O115" s="0" t="str">
        <f aca="false">IF(N115=1,SUM($N$2:N115),"")</f>
        <v/>
      </c>
      <c r="P115" s="0" t="n">
        <f aca="false">IF(AND(食数記録!$A115=プレビュー!$C$3,食数記録!$B115="昼",食数記録!$F115="男性GH",食数記録!$D115="臨時喫食"),1,0)</f>
        <v>0</v>
      </c>
      <c r="Q115" s="0" t="str">
        <f aca="false">IF(P115=1,SUM($P$2:P115),"")</f>
        <v/>
      </c>
      <c r="R115" s="0" t="n">
        <f aca="false">IF(AND(食数記録!$A115=プレビュー!$C$3,食数記録!$B115="夕",食数記録!$F115="男性GH",食数記録!$D115="臨時喫食"),1,0)</f>
        <v>0</v>
      </c>
      <c r="S115" s="0" t="str">
        <f aca="false">IF(R115=1,SUM($R$2:R115),"")</f>
        <v/>
      </c>
      <c r="T115" s="0" t="n">
        <f aca="false">IF(AND(食数記録!$A115=プレビュー!$C$3,食数記録!$B115="朝",食数記録!$F115="女性GH",食数記録!$D115="臨時喫食"),1,0)</f>
        <v>0</v>
      </c>
      <c r="U115" s="0" t="str">
        <f aca="false">IF(T115=1,SUM($T$2:T115),"")</f>
        <v/>
      </c>
      <c r="V115" s="0" t="n">
        <f aca="false">IF(AND(食数記録!$A115=プレビュー!$C$3,食数記録!$B115="昼",食数記録!$F115="女性GH",食数記録!$D115="臨時喫食"),1,0)</f>
        <v>0</v>
      </c>
      <c r="W115" s="0" t="str">
        <f aca="false">IF(V115=1,SUM($V$2:V115),"")</f>
        <v/>
      </c>
      <c r="X115" s="0" t="n">
        <f aca="false">IF(AND(食数記録!$A115=プレビュー!$C$3,食数記録!$B115="夕",食数記録!$F115="女性GH",食数記録!$D115="臨時喫食"),1,0)</f>
        <v>0</v>
      </c>
      <c r="Y115" s="0" t="str">
        <f aca="false">IF(X115=1,SUM($X$2:X115),"")</f>
        <v/>
      </c>
    </row>
    <row r="116" customFormat="false" ht="15" hidden="false" customHeight="false" outlineLevel="0" collapsed="false">
      <c r="B116" s="0" t="n">
        <f aca="false">IF(AND(食数記録!$A116=プレビュー!$C$3,食数記録!$B116="朝",食数記録!$F116="男性入所",食数記録!$D116="欠食"),1,0)</f>
        <v>0</v>
      </c>
      <c r="C116" s="0" t="str">
        <f aca="false">IF(B116=1,SUM($B$2:B116),"")</f>
        <v/>
      </c>
      <c r="D116" s="0" t="n">
        <f aca="false">IF(AND(食数記録!$A116=プレビュー!$C$3,食数記録!$B116="昼",食数記録!$F116="男性入所",食数記録!$D116="欠食"),1,0)</f>
        <v>0</v>
      </c>
      <c r="E116" s="0" t="str">
        <f aca="false">IF(D116=1,SUM($D$2:D116),"")</f>
        <v/>
      </c>
      <c r="F116" s="0" t="n">
        <f aca="false">IF(AND(食数記録!$A116=プレビュー!$C$3,食数記録!$B116="夕",食数記録!$F116="男性入所",食数記録!$D116="欠食"),1,0)</f>
        <v>0</v>
      </c>
      <c r="G116" s="0" t="str">
        <f aca="false">IF(F116=1,SUM($F$2:F116),"")</f>
        <v/>
      </c>
      <c r="H116" s="0" t="n">
        <f aca="false">IF(AND(食数記録!$A116=プレビュー!$C$3,食数記録!$B116="朝",食数記録!$F116="女性入所",食数記録!$D116="欠食"),1,0)</f>
        <v>0</v>
      </c>
      <c r="I116" s="0" t="str">
        <f aca="false">IF(H116=1,SUM($H$2:H116),"")</f>
        <v/>
      </c>
      <c r="J116" s="0" t="n">
        <f aca="false">IF(AND(食数記録!$A116=プレビュー!$C$3,食数記録!$B116="昼",食数記録!$F116="女性入所",食数記録!$D116="欠食"),1,0)</f>
        <v>0</v>
      </c>
      <c r="K116" s="0" t="str">
        <f aca="false">IF(J116=1,SUM($J$2:J116),"")</f>
        <v/>
      </c>
      <c r="L116" s="0" t="n">
        <f aca="false">IF(AND(食数記録!$A116=プレビュー!$C$3,食数記録!$B116="夕",食数記録!$F116="女性入所",食数記録!$D116="欠食"),1,0)</f>
        <v>0</v>
      </c>
      <c r="M116" s="0" t="str">
        <f aca="false">IF(L116=1,SUM($L$2:L116),"")</f>
        <v/>
      </c>
      <c r="N116" s="0" t="n">
        <f aca="false">IF(AND(食数記録!$A116=プレビュー!$C$3,食数記録!$B116="朝",食数記録!$F116="男性GH",食数記録!$D116="臨時喫食"),1,0)</f>
        <v>0</v>
      </c>
      <c r="O116" s="0" t="str">
        <f aca="false">IF(N116=1,SUM($N$2:N116),"")</f>
        <v/>
      </c>
      <c r="P116" s="0" t="n">
        <f aca="false">IF(AND(食数記録!$A116=プレビュー!$C$3,食数記録!$B116="昼",食数記録!$F116="男性GH",食数記録!$D116="臨時喫食"),1,0)</f>
        <v>0</v>
      </c>
      <c r="Q116" s="0" t="str">
        <f aca="false">IF(P116=1,SUM($P$2:P116),"")</f>
        <v/>
      </c>
      <c r="R116" s="0" t="n">
        <f aca="false">IF(AND(食数記録!$A116=プレビュー!$C$3,食数記録!$B116="夕",食数記録!$F116="男性GH",食数記録!$D116="臨時喫食"),1,0)</f>
        <v>0</v>
      </c>
      <c r="S116" s="0" t="str">
        <f aca="false">IF(R116=1,SUM($R$2:R116),"")</f>
        <v/>
      </c>
      <c r="T116" s="0" t="n">
        <f aca="false">IF(AND(食数記録!$A116=プレビュー!$C$3,食数記録!$B116="朝",食数記録!$F116="女性GH",食数記録!$D116="臨時喫食"),1,0)</f>
        <v>0</v>
      </c>
      <c r="U116" s="0" t="str">
        <f aca="false">IF(T116=1,SUM($T$2:T116),"")</f>
        <v/>
      </c>
      <c r="V116" s="0" t="n">
        <f aca="false">IF(AND(食数記録!$A116=プレビュー!$C$3,食数記録!$B116="昼",食数記録!$F116="女性GH",食数記録!$D116="臨時喫食"),1,0)</f>
        <v>0</v>
      </c>
      <c r="W116" s="0" t="str">
        <f aca="false">IF(V116=1,SUM($V$2:V116),"")</f>
        <v/>
      </c>
      <c r="X116" s="0" t="n">
        <f aca="false">IF(AND(食数記録!$A116=プレビュー!$C$3,食数記録!$B116="夕",食数記録!$F116="女性GH",食数記録!$D116="臨時喫食"),1,0)</f>
        <v>0</v>
      </c>
      <c r="Y116" s="0" t="str">
        <f aca="false">IF(X116=1,SUM($X$2:X116),"")</f>
        <v/>
      </c>
    </row>
    <row r="117" customFormat="false" ht="15" hidden="false" customHeight="false" outlineLevel="0" collapsed="false">
      <c r="B117" s="0" t="n">
        <f aca="false">IF(AND(食数記録!$A117=プレビュー!$C$3,食数記録!$B117="朝",食数記録!$F117="男性入所",食数記録!$D117="欠食"),1,0)</f>
        <v>0</v>
      </c>
      <c r="C117" s="0" t="str">
        <f aca="false">IF(B117=1,SUM($B$2:B117),"")</f>
        <v/>
      </c>
      <c r="D117" s="0" t="n">
        <f aca="false">IF(AND(食数記録!$A117=プレビュー!$C$3,食数記録!$B117="昼",食数記録!$F117="男性入所",食数記録!$D117="欠食"),1,0)</f>
        <v>0</v>
      </c>
      <c r="E117" s="0" t="str">
        <f aca="false">IF(D117=1,SUM($D$2:D117),"")</f>
        <v/>
      </c>
      <c r="F117" s="0" t="n">
        <f aca="false">IF(AND(食数記録!$A117=プレビュー!$C$3,食数記録!$B117="夕",食数記録!$F117="男性入所",食数記録!$D117="欠食"),1,0)</f>
        <v>0</v>
      </c>
      <c r="G117" s="0" t="str">
        <f aca="false">IF(F117=1,SUM($F$2:F117),"")</f>
        <v/>
      </c>
      <c r="H117" s="0" t="n">
        <f aca="false">IF(AND(食数記録!$A117=プレビュー!$C$3,食数記録!$B117="朝",食数記録!$F117="女性入所",食数記録!$D117="欠食"),1,0)</f>
        <v>0</v>
      </c>
      <c r="I117" s="0" t="str">
        <f aca="false">IF(H117=1,SUM($H$2:H117),"")</f>
        <v/>
      </c>
      <c r="J117" s="0" t="n">
        <f aca="false">IF(AND(食数記録!$A117=プレビュー!$C$3,食数記録!$B117="昼",食数記録!$F117="女性入所",食数記録!$D117="欠食"),1,0)</f>
        <v>0</v>
      </c>
      <c r="K117" s="0" t="str">
        <f aca="false">IF(J117=1,SUM($J$2:J117),"")</f>
        <v/>
      </c>
      <c r="L117" s="0" t="n">
        <f aca="false">IF(AND(食数記録!$A117=プレビュー!$C$3,食数記録!$B117="夕",食数記録!$F117="女性入所",食数記録!$D117="欠食"),1,0)</f>
        <v>0</v>
      </c>
      <c r="M117" s="0" t="str">
        <f aca="false">IF(L117=1,SUM($L$2:L117),"")</f>
        <v/>
      </c>
      <c r="N117" s="0" t="n">
        <f aca="false">IF(AND(食数記録!$A117=プレビュー!$C$3,食数記録!$B117="朝",食数記録!$F117="男性GH",食数記録!$D117="臨時喫食"),1,0)</f>
        <v>0</v>
      </c>
      <c r="O117" s="0" t="str">
        <f aca="false">IF(N117=1,SUM($N$2:N117),"")</f>
        <v/>
      </c>
      <c r="P117" s="0" t="n">
        <f aca="false">IF(AND(食数記録!$A117=プレビュー!$C$3,食数記録!$B117="昼",食数記録!$F117="男性GH",食数記録!$D117="臨時喫食"),1,0)</f>
        <v>0</v>
      </c>
      <c r="Q117" s="0" t="str">
        <f aca="false">IF(P117=1,SUM($P$2:P117),"")</f>
        <v/>
      </c>
      <c r="R117" s="0" t="n">
        <f aca="false">IF(AND(食数記録!$A117=プレビュー!$C$3,食数記録!$B117="夕",食数記録!$F117="男性GH",食数記録!$D117="臨時喫食"),1,0)</f>
        <v>0</v>
      </c>
      <c r="S117" s="0" t="str">
        <f aca="false">IF(R117=1,SUM($R$2:R117),"")</f>
        <v/>
      </c>
      <c r="T117" s="0" t="n">
        <f aca="false">IF(AND(食数記録!$A117=プレビュー!$C$3,食数記録!$B117="朝",食数記録!$F117="女性GH",食数記録!$D117="臨時喫食"),1,0)</f>
        <v>0</v>
      </c>
      <c r="U117" s="0" t="str">
        <f aca="false">IF(T117=1,SUM($T$2:T117),"")</f>
        <v/>
      </c>
      <c r="V117" s="0" t="n">
        <f aca="false">IF(AND(食数記録!$A117=プレビュー!$C$3,食数記録!$B117="昼",食数記録!$F117="女性GH",食数記録!$D117="臨時喫食"),1,0)</f>
        <v>0</v>
      </c>
      <c r="W117" s="0" t="str">
        <f aca="false">IF(V117=1,SUM($V$2:V117),"")</f>
        <v/>
      </c>
      <c r="X117" s="0" t="n">
        <f aca="false">IF(AND(食数記録!$A117=プレビュー!$C$3,食数記録!$B117="夕",食数記録!$F117="女性GH",食数記録!$D117="臨時喫食"),1,0)</f>
        <v>0</v>
      </c>
      <c r="Y117" s="0" t="str">
        <f aca="false">IF(X117=1,SUM($X$2:X117),"")</f>
        <v/>
      </c>
    </row>
    <row r="118" customFormat="false" ht="15" hidden="false" customHeight="false" outlineLevel="0" collapsed="false">
      <c r="B118" s="0" t="n">
        <f aca="false">IF(AND(食数記録!$A118=プレビュー!$C$3,食数記録!$B118="朝",食数記録!$F118="男性入所",食数記録!$D118="欠食"),1,0)</f>
        <v>0</v>
      </c>
      <c r="C118" s="0" t="str">
        <f aca="false">IF(B118=1,SUM($B$2:B118),"")</f>
        <v/>
      </c>
      <c r="D118" s="0" t="n">
        <f aca="false">IF(AND(食数記録!$A118=プレビュー!$C$3,食数記録!$B118="昼",食数記録!$F118="男性入所",食数記録!$D118="欠食"),1,0)</f>
        <v>0</v>
      </c>
      <c r="E118" s="0" t="str">
        <f aca="false">IF(D118=1,SUM($D$2:D118),"")</f>
        <v/>
      </c>
      <c r="F118" s="0" t="n">
        <f aca="false">IF(AND(食数記録!$A118=プレビュー!$C$3,食数記録!$B118="夕",食数記録!$F118="男性入所",食数記録!$D118="欠食"),1,0)</f>
        <v>0</v>
      </c>
      <c r="G118" s="0" t="str">
        <f aca="false">IF(F118=1,SUM($F$2:F118),"")</f>
        <v/>
      </c>
      <c r="H118" s="0" t="n">
        <f aca="false">IF(AND(食数記録!$A118=プレビュー!$C$3,食数記録!$B118="朝",食数記録!$F118="女性入所",食数記録!$D118="欠食"),1,0)</f>
        <v>0</v>
      </c>
      <c r="I118" s="0" t="str">
        <f aca="false">IF(H118=1,SUM($H$2:H118),"")</f>
        <v/>
      </c>
      <c r="J118" s="0" t="n">
        <f aca="false">IF(AND(食数記録!$A118=プレビュー!$C$3,食数記録!$B118="昼",食数記録!$F118="女性入所",食数記録!$D118="欠食"),1,0)</f>
        <v>0</v>
      </c>
      <c r="K118" s="0" t="str">
        <f aca="false">IF(J118=1,SUM($J$2:J118),"")</f>
        <v/>
      </c>
      <c r="L118" s="0" t="n">
        <f aca="false">IF(AND(食数記録!$A118=プレビュー!$C$3,食数記録!$B118="夕",食数記録!$F118="女性入所",食数記録!$D118="欠食"),1,0)</f>
        <v>0</v>
      </c>
      <c r="M118" s="0" t="str">
        <f aca="false">IF(L118=1,SUM($L$2:L118),"")</f>
        <v/>
      </c>
      <c r="N118" s="0" t="n">
        <f aca="false">IF(AND(食数記録!$A118=プレビュー!$C$3,食数記録!$B118="朝",食数記録!$F118="男性GH",食数記録!$D118="臨時喫食"),1,0)</f>
        <v>0</v>
      </c>
      <c r="O118" s="0" t="str">
        <f aca="false">IF(N118=1,SUM($N$2:N118),"")</f>
        <v/>
      </c>
      <c r="P118" s="0" t="n">
        <f aca="false">IF(AND(食数記録!$A118=プレビュー!$C$3,食数記録!$B118="昼",食数記録!$F118="男性GH",食数記録!$D118="臨時喫食"),1,0)</f>
        <v>0</v>
      </c>
      <c r="Q118" s="0" t="str">
        <f aca="false">IF(P118=1,SUM($P$2:P118),"")</f>
        <v/>
      </c>
      <c r="R118" s="0" t="n">
        <f aca="false">IF(AND(食数記録!$A118=プレビュー!$C$3,食数記録!$B118="夕",食数記録!$F118="男性GH",食数記録!$D118="臨時喫食"),1,0)</f>
        <v>0</v>
      </c>
      <c r="S118" s="0" t="str">
        <f aca="false">IF(R118=1,SUM($R$2:R118),"")</f>
        <v/>
      </c>
      <c r="T118" s="0" t="n">
        <f aca="false">IF(AND(食数記録!$A118=プレビュー!$C$3,食数記録!$B118="朝",食数記録!$F118="女性GH",食数記録!$D118="臨時喫食"),1,0)</f>
        <v>0</v>
      </c>
      <c r="U118" s="0" t="str">
        <f aca="false">IF(T118=1,SUM($T$2:T118),"")</f>
        <v/>
      </c>
      <c r="V118" s="0" t="n">
        <f aca="false">IF(AND(食数記録!$A118=プレビュー!$C$3,食数記録!$B118="昼",食数記録!$F118="女性GH",食数記録!$D118="臨時喫食"),1,0)</f>
        <v>0</v>
      </c>
      <c r="W118" s="0" t="str">
        <f aca="false">IF(V118=1,SUM($V$2:V118),"")</f>
        <v/>
      </c>
      <c r="X118" s="0" t="n">
        <f aca="false">IF(AND(食数記録!$A118=プレビュー!$C$3,食数記録!$B118="夕",食数記録!$F118="女性GH",食数記録!$D118="臨時喫食"),1,0)</f>
        <v>0</v>
      </c>
      <c r="Y118" s="0" t="str">
        <f aca="false">IF(X118=1,SUM($X$2:X118),"")</f>
        <v/>
      </c>
    </row>
    <row r="119" customFormat="false" ht="15" hidden="false" customHeight="false" outlineLevel="0" collapsed="false">
      <c r="B119" s="0" t="n">
        <f aca="false">IF(AND(食数記録!$A119=プレビュー!$C$3,食数記録!$B119="朝",食数記録!$F119="男性入所",食数記録!$D119="欠食"),1,0)</f>
        <v>0</v>
      </c>
      <c r="C119" s="0" t="str">
        <f aca="false">IF(B119=1,SUM($B$2:B119),"")</f>
        <v/>
      </c>
      <c r="D119" s="0" t="n">
        <f aca="false">IF(AND(食数記録!$A119=プレビュー!$C$3,食数記録!$B119="昼",食数記録!$F119="男性入所",食数記録!$D119="欠食"),1,0)</f>
        <v>0</v>
      </c>
      <c r="E119" s="0" t="str">
        <f aca="false">IF(D119=1,SUM($D$2:D119),"")</f>
        <v/>
      </c>
      <c r="F119" s="0" t="n">
        <f aca="false">IF(AND(食数記録!$A119=プレビュー!$C$3,食数記録!$B119="夕",食数記録!$F119="男性入所",食数記録!$D119="欠食"),1,0)</f>
        <v>0</v>
      </c>
      <c r="G119" s="0" t="str">
        <f aca="false">IF(F119=1,SUM($F$2:F119),"")</f>
        <v/>
      </c>
      <c r="H119" s="0" t="n">
        <f aca="false">IF(AND(食数記録!$A119=プレビュー!$C$3,食数記録!$B119="朝",食数記録!$F119="女性入所",食数記録!$D119="欠食"),1,0)</f>
        <v>0</v>
      </c>
      <c r="I119" s="0" t="str">
        <f aca="false">IF(H119=1,SUM($H$2:H119),"")</f>
        <v/>
      </c>
      <c r="J119" s="0" t="n">
        <f aca="false">IF(AND(食数記録!$A119=プレビュー!$C$3,食数記録!$B119="昼",食数記録!$F119="女性入所",食数記録!$D119="欠食"),1,0)</f>
        <v>0</v>
      </c>
      <c r="K119" s="0" t="str">
        <f aca="false">IF(J119=1,SUM($J$2:J119),"")</f>
        <v/>
      </c>
      <c r="L119" s="0" t="n">
        <f aca="false">IF(AND(食数記録!$A119=プレビュー!$C$3,食数記録!$B119="夕",食数記録!$F119="女性入所",食数記録!$D119="欠食"),1,0)</f>
        <v>0</v>
      </c>
      <c r="M119" s="0" t="str">
        <f aca="false">IF(L119=1,SUM($L$2:L119),"")</f>
        <v/>
      </c>
      <c r="N119" s="0" t="n">
        <f aca="false">IF(AND(食数記録!$A119=プレビュー!$C$3,食数記録!$B119="朝",食数記録!$F119="男性GH",食数記録!$D119="臨時喫食"),1,0)</f>
        <v>0</v>
      </c>
      <c r="O119" s="0" t="str">
        <f aca="false">IF(N119=1,SUM($N$2:N119),"")</f>
        <v/>
      </c>
      <c r="P119" s="0" t="n">
        <f aca="false">IF(AND(食数記録!$A119=プレビュー!$C$3,食数記録!$B119="昼",食数記録!$F119="男性GH",食数記録!$D119="臨時喫食"),1,0)</f>
        <v>0</v>
      </c>
      <c r="Q119" s="0" t="str">
        <f aca="false">IF(P119=1,SUM($P$2:P119),"")</f>
        <v/>
      </c>
      <c r="R119" s="0" t="n">
        <f aca="false">IF(AND(食数記録!$A119=プレビュー!$C$3,食数記録!$B119="夕",食数記録!$F119="男性GH",食数記録!$D119="臨時喫食"),1,0)</f>
        <v>0</v>
      </c>
      <c r="S119" s="0" t="str">
        <f aca="false">IF(R119=1,SUM($R$2:R119),"")</f>
        <v/>
      </c>
      <c r="T119" s="0" t="n">
        <f aca="false">IF(AND(食数記録!$A119=プレビュー!$C$3,食数記録!$B119="朝",食数記録!$F119="女性GH",食数記録!$D119="臨時喫食"),1,0)</f>
        <v>0</v>
      </c>
      <c r="U119" s="0" t="str">
        <f aca="false">IF(T119=1,SUM($T$2:T119),"")</f>
        <v/>
      </c>
      <c r="V119" s="0" t="n">
        <f aca="false">IF(AND(食数記録!$A119=プレビュー!$C$3,食数記録!$B119="昼",食数記録!$F119="女性GH",食数記録!$D119="臨時喫食"),1,0)</f>
        <v>0</v>
      </c>
      <c r="W119" s="0" t="str">
        <f aca="false">IF(V119=1,SUM($V$2:V119),"")</f>
        <v/>
      </c>
      <c r="X119" s="0" t="n">
        <f aca="false">IF(AND(食数記録!$A119=プレビュー!$C$3,食数記録!$B119="夕",食数記録!$F119="女性GH",食数記録!$D119="臨時喫食"),1,0)</f>
        <v>0</v>
      </c>
      <c r="Y119" s="0" t="str">
        <f aca="false">IF(X119=1,SUM($X$2:X119),"")</f>
        <v/>
      </c>
    </row>
    <row r="120" customFormat="false" ht="15" hidden="false" customHeight="false" outlineLevel="0" collapsed="false">
      <c r="B120" s="0" t="n">
        <f aca="false">IF(AND(食数記録!$A120=プレビュー!$C$3,食数記録!$B120="朝",食数記録!$F120="男性入所",食数記録!$D120="欠食"),1,0)</f>
        <v>0</v>
      </c>
      <c r="C120" s="0" t="str">
        <f aca="false">IF(B120=1,SUM($B$2:B120),"")</f>
        <v/>
      </c>
      <c r="D120" s="0" t="n">
        <f aca="false">IF(AND(食数記録!$A120=プレビュー!$C$3,食数記録!$B120="昼",食数記録!$F120="男性入所",食数記録!$D120="欠食"),1,0)</f>
        <v>0</v>
      </c>
      <c r="E120" s="0" t="str">
        <f aca="false">IF(D120=1,SUM($D$2:D120),"")</f>
        <v/>
      </c>
      <c r="F120" s="0" t="n">
        <f aca="false">IF(AND(食数記録!$A120=プレビュー!$C$3,食数記録!$B120="夕",食数記録!$F120="男性入所",食数記録!$D120="欠食"),1,0)</f>
        <v>0</v>
      </c>
      <c r="G120" s="0" t="str">
        <f aca="false">IF(F120=1,SUM($F$2:F120),"")</f>
        <v/>
      </c>
      <c r="H120" s="0" t="n">
        <f aca="false">IF(AND(食数記録!$A120=プレビュー!$C$3,食数記録!$B120="朝",食数記録!$F120="女性入所",食数記録!$D120="欠食"),1,0)</f>
        <v>0</v>
      </c>
      <c r="I120" s="0" t="str">
        <f aca="false">IF(H120=1,SUM($H$2:H120),"")</f>
        <v/>
      </c>
      <c r="J120" s="0" t="n">
        <f aca="false">IF(AND(食数記録!$A120=プレビュー!$C$3,食数記録!$B120="昼",食数記録!$F120="女性入所",食数記録!$D120="欠食"),1,0)</f>
        <v>0</v>
      </c>
      <c r="K120" s="0" t="str">
        <f aca="false">IF(J120=1,SUM($J$2:J120),"")</f>
        <v/>
      </c>
      <c r="L120" s="0" t="n">
        <f aca="false">IF(AND(食数記録!$A120=プレビュー!$C$3,食数記録!$B120="夕",食数記録!$F120="女性入所",食数記録!$D120="欠食"),1,0)</f>
        <v>0</v>
      </c>
      <c r="M120" s="0" t="str">
        <f aca="false">IF(L120=1,SUM($L$2:L120),"")</f>
        <v/>
      </c>
      <c r="N120" s="0" t="n">
        <f aca="false">IF(AND(食数記録!$A120=プレビュー!$C$3,食数記録!$B120="朝",食数記録!$F120="男性GH",食数記録!$D120="臨時喫食"),1,0)</f>
        <v>0</v>
      </c>
      <c r="O120" s="0" t="str">
        <f aca="false">IF(N120=1,SUM($N$2:N120),"")</f>
        <v/>
      </c>
      <c r="P120" s="0" t="n">
        <f aca="false">IF(AND(食数記録!$A120=プレビュー!$C$3,食数記録!$B120="昼",食数記録!$F120="男性GH",食数記録!$D120="臨時喫食"),1,0)</f>
        <v>0</v>
      </c>
      <c r="Q120" s="0" t="str">
        <f aca="false">IF(P120=1,SUM($P$2:P120),"")</f>
        <v/>
      </c>
      <c r="R120" s="0" t="n">
        <f aca="false">IF(AND(食数記録!$A120=プレビュー!$C$3,食数記録!$B120="夕",食数記録!$F120="男性GH",食数記録!$D120="臨時喫食"),1,0)</f>
        <v>0</v>
      </c>
      <c r="S120" s="0" t="str">
        <f aca="false">IF(R120=1,SUM($R$2:R120),"")</f>
        <v/>
      </c>
      <c r="T120" s="0" t="n">
        <f aca="false">IF(AND(食数記録!$A120=プレビュー!$C$3,食数記録!$B120="朝",食数記録!$F120="女性GH",食数記録!$D120="臨時喫食"),1,0)</f>
        <v>0</v>
      </c>
      <c r="U120" s="0" t="str">
        <f aca="false">IF(T120=1,SUM($T$2:T120),"")</f>
        <v/>
      </c>
      <c r="V120" s="0" t="n">
        <f aca="false">IF(AND(食数記録!$A120=プレビュー!$C$3,食数記録!$B120="昼",食数記録!$F120="女性GH",食数記録!$D120="臨時喫食"),1,0)</f>
        <v>0</v>
      </c>
      <c r="W120" s="0" t="str">
        <f aca="false">IF(V120=1,SUM($V$2:V120),"")</f>
        <v/>
      </c>
      <c r="X120" s="0" t="n">
        <f aca="false">IF(AND(食数記録!$A120=プレビュー!$C$3,食数記録!$B120="夕",食数記録!$F120="女性GH",食数記録!$D120="臨時喫食"),1,0)</f>
        <v>0</v>
      </c>
      <c r="Y120" s="0" t="str">
        <f aca="false">IF(X120=1,SUM($X$2:X120),"")</f>
        <v/>
      </c>
    </row>
    <row r="121" customFormat="false" ht="15" hidden="false" customHeight="false" outlineLevel="0" collapsed="false">
      <c r="B121" s="0" t="n">
        <f aca="false">IF(AND(食数記録!$A121=プレビュー!$C$3,食数記録!$B121="朝",食数記録!$F121="男性入所",食数記録!$D121="欠食"),1,0)</f>
        <v>0</v>
      </c>
      <c r="C121" s="0" t="str">
        <f aca="false">IF(B121=1,SUM($B$2:B121),"")</f>
        <v/>
      </c>
      <c r="D121" s="0" t="n">
        <f aca="false">IF(AND(食数記録!$A121=プレビュー!$C$3,食数記録!$B121="昼",食数記録!$F121="男性入所",食数記録!$D121="欠食"),1,0)</f>
        <v>0</v>
      </c>
      <c r="E121" s="0" t="str">
        <f aca="false">IF(D121=1,SUM($D$2:D121),"")</f>
        <v/>
      </c>
      <c r="F121" s="0" t="n">
        <f aca="false">IF(AND(食数記録!$A121=プレビュー!$C$3,食数記録!$B121="夕",食数記録!$F121="男性入所",食数記録!$D121="欠食"),1,0)</f>
        <v>0</v>
      </c>
      <c r="G121" s="0" t="str">
        <f aca="false">IF(F121=1,SUM($F$2:F121),"")</f>
        <v/>
      </c>
      <c r="H121" s="0" t="n">
        <f aca="false">IF(AND(食数記録!$A121=プレビュー!$C$3,食数記録!$B121="朝",食数記録!$F121="女性入所",食数記録!$D121="欠食"),1,0)</f>
        <v>0</v>
      </c>
      <c r="I121" s="0" t="str">
        <f aca="false">IF(H121=1,SUM($H$2:H121),"")</f>
        <v/>
      </c>
      <c r="J121" s="0" t="n">
        <f aca="false">IF(AND(食数記録!$A121=プレビュー!$C$3,食数記録!$B121="昼",食数記録!$F121="女性入所",食数記録!$D121="欠食"),1,0)</f>
        <v>0</v>
      </c>
      <c r="K121" s="0" t="str">
        <f aca="false">IF(J121=1,SUM($J$2:J121),"")</f>
        <v/>
      </c>
      <c r="L121" s="0" t="n">
        <f aca="false">IF(AND(食数記録!$A121=プレビュー!$C$3,食数記録!$B121="夕",食数記録!$F121="女性入所",食数記録!$D121="欠食"),1,0)</f>
        <v>0</v>
      </c>
      <c r="M121" s="0" t="str">
        <f aca="false">IF(L121=1,SUM($L$2:L121),"")</f>
        <v/>
      </c>
      <c r="N121" s="0" t="n">
        <f aca="false">IF(AND(食数記録!$A121=プレビュー!$C$3,食数記録!$B121="朝",食数記録!$F121="男性GH",食数記録!$D121="臨時喫食"),1,0)</f>
        <v>0</v>
      </c>
      <c r="O121" s="0" t="str">
        <f aca="false">IF(N121=1,SUM($N$2:N121),"")</f>
        <v/>
      </c>
      <c r="P121" s="0" t="n">
        <f aca="false">IF(AND(食数記録!$A121=プレビュー!$C$3,食数記録!$B121="昼",食数記録!$F121="男性GH",食数記録!$D121="臨時喫食"),1,0)</f>
        <v>0</v>
      </c>
      <c r="Q121" s="0" t="str">
        <f aca="false">IF(P121=1,SUM($P$2:P121),"")</f>
        <v/>
      </c>
      <c r="R121" s="0" t="n">
        <f aca="false">IF(AND(食数記録!$A121=プレビュー!$C$3,食数記録!$B121="夕",食数記録!$F121="男性GH",食数記録!$D121="臨時喫食"),1,0)</f>
        <v>0</v>
      </c>
      <c r="S121" s="0" t="str">
        <f aca="false">IF(R121=1,SUM($R$2:R121),"")</f>
        <v/>
      </c>
      <c r="T121" s="0" t="n">
        <f aca="false">IF(AND(食数記録!$A121=プレビュー!$C$3,食数記録!$B121="朝",食数記録!$F121="女性GH",食数記録!$D121="臨時喫食"),1,0)</f>
        <v>0</v>
      </c>
      <c r="U121" s="0" t="str">
        <f aca="false">IF(T121=1,SUM($T$2:T121),"")</f>
        <v/>
      </c>
      <c r="V121" s="0" t="n">
        <f aca="false">IF(AND(食数記録!$A121=プレビュー!$C$3,食数記録!$B121="昼",食数記録!$F121="女性GH",食数記録!$D121="臨時喫食"),1,0)</f>
        <v>0</v>
      </c>
      <c r="W121" s="0" t="str">
        <f aca="false">IF(V121=1,SUM($V$2:V121),"")</f>
        <v/>
      </c>
      <c r="X121" s="0" t="n">
        <f aca="false">IF(AND(食数記録!$A121=プレビュー!$C$3,食数記録!$B121="夕",食数記録!$F121="女性GH",食数記録!$D121="臨時喫食"),1,0)</f>
        <v>0</v>
      </c>
      <c r="Y121" s="0" t="str">
        <f aca="false">IF(X121=1,SUM($X$2:X121),"")</f>
        <v/>
      </c>
    </row>
    <row r="122" customFormat="false" ht="15" hidden="false" customHeight="false" outlineLevel="0" collapsed="false">
      <c r="B122" s="0" t="n">
        <f aca="false">IF(AND(食数記録!$A122=プレビュー!$C$3,食数記録!$B122="朝",食数記録!$F122="男性入所",食数記録!$D122="欠食"),1,0)</f>
        <v>0</v>
      </c>
      <c r="C122" s="0" t="str">
        <f aca="false">IF(B122=1,SUM($B$2:B122),"")</f>
        <v/>
      </c>
      <c r="D122" s="0" t="n">
        <f aca="false">IF(AND(食数記録!$A122=プレビュー!$C$3,食数記録!$B122="昼",食数記録!$F122="男性入所",食数記録!$D122="欠食"),1,0)</f>
        <v>0</v>
      </c>
      <c r="E122" s="0" t="str">
        <f aca="false">IF(D122=1,SUM($D$2:D122),"")</f>
        <v/>
      </c>
      <c r="F122" s="0" t="n">
        <f aca="false">IF(AND(食数記録!$A122=プレビュー!$C$3,食数記録!$B122="夕",食数記録!$F122="男性入所",食数記録!$D122="欠食"),1,0)</f>
        <v>0</v>
      </c>
      <c r="G122" s="0" t="str">
        <f aca="false">IF(F122=1,SUM($F$2:F122),"")</f>
        <v/>
      </c>
      <c r="H122" s="0" t="n">
        <f aca="false">IF(AND(食数記録!$A122=プレビュー!$C$3,食数記録!$B122="朝",食数記録!$F122="女性入所",食数記録!$D122="欠食"),1,0)</f>
        <v>0</v>
      </c>
      <c r="I122" s="0" t="str">
        <f aca="false">IF(H122=1,SUM($H$2:H122),"")</f>
        <v/>
      </c>
      <c r="J122" s="0" t="n">
        <f aca="false">IF(AND(食数記録!$A122=プレビュー!$C$3,食数記録!$B122="昼",食数記録!$F122="女性入所",食数記録!$D122="欠食"),1,0)</f>
        <v>0</v>
      </c>
      <c r="K122" s="0" t="str">
        <f aca="false">IF(J122=1,SUM($J$2:J122),"")</f>
        <v/>
      </c>
      <c r="L122" s="0" t="n">
        <f aca="false">IF(AND(食数記録!$A122=プレビュー!$C$3,食数記録!$B122="夕",食数記録!$F122="女性入所",食数記録!$D122="欠食"),1,0)</f>
        <v>0</v>
      </c>
      <c r="M122" s="0" t="str">
        <f aca="false">IF(L122=1,SUM($L$2:L122),"")</f>
        <v/>
      </c>
      <c r="N122" s="0" t="n">
        <f aca="false">IF(AND(食数記録!$A122=プレビュー!$C$3,食数記録!$B122="朝",食数記録!$F122="男性GH",食数記録!$D122="臨時喫食"),1,0)</f>
        <v>0</v>
      </c>
      <c r="O122" s="0" t="str">
        <f aca="false">IF(N122=1,SUM($N$2:N122),"")</f>
        <v/>
      </c>
      <c r="P122" s="0" t="n">
        <f aca="false">IF(AND(食数記録!$A122=プレビュー!$C$3,食数記録!$B122="昼",食数記録!$F122="男性GH",食数記録!$D122="臨時喫食"),1,0)</f>
        <v>0</v>
      </c>
      <c r="Q122" s="0" t="str">
        <f aca="false">IF(P122=1,SUM($P$2:P122),"")</f>
        <v/>
      </c>
      <c r="R122" s="0" t="n">
        <f aca="false">IF(AND(食数記録!$A122=プレビュー!$C$3,食数記録!$B122="夕",食数記録!$F122="男性GH",食数記録!$D122="臨時喫食"),1,0)</f>
        <v>0</v>
      </c>
      <c r="S122" s="0" t="str">
        <f aca="false">IF(R122=1,SUM($R$2:R122),"")</f>
        <v/>
      </c>
      <c r="T122" s="0" t="n">
        <f aca="false">IF(AND(食数記録!$A122=プレビュー!$C$3,食数記録!$B122="朝",食数記録!$F122="女性GH",食数記録!$D122="臨時喫食"),1,0)</f>
        <v>0</v>
      </c>
      <c r="U122" s="0" t="str">
        <f aca="false">IF(T122=1,SUM($T$2:T122),"")</f>
        <v/>
      </c>
      <c r="V122" s="0" t="n">
        <f aca="false">IF(AND(食数記録!$A122=プレビュー!$C$3,食数記録!$B122="昼",食数記録!$F122="女性GH",食数記録!$D122="臨時喫食"),1,0)</f>
        <v>0</v>
      </c>
      <c r="W122" s="0" t="str">
        <f aca="false">IF(V122=1,SUM($V$2:V122),"")</f>
        <v/>
      </c>
      <c r="X122" s="0" t="n">
        <f aca="false">IF(AND(食数記録!$A122=プレビュー!$C$3,食数記録!$B122="夕",食数記録!$F122="女性GH",食数記録!$D122="臨時喫食"),1,0)</f>
        <v>0</v>
      </c>
      <c r="Y122" s="0" t="str">
        <f aca="false">IF(X122=1,SUM($X$2:X122),"")</f>
        <v/>
      </c>
    </row>
    <row r="123" customFormat="false" ht="15" hidden="false" customHeight="false" outlineLevel="0" collapsed="false">
      <c r="B123" s="0" t="n">
        <f aca="false">IF(AND(食数記録!$A123=プレビュー!$C$3,食数記録!$B123="朝",食数記録!$F123="男性入所",食数記録!$D123="欠食"),1,0)</f>
        <v>0</v>
      </c>
      <c r="C123" s="0" t="str">
        <f aca="false">IF(B123=1,SUM($B$2:B123),"")</f>
        <v/>
      </c>
      <c r="D123" s="0" t="n">
        <f aca="false">IF(AND(食数記録!$A123=プレビュー!$C$3,食数記録!$B123="昼",食数記録!$F123="男性入所",食数記録!$D123="欠食"),1,0)</f>
        <v>0</v>
      </c>
      <c r="E123" s="0" t="str">
        <f aca="false">IF(D123=1,SUM($D$2:D123),"")</f>
        <v/>
      </c>
      <c r="F123" s="0" t="n">
        <f aca="false">IF(AND(食数記録!$A123=プレビュー!$C$3,食数記録!$B123="夕",食数記録!$F123="男性入所",食数記録!$D123="欠食"),1,0)</f>
        <v>0</v>
      </c>
      <c r="G123" s="0" t="str">
        <f aca="false">IF(F123=1,SUM($F$2:F123),"")</f>
        <v/>
      </c>
      <c r="H123" s="0" t="n">
        <f aca="false">IF(AND(食数記録!$A123=プレビュー!$C$3,食数記録!$B123="朝",食数記録!$F123="女性入所",食数記録!$D123="欠食"),1,0)</f>
        <v>0</v>
      </c>
      <c r="I123" s="0" t="str">
        <f aca="false">IF(H123=1,SUM($H$2:H123),"")</f>
        <v/>
      </c>
      <c r="J123" s="0" t="n">
        <f aca="false">IF(AND(食数記録!$A123=プレビュー!$C$3,食数記録!$B123="昼",食数記録!$F123="女性入所",食数記録!$D123="欠食"),1,0)</f>
        <v>0</v>
      </c>
      <c r="K123" s="0" t="str">
        <f aca="false">IF(J123=1,SUM($J$2:J123),"")</f>
        <v/>
      </c>
      <c r="L123" s="0" t="n">
        <f aca="false">IF(AND(食数記録!$A123=プレビュー!$C$3,食数記録!$B123="夕",食数記録!$F123="女性入所",食数記録!$D123="欠食"),1,0)</f>
        <v>0</v>
      </c>
      <c r="M123" s="0" t="str">
        <f aca="false">IF(L123=1,SUM($L$2:L123),"")</f>
        <v/>
      </c>
      <c r="N123" s="0" t="n">
        <f aca="false">IF(AND(食数記録!$A123=プレビュー!$C$3,食数記録!$B123="朝",食数記録!$F123="男性GH",食数記録!$D123="臨時喫食"),1,0)</f>
        <v>0</v>
      </c>
      <c r="O123" s="0" t="str">
        <f aca="false">IF(N123=1,SUM($N$2:N123),"")</f>
        <v/>
      </c>
      <c r="P123" s="0" t="n">
        <f aca="false">IF(AND(食数記録!$A123=プレビュー!$C$3,食数記録!$B123="昼",食数記録!$F123="男性GH",食数記録!$D123="臨時喫食"),1,0)</f>
        <v>0</v>
      </c>
      <c r="Q123" s="0" t="str">
        <f aca="false">IF(P123=1,SUM($P$2:P123),"")</f>
        <v/>
      </c>
      <c r="R123" s="0" t="n">
        <f aca="false">IF(AND(食数記録!$A123=プレビュー!$C$3,食数記録!$B123="夕",食数記録!$F123="男性GH",食数記録!$D123="臨時喫食"),1,0)</f>
        <v>0</v>
      </c>
      <c r="S123" s="0" t="str">
        <f aca="false">IF(R123=1,SUM($R$2:R123),"")</f>
        <v/>
      </c>
      <c r="T123" s="0" t="n">
        <f aca="false">IF(AND(食数記録!$A123=プレビュー!$C$3,食数記録!$B123="朝",食数記録!$F123="女性GH",食数記録!$D123="臨時喫食"),1,0)</f>
        <v>0</v>
      </c>
      <c r="U123" s="0" t="str">
        <f aca="false">IF(T123=1,SUM($T$2:T123),"")</f>
        <v/>
      </c>
      <c r="V123" s="0" t="n">
        <f aca="false">IF(AND(食数記録!$A123=プレビュー!$C$3,食数記録!$B123="昼",食数記録!$F123="女性GH",食数記録!$D123="臨時喫食"),1,0)</f>
        <v>0</v>
      </c>
      <c r="W123" s="0" t="str">
        <f aca="false">IF(V123=1,SUM($V$2:V123),"")</f>
        <v/>
      </c>
      <c r="X123" s="0" t="n">
        <f aca="false">IF(AND(食数記録!$A123=プレビュー!$C$3,食数記録!$B123="夕",食数記録!$F123="女性GH",食数記録!$D123="臨時喫食"),1,0)</f>
        <v>0</v>
      </c>
      <c r="Y123" s="0" t="str">
        <f aca="false">IF(X123=1,SUM($X$2:X123),"")</f>
        <v/>
      </c>
    </row>
    <row r="124" customFormat="false" ht="15" hidden="false" customHeight="false" outlineLevel="0" collapsed="false">
      <c r="B124" s="0" t="n">
        <f aca="false">IF(AND(食数記録!$A124=プレビュー!$C$3,食数記録!$B124="朝",食数記録!$F124="男性入所",食数記録!$D124="欠食"),1,0)</f>
        <v>0</v>
      </c>
      <c r="C124" s="0" t="str">
        <f aca="false">IF(B124=1,SUM($B$2:B124),"")</f>
        <v/>
      </c>
      <c r="D124" s="0" t="n">
        <f aca="false">IF(AND(食数記録!$A124=プレビュー!$C$3,食数記録!$B124="昼",食数記録!$F124="男性入所",食数記録!$D124="欠食"),1,0)</f>
        <v>0</v>
      </c>
      <c r="E124" s="0" t="str">
        <f aca="false">IF(D124=1,SUM($D$2:D124),"")</f>
        <v/>
      </c>
      <c r="F124" s="0" t="n">
        <f aca="false">IF(AND(食数記録!$A124=プレビュー!$C$3,食数記録!$B124="夕",食数記録!$F124="男性入所",食数記録!$D124="欠食"),1,0)</f>
        <v>0</v>
      </c>
      <c r="G124" s="0" t="str">
        <f aca="false">IF(F124=1,SUM($F$2:F124),"")</f>
        <v/>
      </c>
      <c r="H124" s="0" t="n">
        <f aca="false">IF(AND(食数記録!$A124=プレビュー!$C$3,食数記録!$B124="朝",食数記録!$F124="女性入所",食数記録!$D124="欠食"),1,0)</f>
        <v>0</v>
      </c>
      <c r="I124" s="0" t="str">
        <f aca="false">IF(H124=1,SUM($H$2:H124),"")</f>
        <v/>
      </c>
      <c r="J124" s="0" t="n">
        <f aca="false">IF(AND(食数記録!$A124=プレビュー!$C$3,食数記録!$B124="昼",食数記録!$F124="女性入所",食数記録!$D124="欠食"),1,0)</f>
        <v>0</v>
      </c>
      <c r="K124" s="0" t="str">
        <f aca="false">IF(J124=1,SUM($J$2:J124),"")</f>
        <v/>
      </c>
      <c r="L124" s="0" t="n">
        <f aca="false">IF(AND(食数記録!$A124=プレビュー!$C$3,食数記録!$B124="夕",食数記録!$F124="女性入所",食数記録!$D124="欠食"),1,0)</f>
        <v>0</v>
      </c>
      <c r="M124" s="0" t="str">
        <f aca="false">IF(L124=1,SUM($L$2:L124),"")</f>
        <v/>
      </c>
      <c r="N124" s="0" t="n">
        <f aca="false">IF(AND(食数記録!$A124=プレビュー!$C$3,食数記録!$B124="朝",食数記録!$F124="男性GH",食数記録!$D124="臨時喫食"),1,0)</f>
        <v>0</v>
      </c>
      <c r="O124" s="0" t="str">
        <f aca="false">IF(N124=1,SUM($N$2:N124),"")</f>
        <v/>
      </c>
      <c r="P124" s="0" t="n">
        <f aca="false">IF(AND(食数記録!$A124=プレビュー!$C$3,食数記録!$B124="昼",食数記録!$F124="男性GH",食数記録!$D124="臨時喫食"),1,0)</f>
        <v>0</v>
      </c>
      <c r="Q124" s="0" t="str">
        <f aca="false">IF(P124=1,SUM($P$2:P124),"")</f>
        <v/>
      </c>
      <c r="R124" s="0" t="n">
        <f aca="false">IF(AND(食数記録!$A124=プレビュー!$C$3,食数記録!$B124="夕",食数記録!$F124="男性GH",食数記録!$D124="臨時喫食"),1,0)</f>
        <v>0</v>
      </c>
      <c r="S124" s="0" t="str">
        <f aca="false">IF(R124=1,SUM($R$2:R124),"")</f>
        <v/>
      </c>
      <c r="T124" s="0" t="n">
        <f aca="false">IF(AND(食数記録!$A124=プレビュー!$C$3,食数記録!$B124="朝",食数記録!$F124="女性GH",食数記録!$D124="臨時喫食"),1,0)</f>
        <v>0</v>
      </c>
      <c r="U124" s="0" t="str">
        <f aca="false">IF(T124=1,SUM($T$2:T124),"")</f>
        <v/>
      </c>
      <c r="V124" s="0" t="n">
        <f aca="false">IF(AND(食数記録!$A124=プレビュー!$C$3,食数記録!$B124="昼",食数記録!$F124="女性GH",食数記録!$D124="臨時喫食"),1,0)</f>
        <v>0</v>
      </c>
      <c r="W124" s="0" t="str">
        <f aca="false">IF(V124=1,SUM($V$2:V124),"")</f>
        <v/>
      </c>
      <c r="X124" s="0" t="n">
        <f aca="false">IF(AND(食数記録!$A124=プレビュー!$C$3,食数記録!$B124="夕",食数記録!$F124="女性GH",食数記録!$D124="臨時喫食"),1,0)</f>
        <v>0</v>
      </c>
      <c r="Y124" s="0" t="str">
        <f aca="false">IF(X124=1,SUM($X$2:X124),"")</f>
        <v/>
      </c>
    </row>
    <row r="125" customFormat="false" ht="15" hidden="false" customHeight="false" outlineLevel="0" collapsed="false">
      <c r="B125" s="0" t="n">
        <f aca="false">IF(AND(食数記録!$A125=プレビュー!$C$3,食数記録!$B125="朝",食数記録!$F125="男性入所",食数記録!$D125="欠食"),1,0)</f>
        <v>0</v>
      </c>
      <c r="C125" s="0" t="str">
        <f aca="false">IF(B125=1,SUM($B$2:B125),"")</f>
        <v/>
      </c>
      <c r="D125" s="0" t="n">
        <f aca="false">IF(AND(食数記録!$A125=プレビュー!$C$3,食数記録!$B125="昼",食数記録!$F125="男性入所",食数記録!$D125="欠食"),1,0)</f>
        <v>0</v>
      </c>
      <c r="E125" s="0" t="str">
        <f aca="false">IF(D125=1,SUM($D$2:D125),"")</f>
        <v/>
      </c>
      <c r="F125" s="0" t="n">
        <f aca="false">IF(AND(食数記録!$A125=プレビュー!$C$3,食数記録!$B125="夕",食数記録!$F125="男性入所",食数記録!$D125="欠食"),1,0)</f>
        <v>0</v>
      </c>
      <c r="G125" s="0" t="str">
        <f aca="false">IF(F125=1,SUM($F$2:F125),"")</f>
        <v/>
      </c>
      <c r="H125" s="0" t="n">
        <f aca="false">IF(AND(食数記録!$A125=プレビュー!$C$3,食数記録!$B125="朝",食数記録!$F125="女性入所",食数記録!$D125="欠食"),1,0)</f>
        <v>0</v>
      </c>
      <c r="I125" s="0" t="str">
        <f aca="false">IF(H125=1,SUM($H$2:H125),"")</f>
        <v/>
      </c>
      <c r="J125" s="0" t="n">
        <f aca="false">IF(AND(食数記録!$A125=プレビュー!$C$3,食数記録!$B125="昼",食数記録!$F125="女性入所",食数記録!$D125="欠食"),1,0)</f>
        <v>0</v>
      </c>
      <c r="K125" s="0" t="str">
        <f aca="false">IF(J125=1,SUM($J$2:J125),"")</f>
        <v/>
      </c>
      <c r="L125" s="0" t="n">
        <f aca="false">IF(AND(食数記録!$A125=プレビュー!$C$3,食数記録!$B125="夕",食数記録!$F125="女性入所",食数記録!$D125="欠食"),1,0)</f>
        <v>0</v>
      </c>
      <c r="M125" s="0" t="str">
        <f aca="false">IF(L125=1,SUM($L$2:L125),"")</f>
        <v/>
      </c>
      <c r="N125" s="0" t="n">
        <f aca="false">IF(AND(食数記録!$A125=プレビュー!$C$3,食数記録!$B125="朝",食数記録!$F125="男性GH",食数記録!$D125="臨時喫食"),1,0)</f>
        <v>0</v>
      </c>
      <c r="O125" s="0" t="str">
        <f aca="false">IF(N125=1,SUM($N$2:N125),"")</f>
        <v/>
      </c>
      <c r="P125" s="0" t="n">
        <f aca="false">IF(AND(食数記録!$A125=プレビュー!$C$3,食数記録!$B125="昼",食数記録!$F125="男性GH",食数記録!$D125="臨時喫食"),1,0)</f>
        <v>0</v>
      </c>
      <c r="Q125" s="0" t="str">
        <f aca="false">IF(P125=1,SUM($P$2:P125),"")</f>
        <v/>
      </c>
      <c r="R125" s="0" t="n">
        <f aca="false">IF(AND(食数記録!$A125=プレビュー!$C$3,食数記録!$B125="夕",食数記録!$F125="男性GH",食数記録!$D125="臨時喫食"),1,0)</f>
        <v>0</v>
      </c>
      <c r="S125" s="0" t="str">
        <f aca="false">IF(R125=1,SUM($R$2:R125),"")</f>
        <v/>
      </c>
      <c r="T125" s="0" t="n">
        <f aca="false">IF(AND(食数記録!$A125=プレビュー!$C$3,食数記録!$B125="朝",食数記録!$F125="女性GH",食数記録!$D125="臨時喫食"),1,0)</f>
        <v>0</v>
      </c>
      <c r="U125" s="0" t="str">
        <f aca="false">IF(T125=1,SUM($T$2:T125),"")</f>
        <v/>
      </c>
      <c r="V125" s="0" t="n">
        <f aca="false">IF(AND(食数記録!$A125=プレビュー!$C$3,食数記録!$B125="昼",食数記録!$F125="女性GH",食数記録!$D125="臨時喫食"),1,0)</f>
        <v>0</v>
      </c>
      <c r="W125" s="0" t="str">
        <f aca="false">IF(V125=1,SUM($V$2:V125),"")</f>
        <v/>
      </c>
      <c r="X125" s="0" t="n">
        <f aca="false">IF(AND(食数記録!$A125=プレビュー!$C$3,食数記録!$B125="夕",食数記録!$F125="女性GH",食数記録!$D125="臨時喫食"),1,0)</f>
        <v>0</v>
      </c>
      <c r="Y125" s="0" t="str">
        <f aca="false">IF(X125=1,SUM($X$2:X125),"")</f>
        <v/>
      </c>
    </row>
    <row r="126" customFormat="false" ht="15" hidden="false" customHeight="false" outlineLevel="0" collapsed="false">
      <c r="B126" s="0" t="n">
        <f aca="false">IF(AND(食数記録!$A126=プレビュー!$C$3,食数記録!$B126="朝",食数記録!$F126="男性入所",食数記録!$D126="欠食"),1,0)</f>
        <v>0</v>
      </c>
      <c r="C126" s="0" t="str">
        <f aca="false">IF(B126=1,SUM($B$2:B126),"")</f>
        <v/>
      </c>
      <c r="D126" s="0" t="n">
        <f aca="false">IF(AND(食数記録!$A126=プレビュー!$C$3,食数記録!$B126="昼",食数記録!$F126="男性入所",食数記録!$D126="欠食"),1,0)</f>
        <v>0</v>
      </c>
      <c r="E126" s="0" t="str">
        <f aca="false">IF(D126=1,SUM($D$2:D126),"")</f>
        <v/>
      </c>
      <c r="F126" s="0" t="n">
        <f aca="false">IF(AND(食数記録!$A126=プレビュー!$C$3,食数記録!$B126="夕",食数記録!$F126="男性入所",食数記録!$D126="欠食"),1,0)</f>
        <v>0</v>
      </c>
      <c r="G126" s="0" t="str">
        <f aca="false">IF(F126=1,SUM($F$2:F126),"")</f>
        <v/>
      </c>
      <c r="H126" s="0" t="n">
        <f aca="false">IF(AND(食数記録!$A126=プレビュー!$C$3,食数記録!$B126="朝",食数記録!$F126="女性入所",食数記録!$D126="欠食"),1,0)</f>
        <v>0</v>
      </c>
      <c r="I126" s="0" t="str">
        <f aca="false">IF(H126=1,SUM($H$2:H126),"")</f>
        <v/>
      </c>
      <c r="J126" s="0" t="n">
        <f aca="false">IF(AND(食数記録!$A126=プレビュー!$C$3,食数記録!$B126="昼",食数記録!$F126="女性入所",食数記録!$D126="欠食"),1,0)</f>
        <v>0</v>
      </c>
      <c r="K126" s="0" t="str">
        <f aca="false">IF(J126=1,SUM($J$2:J126),"")</f>
        <v/>
      </c>
      <c r="L126" s="0" t="n">
        <f aca="false">IF(AND(食数記録!$A126=プレビュー!$C$3,食数記録!$B126="夕",食数記録!$F126="女性入所",食数記録!$D126="欠食"),1,0)</f>
        <v>0</v>
      </c>
      <c r="M126" s="0" t="str">
        <f aca="false">IF(L126=1,SUM($L$2:L126),"")</f>
        <v/>
      </c>
      <c r="N126" s="0" t="n">
        <f aca="false">IF(AND(食数記録!$A126=プレビュー!$C$3,食数記録!$B126="朝",食数記録!$F126="男性GH",食数記録!$D126="臨時喫食"),1,0)</f>
        <v>0</v>
      </c>
      <c r="O126" s="0" t="str">
        <f aca="false">IF(N126=1,SUM($N$2:N126),"")</f>
        <v/>
      </c>
      <c r="P126" s="0" t="n">
        <f aca="false">IF(AND(食数記録!$A126=プレビュー!$C$3,食数記録!$B126="昼",食数記録!$F126="男性GH",食数記録!$D126="臨時喫食"),1,0)</f>
        <v>0</v>
      </c>
      <c r="Q126" s="0" t="str">
        <f aca="false">IF(P126=1,SUM($P$2:P126),"")</f>
        <v/>
      </c>
      <c r="R126" s="0" t="n">
        <f aca="false">IF(AND(食数記録!$A126=プレビュー!$C$3,食数記録!$B126="夕",食数記録!$F126="男性GH",食数記録!$D126="臨時喫食"),1,0)</f>
        <v>0</v>
      </c>
      <c r="S126" s="0" t="str">
        <f aca="false">IF(R126=1,SUM($R$2:R126),"")</f>
        <v/>
      </c>
      <c r="T126" s="0" t="n">
        <f aca="false">IF(AND(食数記録!$A126=プレビュー!$C$3,食数記録!$B126="朝",食数記録!$F126="女性GH",食数記録!$D126="臨時喫食"),1,0)</f>
        <v>0</v>
      </c>
      <c r="U126" s="0" t="str">
        <f aca="false">IF(T126=1,SUM($T$2:T126),"")</f>
        <v/>
      </c>
      <c r="V126" s="0" t="n">
        <f aca="false">IF(AND(食数記録!$A126=プレビュー!$C$3,食数記録!$B126="昼",食数記録!$F126="女性GH",食数記録!$D126="臨時喫食"),1,0)</f>
        <v>0</v>
      </c>
      <c r="W126" s="0" t="str">
        <f aca="false">IF(V126=1,SUM($V$2:V126),"")</f>
        <v/>
      </c>
      <c r="X126" s="0" t="n">
        <f aca="false">IF(AND(食数記録!$A126=プレビュー!$C$3,食数記録!$B126="夕",食数記録!$F126="女性GH",食数記録!$D126="臨時喫食"),1,0)</f>
        <v>0</v>
      </c>
      <c r="Y126" s="0" t="str">
        <f aca="false">IF(X126=1,SUM($X$2:X126),"")</f>
        <v/>
      </c>
    </row>
    <row r="127" customFormat="false" ht="15" hidden="false" customHeight="false" outlineLevel="0" collapsed="false">
      <c r="B127" s="0" t="n">
        <f aca="false">IF(AND(食数記録!$A127=プレビュー!$C$3,食数記録!$B127="朝",食数記録!$F127="男性入所",食数記録!$D127="欠食"),1,0)</f>
        <v>0</v>
      </c>
      <c r="C127" s="0" t="str">
        <f aca="false">IF(B127=1,SUM($B$2:B127),"")</f>
        <v/>
      </c>
      <c r="D127" s="0" t="n">
        <f aca="false">IF(AND(食数記録!$A127=プレビュー!$C$3,食数記録!$B127="昼",食数記録!$F127="男性入所",食数記録!$D127="欠食"),1,0)</f>
        <v>0</v>
      </c>
      <c r="E127" s="0" t="str">
        <f aca="false">IF(D127=1,SUM($D$2:D127),"")</f>
        <v/>
      </c>
      <c r="F127" s="0" t="n">
        <f aca="false">IF(AND(食数記録!$A127=プレビュー!$C$3,食数記録!$B127="夕",食数記録!$F127="男性入所",食数記録!$D127="欠食"),1,0)</f>
        <v>0</v>
      </c>
      <c r="G127" s="0" t="str">
        <f aca="false">IF(F127=1,SUM($F$2:F127),"")</f>
        <v/>
      </c>
      <c r="H127" s="0" t="n">
        <f aca="false">IF(AND(食数記録!$A127=プレビュー!$C$3,食数記録!$B127="朝",食数記録!$F127="女性入所",食数記録!$D127="欠食"),1,0)</f>
        <v>0</v>
      </c>
      <c r="I127" s="0" t="str">
        <f aca="false">IF(H127=1,SUM($H$2:H127),"")</f>
        <v/>
      </c>
      <c r="J127" s="0" t="n">
        <f aca="false">IF(AND(食数記録!$A127=プレビュー!$C$3,食数記録!$B127="昼",食数記録!$F127="女性入所",食数記録!$D127="欠食"),1,0)</f>
        <v>0</v>
      </c>
      <c r="K127" s="0" t="str">
        <f aca="false">IF(J127=1,SUM($J$2:J127),"")</f>
        <v/>
      </c>
      <c r="L127" s="0" t="n">
        <f aca="false">IF(AND(食数記録!$A127=プレビュー!$C$3,食数記録!$B127="夕",食数記録!$F127="女性入所",食数記録!$D127="欠食"),1,0)</f>
        <v>0</v>
      </c>
      <c r="M127" s="0" t="str">
        <f aca="false">IF(L127=1,SUM($L$2:L127),"")</f>
        <v/>
      </c>
      <c r="N127" s="0" t="n">
        <f aca="false">IF(AND(食数記録!$A127=プレビュー!$C$3,食数記録!$B127="朝",食数記録!$F127="男性GH",食数記録!$D127="臨時喫食"),1,0)</f>
        <v>0</v>
      </c>
      <c r="O127" s="0" t="str">
        <f aca="false">IF(N127=1,SUM($N$2:N127),"")</f>
        <v/>
      </c>
      <c r="P127" s="0" t="n">
        <f aca="false">IF(AND(食数記録!$A127=プレビュー!$C$3,食数記録!$B127="昼",食数記録!$F127="男性GH",食数記録!$D127="臨時喫食"),1,0)</f>
        <v>0</v>
      </c>
      <c r="Q127" s="0" t="str">
        <f aca="false">IF(P127=1,SUM($P$2:P127),"")</f>
        <v/>
      </c>
      <c r="R127" s="0" t="n">
        <f aca="false">IF(AND(食数記録!$A127=プレビュー!$C$3,食数記録!$B127="夕",食数記録!$F127="男性GH",食数記録!$D127="臨時喫食"),1,0)</f>
        <v>0</v>
      </c>
      <c r="S127" s="0" t="str">
        <f aca="false">IF(R127=1,SUM($R$2:R127),"")</f>
        <v/>
      </c>
      <c r="T127" s="0" t="n">
        <f aca="false">IF(AND(食数記録!$A127=プレビュー!$C$3,食数記録!$B127="朝",食数記録!$F127="女性GH",食数記録!$D127="臨時喫食"),1,0)</f>
        <v>0</v>
      </c>
      <c r="U127" s="0" t="str">
        <f aca="false">IF(T127=1,SUM($T$2:T127),"")</f>
        <v/>
      </c>
      <c r="V127" s="0" t="n">
        <f aca="false">IF(AND(食数記録!$A127=プレビュー!$C$3,食数記録!$B127="昼",食数記録!$F127="女性GH",食数記録!$D127="臨時喫食"),1,0)</f>
        <v>0</v>
      </c>
      <c r="W127" s="0" t="str">
        <f aca="false">IF(V127=1,SUM($V$2:V127),"")</f>
        <v/>
      </c>
      <c r="X127" s="0" t="n">
        <f aca="false">IF(AND(食数記録!$A127=プレビュー!$C$3,食数記録!$B127="夕",食数記録!$F127="女性GH",食数記録!$D127="臨時喫食"),1,0)</f>
        <v>0</v>
      </c>
      <c r="Y127" s="0" t="str">
        <f aca="false">IF(X127=1,SUM($X$2:X127),"")</f>
        <v/>
      </c>
    </row>
    <row r="128" customFormat="false" ht="15" hidden="false" customHeight="false" outlineLevel="0" collapsed="false">
      <c r="B128" s="0" t="n">
        <f aca="false">IF(AND(食数記録!$A128=プレビュー!$C$3,食数記録!$B128="朝",食数記録!$F128="男性入所",食数記録!$D128="欠食"),1,0)</f>
        <v>0</v>
      </c>
      <c r="C128" s="0" t="str">
        <f aca="false">IF(B128=1,SUM($B$2:B128),"")</f>
        <v/>
      </c>
      <c r="D128" s="0" t="n">
        <f aca="false">IF(AND(食数記録!$A128=プレビュー!$C$3,食数記録!$B128="昼",食数記録!$F128="男性入所",食数記録!$D128="欠食"),1,0)</f>
        <v>0</v>
      </c>
      <c r="E128" s="0" t="str">
        <f aca="false">IF(D128=1,SUM($D$2:D128),"")</f>
        <v/>
      </c>
      <c r="F128" s="0" t="n">
        <f aca="false">IF(AND(食数記録!$A128=プレビュー!$C$3,食数記録!$B128="夕",食数記録!$F128="男性入所",食数記録!$D128="欠食"),1,0)</f>
        <v>0</v>
      </c>
      <c r="G128" s="0" t="str">
        <f aca="false">IF(F128=1,SUM($F$2:F128),"")</f>
        <v/>
      </c>
      <c r="H128" s="0" t="n">
        <f aca="false">IF(AND(食数記録!$A128=プレビュー!$C$3,食数記録!$B128="朝",食数記録!$F128="女性入所",食数記録!$D128="欠食"),1,0)</f>
        <v>0</v>
      </c>
      <c r="I128" s="0" t="str">
        <f aca="false">IF(H128=1,SUM($H$2:H128),"")</f>
        <v/>
      </c>
      <c r="J128" s="0" t="n">
        <f aca="false">IF(AND(食数記録!$A128=プレビュー!$C$3,食数記録!$B128="昼",食数記録!$F128="女性入所",食数記録!$D128="欠食"),1,0)</f>
        <v>0</v>
      </c>
      <c r="K128" s="0" t="str">
        <f aca="false">IF(J128=1,SUM($J$2:J128),"")</f>
        <v/>
      </c>
      <c r="L128" s="0" t="n">
        <f aca="false">IF(AND(食数記録!$A128=プレビュー!$C$3,食数記録!$B128="夕",食数記録!$F128="女性入所",食数記録!$D128="欠食"),1,0)</f>
        <v>0</v>
      </c>
      <c r="M128" s="0" t="str">
        <f aca="false">IF(L128=1,SUM($L$2:L128),"")</f>
        <v/>
      </c>
      <c r="N128" s="0" t="n">
        <f aca="false">IF(AND(食数記録!$A128=プレビュー!$C$3,食数記録!$B128="朝",食数記録!$F128="男性GH",食数記録!$D128="臨時喫食"),1,0)</f>
        <v>0</v>
      </c>
      <c r="O128" s="0" t="str">
        <f aca="false">IF(N128=1,SUM($N$2:N128),"")</f>
        <v/>
      </c>
      <c r="P128" s="0" t="n">
        <f aca="false">IF(AND(食数記録!$A128=プレビュー!$C$3,食数記録!$B128="昼",食数記録!$F128="男性GH",食数記録!$D128="臨時喫食"),1,0)</f>
        <v>0</v>
      </c>
      <c r="Q128" s="0" t="str">
        <f aca="false">IF(P128=1,SUM($P$2:P128),"")</f>
        <v/>
      </c>
      <c r="R128" s="0" t="n">
        <f aca="false">IF(AND(食数記録!$A128=プレビュー!$C$3,食数記録!$B128="夕",食数記録!$F128="男性GH",食数記録!$D128="臨時喫食"),1,0)</f>
        <v>0</v>
      </c>
      <c r="S128" s="0" t="str">
        <f aca="false">IF(R128=1,SUM($R$2:R128),"")</f>
        <v/>
      </c>
      <c r="T128" s="0" t="n">
        <f aca="false">IF(AND(食数記録!$A128=プレビュー!$C$3,食数記録!$B128="朝",食数記録!$F128="女性GH",食数記録!$D128="臨時喫食"),1,0)</f>
        <v>0</v>
      </c>
      <c r="U128" s="0" t="str">
        <f aca="false">IF(T128=1,SUM($T$2:T128),"")</f>
        <v/>
      </c>
      <c r="V128" s="0" t="n">
        <f aca="false">IF(AND(食数記録!$A128=プレビュー!$C$3,食数記録!$B128="昼",食数記録!$F128="女性GH",食数記録!$D128="臨時喫食"),1,0)</f>
        <v>0</v>
      </c>
      <c r="W128" s="0" t="str">
        <f aca="false">IF(V128=1,SUM($V$2:V128),"")</f>
        <v/>
      </c>
      <c r="X128" s="0" t="n">
        <f aca="false">IF(AND(食数記録!$A128=プレビュー!$C$3,食数記録!$B128="夕",食数記録!$F128="女性GH",食数記録!$D128="臨時喫食"),1,0)</f>
        <v>0</v>
      </c>
      <c r="Y128" s="0" t="str">
        <f aca="false">IF(X128=1,SUM($X$2:X128),"")</f>
        <v/>
      </c>
    </row>
    <row r="129" customFormat="false" ht="15" hidden="false" customHeight="false" outlineLevel="0" collapsed="false">
      <c r="B129" s="0" t="n">
        <f aca="false">IF(AND(食数記録!$A129=プレビュー!$C$3,食数記録!$B129="朝",食数記録!$F129="男性入所",食数記録!$D129="欠食"),1,0)</f>
        <v>0</v>
      </c>
      <c r="C129" s="0" t="str">
        <f aca="false">IF(B129=1,SUM($B$2:B129),"")</f>
        <v/>
      </c>
      <c r="D129" s="0" t="n">
        <f aca="false">IF(AND(食数記録!$A129=プレビュー!$C$3,食数記録!$B129="昼",食数記録!$F129="男性入所",食数記録!$D129="欠食"),1,0)</f>
        <v>0</v>
      </c>
      <c r="E129" s="0" t="str">
        <f aca="false">IF(D129=1,SUM($D$2:D129),"")</f>
        <v/>
      </c>
      <c r="F129" s="0" t="n">
        <f aca="false">IF(AND(食数記録!$A129=プレビュー!$C$3,食数記録!$B129="夕",食数記録!$F129="男性入所",食数記録!$D129="欠食"),1,0)</f>
        <v>0</v>
      </c>
      <c r="G129" s="0" t="str">
        <f aca="false">IF(F129=1,SUM($F$2:F129),"")</f>
        <v/>
      </c>
      <c r="H129" s="0" t="n">
        <f aca="false">IF(AND(食数記録!$A129=プレビュー!$C$3,食数記録!$B129="朝",食数記録!$F129="女性入所",食数記録!$D129="欠食"),1,0)</f>
        <v>0</v>
      </c>
      <c r="I129" s="0" t="str">
        <f aca="false">IF(H129=1,SUM($H$2:H129),"")</f>
        <v/>
      </c>
      <c r="J129" s="0" t="n">
        <f aca="false">IF(AND(食数記録!$A129=プレビュー!$C$3,食数記録!$B129="昼",食数記録!$F129="女性入所",食数記録!$D129="欠食"),1,0)</f>
        <v>0</v>
      </c>
      <c r="K129" s="0" t="str">
        <f aca="false">IF(J129=1,SUM($J$2:J129),"")</f>
        <v/>
      </c>
      <c r="L129" s="0" t="n">
        <f aca="false">IF(AND(食数記録!$A129=プレビュー!$C$3,食数記録!$B129="夕",食数記録!$F129="女性入所",食数記録!$D129="欠食"),1,0)</f>
        <v>0</v>
      </c>
      <c r="M129" s="0" t="str">
        <f aca="false">IF(L129=1,SUM($L$2:L129),"")</f>
        <v/>
      </c>
      <c r="N129" s="0" t="n">
        <f aca="false">IF(AND(食数記録!$A129=プレビュー!$C$3,食数記録!$B129="朝",食数記録!$F129="男性GH",食数記録!$D129="臨時喫食"),1,0)</f>
        <v>0</v>
      </c>
      <c r="O129" s="0" t="str">
        <f aca="false">IF(N129=1,SUM($N$2:N129),"")</f>
        <v/>
      </c>
      <c r="P129" s="0" t="n">
        <f aca="false">IF(AND(食数記録!$A129=プレビュー!$C$3,食数記録!$B129="昼",食数記録!$F129="男性GH",食数記録!$D129="臨時喫食"),1,0)</f>
        <v>0</v>
      </c>
      <c r="Q129" s="0" t="str">
        <f aca="false">IF(P129=1,SUM($P$2:P129),"")</f>
        <v/>
      </c>
      <c r="R129" s="0" t="n">
        <f aca="false">IF(AND(食数記録!$A129=プレビュー!$C$3,食数記録!$B129="夕",食数記録!$F129="男性GH",食数記録!$D129="臨時喫食"),1,0)</f>
        <v>0</v>
      </c>
      <c r="S129" s="0" t="str">
        <f aca="false">IF(R129=1,SUM($R$2:R129),"")</f>
        <v/>
      </c>
      <c r="T129" s="0" t="n">
        <f aca="false">IF(AND(食数記録!$A129=プレビュー!$C$3,食数記録!$B129="朝",食数記録!$F129="女性GH",食数記録!$D129="臨時喫食"),1,0)</f>
        <v>0</v>
      </c>
      <c r="U129" s="0" t="str">
        <f aca="false">IF(T129=1,SUM($T$2:T129),"")</f>
        <v/>
      </c>
      <c r="V129" s="0" t="n">
        <f aca="false">IF(AND(食数記録!$A129=プレビュー!$C$3,食数記録!$B129="昼",食数記録!$F129="女性GH",食数記録!$D129="臨時喫食"),1,0)</f>
        <v>0</v>
      </c>
      <c r="W129" s="0" t="str">
        <f aca="false">IF(V129=1,SUM($V$2:V129),"")</f>
        <v/>
      </c>
      <c r="X129" s="0" t="n">
        <f aca="false">IF(AND(食数記録!$A129=プレビュー!$C$3,食数記録!$B129="夕",食数記録!$F129="女性GH",食数記録!$D129="臨時喫食"),1,0)</f>
        <v>0</v>
      </c>
      <c r="Y129" s="0" t="str">
        <f aca="false">IF(X129=1,SUM($X$2:X129),"")</f>
        <v/>
      </c>
    </row>
    <row r="130" customFormat="false" ht="15" hidden="false" customHeight="false" outlineLevel="0" collapsed="false">
      <c r="B130" s="0" t="n">
        <f aca="false">IF(AND(食数記録!$A130=プレビュー!$C$3,食数記録!$B130="朝",食数記録!$F130="男性入所",食数記録!$D130="欠食"),1,0)</f>
        <v>0</v>
      </c>
      <c r="C130" s="0" t="str">
        <f aca="false">IF(B130=1,SUM($B$2:B130),"")</f>
        <v/>
      </c>
      <c r="D130" s="0" t="n">
        <f aca="false">IF(AND(食数記録!$A130=プレビュー!$C$3,食数記録!$B130="昼",食数記録!$F130="男性入所",食数記録!$D130="欠食"),1,0)</f>
        <v>0</v>
      </c>
      <c r="E130" s="0" t="str">
        <f aca="false">IF(D130=1,SUM($D$2:D130),"")</f>
        <v/>
      </c>
      <c r="F130" s="0" t="n">
        <f aca="false">IF(AND(食数記録!$A130=プレビュー!$C$3,食数記録!$B130="夕",食数記録!$F130="男性入所",食数記録!$D130="欠食"),1,0)</f>
        <v>0</v>
      </c>
      <c r="G130" s="0" t="str">
        <f aca="false">IF(F130=1,SUM($F$2:F130),"")</f>
        <v/>
      </c>
      <c r="H130" s="0" t="n">
        <f aca="false">IF(AND(食数記録!$A130=プレビュー!$C$3,食数記録!$B130="朝",食数記録!$F130="女性入所",食数記録!$D130="欠食"),1,0)</f>
        <v>0</v>
      </c>
      <c r="I130" s="0" t="str">
        <f aca="false">IF(H130=1,SUM($H$2:H130),"")</f>
        <v/>
      </c>
      <c r="J130" s="0" t="n">
        <f aca="false">IF(AND(食数記録!$A130=プレビュー!$C$3,食数記録!$B130="昼",食数記録!$F130="女性入所",食数記録!$D130="欠食"),1,0)</f>
        <v>0</v>
      </c>
      <c r="K130" s="0" t="str">
        <f aca="false">IF(J130=1,SUM($J$2:J130),"")</f>
        <v/>
      </c>
      <c r="L130" s="0" t="n">
        <f aca="false">IF(AND(食数記録!$A130=プレビュー!$C$3,食数記録!$B130="夕",食数記録!$F130="女性入所",食数記録!$D130="欠食"),1,0)</f>
        <v>0</v>
      </c>
      <c r="M130" s="0" t="str">
        <f aca="false">IF(L130=1,SUM($L$2:L130),"")</f>
        <v/>
      </c>
      <c r="N130" s="0" t="n">
        <f aca="false">IF(AND(食数記録!$A130=プレビュー!$C$3,食数記録!$B130="朝",食数記録!$F130="男性GH",食数記録!$D130="臨時喫食"),1,0)</f>
        <v>0</v>
      </c>
      <c r="O130" s="0" t="str">
        <f aca="false">IF(N130=1,SUM($N$2:N130),"")</f>
        <v/>
      </c>
      <c r="P130" s="0" t="n">
        <f aca="false">IF(AND(食数記録!$A130=プレビュー!$C$3,食数記録!$B130="昼",食数記録!$F130="男性GH",食数記録!$D130="臨時喫食"),1,0)</f>
        <v>0</v>
      </c>
      <c r="Q130" s="0" t="str">
        <f aca="false">IF(P130=1,SUM($P$2:P130),"")</f>
        <v/>
      </c>
      <c r="R130" s="0" t="n">
        <f aca="false">IF(AND(食数記録!$A130=プレビュー!$C$3,食数記録!$B130="夕",食数記録!$F130="男性GH",食数記録!$D130="臨時喫食"),1,0)</f>
        <v>0</v>
      </c>
      <c r="S130" s="0" t="str">
        <f aca="false">IF(R130=1,SUM($R$2:R130),"")</f>
        <v/>
      </c>
      <c r="T130" s="0" t="n">
        <f aca="false">IF(AND(食数記録!$A130=プレビュー!$C$3,食数記録!$B130="朝",食数記録!$F130="女性GH",食数記録!$D130="臨時喫食"),1,0)</f>
        <v>0</v>
      </c>
      <c r="U130" s="0" t="str">
        <f aca="false">IF(T130=1,SUM($T$2:T130),"")</f>
        <v/>
      </c>
      <c r="V130" s="0" t="n">
        <f aca="false">IF(AND(食数記録!$A130=プレビュー!$C$3,食数記録!$B130="昼",食数記録!$F130="女性GH",食数記録!$D130="臨時喫食"),1,0)</f>
        <v>0</v>
      </c>
      <c r="W130" s="0" t="str">
        <f aca="false">IF(V130=1,SUM($V$2:V130),"")</f>
        <v/>
      </c>
      <c r="X130" s="0" t="n">
        <f aca="false">IF(AND(食数記録!$A130=プレビュー!$C$3,食数記録!$B130="夕",食数記録!$F130="女性GH",食数記録!$D130="臨時喫食"),1,0)</f>
        <v>0</v>
      </c>
      <c r="Y130" s="0" t="str">
        <f aca="false">IF(X130=1,SUM($X$2:X130),"")</f>
        <v/>
      </c>
    </row>
    <row r="131" customFormat="false" ht="15" hidden="false" customHeight="false" outlineLevel="0" collapsed="false">
      <c r="B131" s="0" t="n">
        <f aca="false">IF(AND(食数記録!$A131=プレビュー!$C$3,食数記録!$B131="朝",食数記録!$F131="男性入所",食数記録!$D131="欠食"),1,0)</f>
        <v>0</v>
      </c>
      <c r="C131" s="0" t="str">
        <f aca="false">IF(B131=1,SUM($B$2:B131),"")</f>
        <v/>
      </c>
      <c r="D131" s="0" t="n">
        <f aca="false">IF(AND(食数記録!$A131=プレビュー!$C$3,食数記録!$B131="昼",食数記録!$F131="男性入所",食数記録!$D131="欠食"),1,0)</f>
        <v>0</v>
      </c>
      <c r="E131" s="0" t="str">
        <f aca="false">IF(D131=1,SUM($D$2:D131),"")</f>
        <v/>
      </c>
      <c r="F131" s="0" t="n">
        <f aca="false">IF(AND(食数記録!$A131=プレビュー!$C$3,食数記録!$B131="夕",食数記録!$F131="男性入所",食数記録!$D131="欠食"),1,0)</f>
        <v>0</v>
      </c>
      <c r="G131" s="0" t="str">
        <f aca="false">IF(F131=1,SUM($F$2:F131),"")</f>
        <v/>
      </c>
      <c r="H131" s="0" t="n">
        <f aca="false">IF(AND(食数記録!$A131=プレビュー!$C$3,食数記録!$B131="朝",食数記録!$F131="女性入所",食数記録!$D131="欠食"),1,0)</f>
        <v>0</v>
      </c>
      <c r="I131" s="0" t="str">
        <f aca="false">IF(H131=1,SUM($H$2:H131),"")</f>
        <v/>
      </c>
      <c r="J131" s="0" t="n">
        <f aca="false">IF(AND(食数記録!$A131=プレビュー!$C$3,食数記録!$B131="昼",食数記録!$F131="女性入所",食数記録!$D131="欠食"),1,0)</f>
        <v>0</v>
      </c>
      <c r="K131" s="0" t="str">
        <f aca="false">IF(J131=1,SUM($J$2:J131),"")</f>
        <v/>
      </c>
      <c r="L131" s="0" t="n">
        <f aca="false">IF(AND(食数記録!$A131=プレビュー!$C$3,食数記録!$B131="夕",食数記録!$F131="女性入所",食数記録!$D131="欠食"),1,0)</f>
        <v>0</v>
      </c>
      <c r="M131" s="0" t="str">
        <f aca="false">IF(L131=1,SUM($L$2:L131),"")</f>
        <v/>
      </c>
      <c r="N131" s="0" t="n">
        <f aca="false">IF(AND(食数記録!$A131=プレビュー!$C$3,食数記録!$B131="朝",食数記録!$F131="男性GH",食数記録!$D131="臨時喫食"),1,0)</f>
        <v>0</v>
      </c>
      <c r="O131" s="0" t="str">
        <f aca="false">IF(N131=1,SUM($N$2:N131),"")</f>
        <v/>
      </c>
      <c r="P131" s="0" t="n">
        <f aca="false">IF(AND(食数記録!$A131=プレビュー!$C$3,食数記録!$B131="昼",食数記録!$F131="男性GH",食数記録!$D131="臨時喫食"),1,0)</f>
        <v>0</v>
      </c>
      <c r="Q131" s="0" t="str">
        <f aca="false">IF(P131=1,SUM($P$2:P131),"")</f>
        <v/>
      </c>
      <c r="R131" s="0" t="n">
        <f aca="false">IF(AND(食数記録!$A131=プレビュー!$C$3,食数記録!$B131="夕",食数記録!$F131="男性GH",食数記録!$D131="臨時喫食"),1,0)</f>
        <v>0</v>
      </c>
      <c r="S131" s="0" t="str">
        <f aca="false">IF(R131=1,SUM($R$2:R131),"")</f>
        <v/>
      </c>
      <c r="T131" s="0" t="n">
        <f aca="false">IF(AND(食数記録!$A131=プレビュー!$C$3,食数記録!$B131="朝",食数記録!$F131="女性GH",食数記録!$D131="臨時喫食"),1,0)</f>
        <v>0</v>
      </c>
      <c r="U131" s="0" t="str">
        <f aca="false">IF(T131=1,SUM($T$2:T131),"")</f>
        <v/>
      </c>
      <c r="V131" s="0" t="n">
        <f aca="false">IF(AND(食数記録!$A131=プレビュー!$C$3,食数記録!$B131="昼",食数記録!$F131="女性GH",食数記録!$D131="臨時喫食"),1,0)</f>
        <v>0</v>
      </c>
      <c r="W131" s="0" t="str">
        <f aca="false">IF(V131=1,SUM($V$2:V131),"")</f>
        <v/>
      </c>
      <c r="X131" s="0" t="n">
        <f aca="false">IF(AND(食数記録!$A131=プレビュー!$C$3,食数記録!$B131="夕",食数記録!$F131="女性GH",食数記録!$D131="臨時喫食"),1,0)</f>
        <v>0</v>
      </c>
      <c r="Y131" s="0" t="str">
        <f aca="false">IF(X131=1,SUM($X$2:X131),"")</f>
        <v/>
      </c>
    </row>
    <row r="132" customFormat="false" ht="15" hidden="false" customHeight="false" outlineLevel="0" collapsed="false">
      <c r="B132" s="0" t="n">
        <f aca="false">IF(AND(食数記録!$A132=プレビュー!$C$3,食数記録!$B132="朝",食数記録!$F132="男性入所",食数記録!$D132="欠食"),1,0)</f>
        <v>0</v>
      </c>
      <c r="C132" s="0" t="str">
        <f aca="false">IF(B132=1,SUM($B$2:B132),"")</f>
        <v/>
      </c>
      <c r="D132" s="0" t="n">
        <f aca="false">IF(AND(食数記録!$A132=プレビュー!$C$3,食数記録!$B132="昼",食数記録!$F132="男性入所",食数記録!$D132="欠食"),1,0)</f>
        <v>0</v>
      </c>
      <c r="E132" s="0" t="str">
        <f aca="false">IF(D132=1,SUM($D$2:D132),"")</f>
        <v/>
      </c>
      <c r="F132" s="0" t="n">
        <f aca="false">IF(AND(食数記録!$A132=プレビュー!$C$3,食数記録!$B132="夕",食数記録!$F132="男性入所",食数記録!$D132="欠食"),1,0)</f>
        <v>0</v>
      </c>
      <c r="G132" s="0" t="str">
        <f aca="false">IF(F132=1,SUM($F$2:F132),"")</f>
        <v/>
      </c>
      <c r="H132" s="0" t="n">
        <f aca="false">IF(AND(食数記録!$A132=プレビュー!$C$3,食数記録!$B132="朝",食数記録!$F132="女性入所",食数記録!$D132="欠食"),1,0)</f>
        <v>0</v>
      </c>
      <c r="I132" s="0" t="str">
        <f aca="false">IF(H132=1,SUM($H$2:H132),"")</f>
        <v/>
      </c>
      <c r="J132" s="0" t="n">
        <f aca="false">IF(AND(食数記録!$A132=プレビュー!$C$3,食数記録!$B132="昼",食数記録!$F132="女性入所",食数記録!$D132="欠食"),1,0)</f>
        <v>0</v>
      </c>
      <c r="K132" s="0" t="str">
        <f aca="false">IF(J132=1,SUM($J$2:J132),"")</f>
        <v/>
      </c>
      <c r="L132" s="0" t="n">
        <f aca="false">IF(AND(食数記録!$A132=プレビュー!$C$3,食数記録!$B132="夕",食数記録!$F132="女性入所",食数記録!$D132="欠食"),1,0)</f>
        <v>0</v>
      </c>
      <c r="M132" s="0" t="str">
        <f aca="false">IF(L132=1,SUM($L$2:L132),"")</f>
        <v/>
      </c>
      <c r="N132" s="0" t="n">
        <f aca="false">IF(AND(食数記録!$A132=プレビュー!$C$3,食数記録!$B132="朝",食数記録!$F132="男性GH",食数記録!$D132="臨時喫食"),1,0)</f>
        <v>0</v>
      </c>
      <c r="O132" s="0" t="str">
        <f aca="false">IF(N132=1,SUM($N$2:N132),"")</f>
        <v/>
      </c>
      <c r="P132" s="0" t="n">
        <f aca="false">IF(AND(食数記録!$A132=プレビュー!$C$3,食数記録!$B132="昼",食数記録!$F132="男性GH",食数記録!$D132="臨時喫食"),1,0)</f>
        <v>0</v>
      </c>
      <c r="Q132" s="0" t="str">
        <f aca="false">IF(P132=1,SUM($P$2:P132),"")</f>
        <v/>
      </c>
      <c r="R132" s="0" t="n">
        <f aca="false">IF(AND(食数記録!$A132=プレビュー!$C$3,食数記録!$B132="夕",食数記録!$F132="男性GH",食数記録!$D132="臨時喫食"),1,0)</f>
        <v>0</v>
      </c>
      <c r="S132" s="0" t="str">
        <f aca="false">IF(R132=1,SUM($R$2:R132),"")</f>
        <v/>
      </c>
      <c r="T132" s="0" t="n">
        <f aca="false">IF(AND(食数記録!$A132=プレビュー!$C$3,食数記録!$B132="朝",食数記録!$F132="女性GH",食数記録!$D132="臨時喫食"),1,0)</f>
        <v>0</v>
      </c>
      <c r="U132" s="0" t="str">
        <f aca="false">IF(T132=1,SUM($T$2:T132),"")</f>
        <v/>
      </c>
      <c r="V132" s="0" t="n">
        <f aca="false">IF(AND(食数記録!$A132=プレビュー!$C$3,食数記録!$B132="昼",食数記録!$F132="女性GH",食数記録!$D132="臨時喫食"),1,0)</f>
        <v>0</v>
      </c>
      <c r="W132" s="0" t="str">
        <f aca="false">IF(V132=1,SUM($V$2:V132),"")</f>
        <v/>
      </c>
      <c r="X132" s="0" t="n">
        <f aca="false">IF(AND(食数記録!$A132=プレビュー!$C$3,食数記録!$B132="夕",食数記録!$F132="女性GH",食数記録!$D132="臨時喫食"),1,0)</f>
        <v>0</v>
      </c>
      <c r="Y132" s="0" t="str">
        <f aca="false">IF(X132=1,SUM($X$2:X132),"")</f>
        <v/>
      </c>
    </row>
    <row r="133" customFormat="false" ht="15" hidden="false" customHeight="false" outlineLevel="0" collapsed="false">
      <c r="B133" s="0" t="n">
        <f aca="false">IF(AND(食数記録!$A133=プレビュー!$C$3,食数記録!$B133="朝",食数記録!$F133="男性入所",食数記録!$D133="欠食"),1,0)</f>
        <v>0</v>
      </c>
      <c r="C133" s="0" t="str">
        <f aca="false">IF(B133=1,SUM($B$2:B133),"")</f>
        <v/>
      </c>
      <c r="D133" s="0" t="n">
        <f aca="false">IF(AND(食数記録!$A133=プレビュー!$C$3,食数記録!$B133="昼",食数記録!$F133="男性入所",食数記録!$D133="欠食"),1,0)</f>
        <v>0</v>
      </c>
      <c r="E133" s="0" t="str">
        <f aca="false">IF(D133=1,SUM($D$2:D133),"")</f>
        <v/>
      </c>
      <c r="F133" s="0" t="n">
        <f aca="false">IF(AND(食数記録!$A133=プレビュー!$C$3,食数記録!$B133="夕",食数記録!$F133="男性入所",食数記録!$D133="欠食"),1,0)</f>
        <v>0</v>
      </c>
      <c r="G133" s="0" t="str">
        <f aca="false">IF(F133=1,SUM($F$2:F133),"")</f>
        <v/>
      </c>
      <c r="H133" s="0" t="n">
        <f aca="false">IF(AND(食数記録!$A133=プレビュー!$C$3,食数記録!$B133="朝",食数記録!$F133="女性入所",食数記録!$D133="欠食"),1,0)</f>
        <v>0</v>
      </c>
      <c r="I133" s="0" t="str">
        <f aca="false">IF(H133=1,SUM($H$2:H133),"")</f>
        <v/>
      </c>
      <c r="J133" s="0" t="n">
        <f aca="false">IF(AND(食数記録!$A133=プレビュー!$C$3,食数記録!$B133="昼",食数記録!$F133="女性入所",食数記録!$D133="欠食"),1,0)</f>
        <v>0</v>
      </c>
      <c r="K133" s="0" t="str">
        <f aca="false">IF(J133=1,SUM($J$2:J133),"")</f>
        <v/>
      </c>
      <c r="L133" s="0" t="n">
        <f aca="false">IF(AND(食数記録!$A133=プレビュー!$C$3,食数記録!$B133="夕",食数記録!$F133="女性入所",食数記録!$D133="欠食"),1,0)</f>
        <v>0</v>
      </c>
      <c r="M133" s="0" t="str">
        <f aca="false">IF(L133=1,SUM($L$2:L133),"")</f>
        <v/>
      </c>
      <c r="N133" s="0" t="n">
        <f aca="false">IF(AND(食数記録!$A133=プレビュー!$C$3,食数記録!$B133="朝",食数記録!$F133="男性GH",食数記録!$D133="臨時喫食"),1,0)</f>
        <v>0</v>
      </c>
      <c r="O133" s="0" t="str">
        <f aca="false">IF(N133=1,SUM($N$2:N133),"")</f>
        <v/>
      </c>
      <c r="P133" s="0" t="n">
        <f aca="false">IF(AND(食数記録!$A133=プレビュー!$C$3,食数記録!$B133="昼",食数記録!$F133="男性GH",食数記録!$D133="臨時喫食"),1,0)</f>
        <v>0</v>
      </c>
      <c r="Q133" s="0" t="str">
        <f aca="false">IF(P133=1,SUM($P$2:P133),"")</f>
        <v/>
      </c>
      <c r="R133" s="0" t="n">
        <f aca="false">IF(AND(食数記録!$A133=プレビュー!$C$3,食数記録!$B133="夕",食数記録!$F133="男性GH",食数記録!$D133="臨時喫食"),1,0)</f>
        <v>0</v>
      </c>
      <c r="S133" s="0" t="str">
        <f aca="false">IF(R133=1,SUM($R$2:R133),"")</f>
        <v/>
      </c>
      <c r="T133" s="0" t="n">
        <f aca="false">IF(AND(食数記録!$A133=プレビュー!$C$3,食数記録!$B133="朝",食数記録!$F133="女性GH",食数記録!$D133="臨時喫食"),1,0)</f>
        <v>0</v>
      </c>
      <c r="U133" s="0" t="str">
        <f aca="false">IF(T133=1,SUM($T$2:T133),"")</f>
        <v/>
      </c>
      <c r="V133" s="0" t="n">
        <f aca="false">IF(AND(食数記録!$A133=プレビュー!$C$3,食数記録!$B133="昼",食数記録!$F133="女性GH",食数記録!$D133="臨時喫食"),1,0)</f>
        <v>0</v>
      </c>
      <c r="W133" s="0" t="str">
        <f aca="false">IF(V133=1,SUM($V$2:V133),"")</f>
        <v/>
      </c>
      <c r="X133" s="0" t="n">
        <f aca="false">IF(AND(食数記録!$A133=プレビュー!$C$3,食数記録!$B133="夕",食数記録!$F133="女性GH",食数記録!$D133="臨時喫食"),1,0)</f>
        <v>0</v>
      </c>
      <c r="Y133" s="0" t="str">
        <f aca="false">IF(X133=1,SUM($X$2:X133),"")</f>
        <v/>
      </c>
    </row>
    <row r="134" customFormat="false" ht="15" hidden="false" customHeight="false" outlineLevel="0" collapsed="false">
      <c r="B134" s="0" t="n">
        <f aca="false">IF(AND(食数記録!$A134=プレビュー!$C$3,食数記録!$B134="朝",食数記録!$F134="男性入所",食数記録!$D134="欠食"),1,0)</f>
        <v>0</v>
      </c>
      <c r="C134" s="0" t="str">
        <f aca="false">IF(B134=1,SUM($B$2:B134),"")</f>
        <v/>
      </c>
      <c r="D134" s="0" t="n">
        <f aca="false">IF(AND(食数記録!$A134=プレビュー!$C$3,食数記録!$B134="昼",食数記録!$F134="男性入所",食数記録!$D134="欠食"),1,0)</f>
        <v>0</v>
      </c>
      <c r="E134" s="0" t="str">
        <f aca="false">IF(D134=1,SUM($D$2:D134),"")</f>
        <v/>
      </c>
      <c r="F134" s="0" t="n">
        <f aca="false">IF(AND(食数記録!$A134=プレビュー!$C$3,食数記録!$B134="夕",食数記録!$F134="男性入所",食数記録!$D134="欠食"),1,0)</f>
        <v>0</v>
      </c>
      <c r="G134" s="0" t="str">
        <f aca="false">IF(F134=1,SUM($F$2:F134),"")</f>
        <v/>
      </c>
      <c r="H134" s="0" t="n">
        <f aca="false">IF(AND(食数記録!$A134=プレビュー!$C$3,食数記録!$B134="朝",食数記録!$F134="女性入所",食数記録!$D134="欠食"),1,0)</f>
        <v>0</v>
      </c>
      <c r="I134" s="0" t="str">
        <f aca="false">IF(H134=1,SUM($H$2:H134),"")</f>
        <v/>
      </c>
      <c r="J134" s="0" t="n">
        <f aca="false">IF(AND(食数記録!$A134=プレビュー!$C$3,食数記録!$B134="昼",食数記録!$F134="女性入所",食数記録!$D134="欠食"),1,0)</f>
        <v>0</v>
      </c>
      <c r="K134" s="0" t="str">
        <f aca="false">IF(J134=1,SUM($J$2:J134),"")</f>
        <v/>
      </c>
      <c r="L134" s="0" t="n">
        <f aca="false">IF(AND(食数記録!$A134=プレビュー!$C$3,食数記録!$B134="夕",食数記録!$F134="女性入所",食数記録!$D134="欠食"),1,0)</f>
        <v>0</v>
      </c>
      <c r="M134" s="0" t="str">
        <f aca="false">IF(L134=1,SUM($L$2:L134),"")</f>
        <v/>
      </c>
      <c r="N134" s="0" t="n">
        <f aca="false">IF(AND(食数記録!$A134=プレビュー!$C$3,食数記録!$B134="朝",食数記録!$F134="男性GH",食数記録!$D134="臨時喫食"),1,0)</f>
        <v>0</v>
      </c>
      <c r="O134" s="0" t="str">
        <f aca="false">IF(N134=1,SUM($N$2:N134),"")</f>
        <v/>
      </c>
      <c r="P134" s="0" t="n">
        <f aca="false">IF(AND(食数記録!$A134=プレビュー!$C$3,食数記録!$B134="昼",食数記録!$F134="男性GH",食数記録!$D134="臨時喫食"),1,0)</f>
        <v>0</v>
      </c>
      <c r="Q134" s="0" t="str">
        <f aca="false">IF(P134=1,SUM($P$2:P134),"")</f>
        <v/>
      </c>
      <c r="R134" s="0" t="n">
        <f aca="false">IF(AND(食数記録!$A134=プレビュー!$C$3,食数記録!$B134="夕",食数記録!$F134="男性GH",食数記録!$D134="臨時喫食"),1,0)</f>
        <v>0</v>
      </c>
      <c r="S134" s="0" t="str">
        <f aca="false">IF(R134=1,SUM($R$2:R134),"")</f>
        <v/>
      </c>
      <c r="T134" s="0" t="n">
        <f aca="false">IF(AND(食数記録!$A134=プレビュー!$C$3,食数記録!$B134="朝",食数記録!$F134="女性GH",食数記録!$D134="臨時喫食"),1,0)</f>
        <v>0</v>
      </c>
      <c r="U134" s="0" t="str">
        <f aca="false">IF(T134=1,SUM($T$2:T134),"")</f>
        <v/>
      </c>
      <c r="V134" s="0" t="n">
        <f aca="false">IF(AND(食数記録!$A134=プレビュー!$C$3,食数記録!$B134="昼",食数記録!$F134="女性GH",食数記録!$D134="臨時喫食"),1,0)</f>
        <v>0</v>
      </c>
      <c r="W134" s="0" t="str">
        <f aca="false">IF(V134=1,SUM($V$2:V134),"")</f>
        <v/>
      </c>
      <c r="X134" s="0" t="n">
        <f aca="false">IF(AND(食数記録!$A134=プレビュー!$C$3,食数記録!$B134="夕",食数記録!$F134="女性GH",食数記録!$D134="臨時喫食"),1,0)</f>
        <v>0</v>
      </c>
      <c r="Y134" s="0" t="str">
        <f aca="false">IF(X134=1,SUM($X$2:X134),"")</f>
        <v/>
      </c>
    </row>
    <row r="135" customFormat="false" ht="15" hidden="false" customHeight="false" outlineLevel="0" collapsed="false">
      <c r="B135" s="0" t="n">
        <f aca="false">IF(AND(食数記録!$A135=プレビュー!$C$3,食数記録!$B135="朝",食数記録!$F135="男性入所",食数記録!$D135="欠食"),1,0)</f>
        <v>0</v>
      </c>
      <c r="C135" s="0" t="str">
        <f aca="false">IF(B135=1,SUM($B$2:B135),"")</f>
        <v/>
      </c>
      <c r="D135" s="0" t="n">
        <f aca="false">IF(AND(食数記録!$A135=プレビュー!$C$3,食数記録!$B135="昼",食数記録!$F135="男性入所",食数記録!$D135="欠食"),1,0)</f>
        <v>0</v>
      </c>
      <c r="E135" s="0" t="str">
        <f aca="false">IF(D135=1,SUM($D$2:D135),"")</f>
        <v/>
      </c>
      <c r="F135" s="0" t="n">
        <f aca="false">IF(AND(食数記録!$A135=プレビュー!$C$3,食数記録!$B135="夕",食数記録!$F135="男性入所",食数記録!$D135="欠食"),1,0)</f>
        <v>0</v>
      </c>
      <c r="G135" s="0" t="str">
        <f aca="false">IF(F135=1,SUM($F$2:F135),"")</f>
        <v/>
      </c>
      <c r="H135" s="0" t="n">
        <f aca="false">IF(AND(食数記録!$A135=プレビュー!$C$3,食数記録!$B135="朝",食数記録!$F135="女性入所",食数記録!$D135="欠食"),1,0)</f>
        <v>0</v>
      </c>
      <c r="I135" s="0" t="str">
        <f aca="false">IF(H135=1,SUM($H$2:H135),"")</f>
        <v/>
      </c>
      <c r="J135" s="0" t="n">
        <f aca="false">IF(AND(食数記録!$A135=プレビュー!$C$3,食数記録!$B135="昼",食数記録!$F135="女性入所",食数記録!$D135="欠食"),1,0)</f>
        <v>0</v>
      </c>
      <c r="K135" s="0" t="str">
        <f aca="false">IF(J135=1,SUM($J$2:J135),"")</f>
        <v/>
      </c>
      <c r="L135" s="0" t="n">
        <f aca="false">IF(AND(食数記録!$A135=プレビュー!$C$3,食数記録!$B135="夕",食数記録!$F135="女性入所",食数記録!$D135="欠食"),1,0)</f>
        <v>0</v>
      </c>
      <c r="M135" s="0" t="str">
        <f aca="false">IF(L135=1,SUM($L$2:L135),"")</f>
        <v/>
      </c>
      <c r="N135" s="0" t="n">
        <f aca="false">IF(AND(食数記録!$A135=プレビュー!$C$3,食数記録!$B135="朝",食数記録!$F135="男性GH",食数記録!$D135="臨時喫食"),1,0)</f>
        <v>0</v>
      </c>
      <c r="O135" s="0" t="str">
        <f aca="false">IF(N135=1,SUM($N$2:N135),"")</f>
        <v/>
      </c>
      <c r="P135" s="0" t="n">
        <f aca="false">IF(AND(食数記録!$A135=プレビュー!$C$3,食数記録!$B135="昼",食数記録!$F135="男性GH",食数記録!$D135="臨時喫食"),1,0)</f>
        <v>0</v>
      </c>
      <c r="Q135" s="0" t="str">
        <f aca="false">IF(P135=1,SUM($P$2:P135),"")</f>
        <v/>
      </c>
      <c r="R135" s="0" t="n">
        <f aca="false">IF(AND(食数記録!$A135=プレビュー!$C$3,食数記録!$B135="夕",食数記録!$F135="男性GH",食数記録!$D135="臨時喫食"),1,0)</f>
        <v>0</v>
      </c>
      <c r="S135" s="0" t="str">
        <f aca="false">IF(R135=1,SUM($R$2:R135),"")</f>
        <v/>
      </c>
      <c r="T135" s="0" t="n">
        <f aca="false">IF(AND(食数記録!$A135=プレビュー!$C$3,食数記録!$B135="朝",食数記録!$F135="女性GH",食数記録!$D135="臨時喫食"),1,0)</f>
        <v>0</v>
      </c>
      <c r="U135" s="0" t="str">
        <f aca="false">IF(T135=1,SUM($T$2:T135),"")</f>
        <v/>
      </c>
      <c r="V135" s="0" t="n">
        <f aca="false">IF(AND(食数記録!$A135=プレビュー!$C$3,食数記録!$B135="昼",食数記録!$F135="女性GH",食数記録!$D135="臨時喫食"),1,0)</f>
        <v>0</v>
      </c>
      <c r="W135" s="0" t="str">
        <f aca="false">IF(V135=1,SUM($V$2:V135),"")</f>
        <v/>
      </c>
      <c r="X135" s="0" t="n">
        <f aca="false">IF(AND(食数記録!$A135=プレビュー!$C$3,食数記録!$B135="夕",食数記録!$F135="女性GH",食数記録!$D135="臨時喫食"),1,0)</f>
        <v>0</v>
      </c>
      <c r="Y135" s="0" t="str">
        <f aca="false">IF(X135=1,SUM($X$2:X135),"")</f>
        <v/>
      </c>
    </row>
    <row r="136" customFormat="false" ht="15" hidden="false" customHeight="false" outlineLevel="0" collapsed="false">
      <c r="B136" s="0" t="n">
        <f aca="false">IF(AND(食数記録!$A136=プレビュー!$C$3,食数記録!$B136="朝",食数記録!$F136="男性入所",食数記録!$D136="欠食"),1,0)</f>
        <v>0</v>
      </c>
      <c r="C136" s="0" t="str">
        <f aca="false">IF(B136=1,SUM($B$2:B136),"")</f>
        <v/>
      </c>
      <c r="D136" s="0" t="n">
        <f aca="false">IF(AND(食数記録!$A136=プレビュー!$C$3,食数記録!$B136="昼",食数記録!$F136="男性入所",食数記録!$D136="欠食"),1,0)</f>
        <v>0</v>
      </c>
      <c r="E136" s="0" t="str">
        <f aca="false">IF(D136=1,SUM($D$2:D136),"")</f>
        <v/>
      </c>
      <c r="F136" s="0" t="n">
        <f aca="false">IF(AND(食数記録!$A136=プレビュー!$C$3,食数記録!$B136="夕",食数記録!$F136="男性入所",食数記録!$D136="欠食"),1,0)</f>
        <v>0</v>
      </c>
      <c r="G136" s="0" t="str">
        <f aca="false">IF(F136=1,SUM($F$2:F136),"")</f>
        <v/>
      </c>
      <c r="H136" s="0" t="n">
        <f aca="false">IF(AND(食数記録!$A136=プレビュー!$C$3,食数記録!$B136="朝",食数記録!$F136="女性入所",食数記録!$D136="欠食"),1,0)</f>
        <v>0</v>
      </c>
      <c r="I136" s="0" t="str">
        <f aca="false">IF(H136=1,SUM($H$2:H136),"")</f>
        <v/>
      </c>
      <c r="J136" s="0" t="n">
        <f aca="false">IF(AND(食数記録!$A136=プレビュー!$C$3,食数記録!$B136="昼",食数記録!$F136="女性入所",食数記録!$D136="欠食"),1,0)</f>
        <v>0</v>
      </c>
      <c r="K136" s="0" t="str">
        <f aca="false">IF(J136=1,SUM($J$2:J136),"")</f>
        <v/>
      </c>
      <c r="L136" s="0" t="n">
        <f aca="false">IF(AND(食数記録!$A136=プレビュー!$C$3,食数記録!$B136="夕",食数記録!$F136="女性入所",食数記録!$D136="欠食"),1,0)</f>
        <v>0</v>
      </c>
      <c r="M136" s="0" t="str">
        <f aca="false">IF(L136=1,SUM($L$2:L136),"")</f>
        <v/>
      </c>
      <c r="N136" s="0" t="n">
        <f aca="false">IF(AND(食数記録!$A136=プレビュー!$C$3,食数記録!$B136="朝",食数記録!$F136="男性GH",食数記録!$D136="臨時喫食"),1,0)</f>
        <v>0</v>
      </c>
      <c r="O136" s="0" t="str">
        <f aca="false">IF(N136=1,SUM($N$2:N136),"")</f>
        <v/>
      </c>
      <c r="P136" s="0" t="n">
        <f aca="false">IF(AND(食数記録!$A136=プレビュー!$C$3,食数記録!$B136="昼",食数記録!$F136="男性GH",食数記録!$D136="臨時喫食"),1,0)</f>
        <v>0</v>
      </c>
      <c r="Q136" s="0" t="str">
        <f aca="false">IF(P136=1,SUM($P$2:P136),"")</f>
        <v/>
      </c>
      <c r="R136" s="0" t="n">
        <f aca="false">IF(AND(食数記録!$A136=プレビュー!$C$3,食数記録!$B136="夕",食数記録!$F136="男性GH",食数記録!$D136="臨時喫食"),1,0)</f>
        <v>0</v>
      </c>
      <c r="S136" s="0" t="str">
        <f aca="false">IF(R136=1,SUM($R$2:R136),"")</f>
        <v/>
      </c>
      <c r="T136" s="0" t="n">
        <f aca="false">IF(AND(食数記録!$A136=プレビュー!$C$3,食数記録!$B136="朝",食数記録!$F136="女性GH",食数記録!$D136="臨時喫食"),1,0)</f>
        <v>0</v>
      </c>
      <c r="U136" s="0" t="str">
        <f aca="false">IF(T136=1,SUM($T$2:T136),"")</f>
        <v/>
      </c>
      <c r="V136" s="0" t="n">
        <f aca="false">IF(AND(食数記録!$A136=プレビュー!$C$3,食数記録!$B136="昼",食数記録!$F136="女性GH",食数記録!$D136="臨時喫食"),1,0)</f>
        <v>0</v>
      </c>
      <c r="W136" s="0" t="str">
        <f aca="false">IF(V136=1,SUM($V$2:V136),"")</f>
        <v/>
      </c>
      <c r="X136" s="0" t="n">
        <f aca="false">IF(AND(食数記録!$A136=プレビュー!$C$3,食数記録!$B136="夕",食数記録!$F136="女性GH",食数記録!$D136="臨時喫食"),1,0)</f>
        <v>0</v>
      </c>
      <c r="Y136" s="0" t="str">
        <f aca="false">IF(X136=1,SUM($X$2:X136),"")</f>
        <v/>
      </c>
    </row>
    <row r="137" customFormat="false" ht="15" hidden="false" customHeight="false" outlineLevel="0" collapsed="false">
      <c r="B137" s="0" t="n">
        <f aca="false">IF(AND(食数記録!$A137=プレビュー!$C$3,食数記録!$B137="朝",食数記録!$F137="男性入所",食数記録!$D137="欠食"),1,0)</f>
        <v>0</v>
      </c>
      <c r="C137" s="0" t="str">
        <f aca="false">IF(B137=1,SUM($B$2:B137),"")</f>
        <v/>
      </c>
      <c r="D137" s="0" t="n">
        <f aca="false">IF(AND(食数記録!$A137=プレビュー!$C$3,食数記録!$B137="昼",食数記録!$F137="男性入所",食数記録!$D137="欠食"),1,0)</f>
        <v>0</v>
      </c>
      <c r="E137" s="0" t="str">
        <f aca="false">IF(D137=1,SUM($D$2:D137),"")</f>
        <v/>
      </c>
      <c r="F137" s="0" t="n">
        <f aca="false">IF(AND(食数記録!$A137=プレビュー!$C$3,食数記録!$B137="夕",食数記録!$F137="男性入所",食数記録!$D137="欠食"),1,0)</f>
        <v>0</v>
      </c>
      <c r="G137" s="0" t="str">
        <f aca="false">IF(F137=1,SUM($F$2:F137),"")</f>
        <v/>
      </c>
      <c r="H137" s="0" t="n">
        <f aca="false">IF(AND(食数記録!$A137=プレビュー!$C$3,食数記録!$B137="朝",食数記録!$F137="女性入所",食数記録!$D137="欠食"),1,0)</f>
        <v>0</v>
      </c>
      <c r="I137" s="0" t="str">
        <f aca="false">IF(H137=1,SUM($H$2:H137),"")</f>
        <v/>
      </c>
      <c r="J137" s="0" t="n">
        <f aca="false">IF(AND(食数記録!$A137=プレビュー!$C$3,食数記録!$B137="昼",食数記録!$F137="女性入所",食数記録!$D137="欠食"),1,0)</f>
        <v>0</v>
      </c>
      <c r="K137" s="0" t="str">
        <f aca="false">IF(J137=1,SUM($J$2:J137),"")</f>
        <v/>
      </c>
      <c r="L137" s="0" t="n">
        <f aca="false">IF(AND(食数記録!$A137=プレビュー!$C$3,食数記録!$B137="夕",食数記録!$F137="女性入所",食数記録!$D137="欠食"),1,0)</f>
        <v>0</v>
      </c>
      <c r="M137" s="0" t="str">
        <f aca="false">IF(L137=1,SUM($L$2:L137),"")</f>
        <v/>
      </c>
      <c r="N137" s="0" t="n">
        <f aca="false">IF(AND(食数記録!$A137=プレビュー!$C$3,食数記録!$B137="朝",食数記録!$F137="男性GH",食数記録!$D137="臨時喫食"),1,0)</f>
        <v>0</v>
      </c>
      <c r="O137" s="0" t="str">
        <f aca="false">IF(N137=1,SUM($N$2:N137),"")</f>
        <v/>
      </c>
      <c r="P137" s="0" t="n">
        <f aca="false">IF(AND(食数記録!$A137=プレビュー!$C$3,食数記録!$B137="昼",食数記録!$F137="男性GH",食数記録!$D137="臨時喫食"),1,0)</f>
        <v>0</v>
      </c>
      <c r="Q137" s="0" t="str">
        <f aca="false">IF(P137=1,SUM($P$2:P137),"")</f>
        <v/>
      </c>
      <c r="R137" s="0" t="n">
        <f aca="false">IF(AND(食数記録!$A137=プレビュー!$C$3,食数記録!$B137="夕",食数記録!$F137="男性GH",食数記録!$D137="臨時喫食"),1,0)</f>
        <v>0</v>
      </c>
      <c r="S137" s="0" t="str">
        <f aca="false">IF(R137=1,SUM($R$2:R137),"")</f>
        <v/>
      </c>
      <c r="T137" s="0" t="n">
        <f aca="false">IF(AND(食数記録!$A137=プレビュー!$C$3,食数記録!$B137="朝",食数記録!$F137="女性GH",食数記録!$D137="臨時喫食"),1,0)</f>
        <v>0</v>
      </c>
      <c r="U137" s="0" t="str">
        <f aca="false">IF(T137=1,SUM($T$2:T137),"")</f>
        <v/>
      </c>
      <c r="V137" s="0" t="n">
        <f aca="false">IF(AND(食数記録!$A137=プレビュー!$C$3,食数記録!$B137="昼",食数記録!$F137="女性GH",食数記録!$D137="臨時喫食"),1,0)</f>
        <v>0</v>
      </c>
      <c r="W137" s="0" t="str">
        <f aca="false">IF(V137=1,SUM($V$2:V137),"")</f>
        <v/>
      </c>
      <c r="X137" s="0" t="n">
        <f aca="false">IF(AND(食数記録!$A137=プレビュー!$C$3,食数記録!$B137="夕",食数記録!$F137="女性GH",食数記録!$D137="臨時喫食"),1,0)</f>
        <v>0</v>
      </c>
      <c r="Y137" s="0" t="str">
        <f aca="false">IF(X137=1,SUM($X$2:X137),"")</f>
        <v/>
      </c>
    </row>
    <row r="138" customFormat="false" ht="15" hidden="false" customHeight="false" outlineLevel="0" collapsed="false">
      <c r="B138" s="0" t="n">
        <f aca="false">IF(AND(食数記録!$A138=プレビュー!$C$3,食数記録!$B138="朝",食数記録!$F138="男性入所",食数記録!$D138="欠食"),1,0)</f>
        <v>0</v>
      </c>
      <c r="C138" s="0" t="str">
        <f aca="false">IF(B138=1,SUM($B$2:B138),"")</f>
        <v/>
      </c>
      <c r="D138" s="0" t="n">
        <f aca="false">IF(AND(食数記録!$A138=プレビュー!$C$3,食数記録!$B138="昼",食数記録!$F138="男性入所",食数記録!$D138="欠食"),1,0)</f>
        <v>0</v>
      </c>
      <c r="E138" s="0" t="str">
        <f aca="false">IF(D138=1,SUM($D$2:D138),"")</f>
        <v/>
      </c>
      <c r="F138" s="0" t="n">
        <f aca="false">IF(AND(食数記録!$A138=プレビュー!$C$3,食数記録!$B138="夕",食数記録!$F138="男性入所",食数記録!$D138="欠食"),1,0)</f>
        <v>0</v>
      </c>
      <c r="G138" s="0" t="str">
        <f aca="false">IF(F138=1,SUM($F$2:F138),"")</f>
        <v/>
      </c>
      <c r="H138" s="0" t="n">
        <f aca="false">IF(AND(食数記録!$A138=プレビュー!$C$3,食数記録!$B138="朝",食数記録!$F138="女性入所",食数記録!$D138="欠食"),1,0)</f>
        <v>0</v>
      </c>
      <c r="I138" s="0" t="str">
        <f aca="false">IF(H138=1,SUM($H$2:H138),"")</f>
        <v/>
      </c>
      <c r="J138" s="0" t="n">
        <f aca="false">IF(AND(食数記録!$A138=プレビュー!$C$3,食数記録!$B138="昼",食数記録!$F138="女性入所",食数記録!$D138="欠食"),1,0)</f>
        <v>0</v>
      </c>
      <c r="K138" s="0" t="str">
        <f aca="false">IF(J138=1,SUM($J$2:J138),"")</f>
        <v/>
      </c>
      <c r="L138" s="0" t="n">
        <f aca="false">IF(AND(食数記録!$A138=プレビュー!$C$3,食数記録!$B138="夕",食数記録!$F138="女性入所",食数記録!$D138="欠食"),1,0)</f>
        <v>0</v>
      </c>
      <c r="M138" s="0" t="str">
        <f aca="false">IF(L138=1,SUM($L$2:L138),"")</f>
        <v/>
      </c>
      <c r="N138" s="0" t="n">
        <f aca="false">IF(AND(食数記録!$A138=プレビュー!$C$3,食数記録!$B138="朝",食数記録!$F138="男性GH",食数記録!$D138="臨時喫食"),1,0)</f>
        <v>0</v>
      </c>
      <c r="O138" s="0" t="str">
        <f aca="false">IF(N138=1,SUM($N$2:N138),"")</f>
        <v/>
      </c>
      <c r="P138" s="0" t="n">
        <f aca="false">IF(AND(食数記録!$A138=プレビュー!$C$3,食数記録!$B138="昼",食数記録!$F138="男性GH",食数記録!$D138="臨時喫食"),1,0)</f>
        <v>0</v>
      </c>
      <c r="Q138" s="0" t="str">
        <f aca="false">IF(P138=1,SUM($P$2:P138),"")</f>
        <v/>
      </c>
      <c r="R138" s="0" t="n">
        <f aca="false">IF(AND(食数記録!$A138=プレビュー!$C$3,食数記録!$B138="夕",食数記録!$F138="男性GH",食数記録!$D138="臨時喫食"),1,0)</f>
        <v>0</v>
      </c>
      <c r="S138" s="0" t="str">
        <f aca="false">IF(R138=1,SUM($R$2:R138),"")</f>
        <v/>
      </c>
      <c r="T138" s="0" t="n">
        <f aca="false">IF(AND(食数記録!$A138=プレビュー!$C$3,食数記録!$B138="朝",食数記録!$F138="女性GH",食数記録!$D138="臨時喫食"),1,0)</f>
        <v>0</v>
      </c>
      <c r="U138" s="0" t="str">
        <f aca="false">IF(T138=1,SUM($T$2:T138),"")</f>
        <v/>
      </c>
      <c r="V138" s="0" t="n">
        <f aca="false">IF(AND(食数記録!$A138=プレビュー!$C$3,食数記録!$B138="昼",食数記録!$F138="女性GH",食数記録!$D138="臨時喫食"),1,0)</f>
        <v>0</v>
      </c>
      <c r="W138" s="0" t="str">
        <f aca="false">IF(V138=1,SUM($V$2:V138),"")</f>
        <v/>
      </c>
      <c r="X138" s="0" t="n">
        <f aca="false">IF(AND(食数記録!$A138=プレビュー!$C$3,食数記録!$B138="夕",食数記録!$F138="女性GH",食数記録!$D138="臨時喫食"),1,0)</f>
        <v>0</v>
      </c>
      <c r="Y138" s="0" t="str">
        <f aca="false">IF(X138=1,SUM($X$2:X138),"")</f>
        <v/>
      </c>
    </row>
    <row r="139" customFormat="false" ht="15" hidden="false" customHeight="false" outlineLevel="0" collapsed="false">
      <c r="B139" s="0" t="n">
        <f aca="false">IF(AND(食数記録!$A139=プレビュー!$C$3,食数記録!$B139="朝",食数記録!$F139="男性入所",食数記録!$D139="欠食"),1,0)</f>
        <v>0</v>
      </c>
      <c r="C139" s="0" t="str">
        <f aca="false">IF(B139=1,SUM($B$2:B139),"")</f>
        <v/>
      </c>
      <c r="D139" s="0" t="n">
        <f aca="false">IF(AND(食数記録!$A139=プレビュー!$C$3,食数記録!$B139="昼",食数記録!$F139="男性入所",食数記録!$D139="欠食"),1,0)</f>
        <v>0</v>
      </c>
      <c r="E139" s="0" t="str">
        <f aca="false">IF(D139=1,SUM($D$2:D139),"")</f>
        <v/>
      </c>
      <c r="F139" s="0" t="n">
        <f aca="false">IF(AND(食数記録!$A139=プレビュー!$C$3,食数記録!$B139="夕",食数記録!$F139="男性入所",食数記録!$D139="欠食"),1,0)</f>
        <v>0</v>
      </c>
      <c r="G139" s="0" t="str">
        <f aca="false">IF(F139=1,SUM($F$2:F139),"")</f>
        <v/>
      </c>
      <c r="H139" s="0" t="n">
        <f aca="false">IF(AND(食数記録!$A139=プレビュー!$C$3,食数記録!$B139="朝",食数記録!$F139="女性入所",食数記録!$D139="欠食"),1,0)</f>
        <v>0</v>
      </c>
      <c r="I139" s="0" t="str">
        <f aca="false">IF(H139=1,SUM($H$2:H139),"")</f>
        <v/>
      </c>
      <c r="J139" s="0" t="n">
        <f aca="false">IF(AND(食数記録!$A139=プレビュー!$C$3,食数記録!$B139="昼",食数記録!$F139="女性入所",食数記録!$D139="欠食"),1,0)</f>
        <v>0</v>
      </c>
      <c r="K139" s="0" t="str">
        <f aca="false">IF(J139=1,SUM($J$2:J139),"")</f>
        <v/>
      </c>
      <c r="L139" s="0" t="n">
        <f aca="false">IF(AND(食数記録!$A139=プレビュー!$C$3,食数記録!$B139="夕",食数記録!$F139="女性入所",食数記録!$D139="欠食"),1,0)</f>
        <v>0</v>
      </c>
      <c r="M139" s="0" t="str">
        <f aca="false">IF(L139=1,SUM($L$2:L139),"")</f>
        <v/>
      </c>
      <c r="N139" s="0" t="n">
        <f aca="false">IF(AND(食数記録!$A139=プレビュー!$C$3,食数記録!$B139="朝",食数記録!$F139="男性GH",食数記録!$D139="臨時喫食"),1,0)</f>
        <v>0</v>
      </c>
      <c r="O139" s="0" t="str">
        <f aca="false">IF(N139=1,SUM($N$2:N139),"")</f>
        <v/>
      </c>
      <c r="P139" s="0" t="n">
        <f aca="false">IF(AND(食数記録!$A139=プレビュー!$C$3,食数記録!$B139="昼",食数記録!$F139="男性GH",食数記録!$D139="臨時喫食"),1,0)</f>
        <v>0</v>
      </c>
      <c r="Q139" s="0" t="str">
        <f aca="false">IF(P139=1,SUM($P$2:P139),"")</f>
        <v/>
      </c>
      <c r="R139" s="0" t="n">
        <f aca="false">IF(AND(食数記録!$A139=プレビュー!$C$3,食数記録!$B139="夕",食数記録!$F139="男性GH",食数記録!$D139="臨時喫食"),1,0)</f>
        <v>0</v>
      </c>
      <c r="S139" s="0" t="str">
        <f aca="false">IF(R139=1,SUM($R$2:R139),"")</f>
        <v/>
      </c>
      <c r="T139" s="0" t="n">
        <f aca="false">IF(AND(食数記録!$A139=プレビュー!$C$3,食数記録!$B139="朝",食数記録!$F139="女性GH",食数記録!$D139="臨時喫食"),1,0)</f>
        <v>0</v>
      </c>
      <c r="U139" s="0" t="str">
        <f aca="false">IF(T139=1,SUM($T$2:T139),"")</f>
        <v/>
      </c>
      <c r="V139" s="0" t="n">
        <f aca="false">IF(AND(食数記録!$A139=プレビュー!$C$3,食数記録!$B139="昼",食数記録!$F139="女性GH",食数記録!$D139="臨時喫食"),1,0)</f>
        <v>0</v>
      </c>
      <c r="W139" s="0" t="str">
        <f aca="false">IF(V139=1,SUM($V$2:V139),"")</f>
        <v/>
      </c>
      <c r="X139" s="0" t="n">
        <f aca="false">IF(AND(食数記録!$A139=プレビュー!$C$3,食数記録!$B139="夕",食数記録!$F139="女性GH",食数記録!$D139="臨時喫食"),1,0)</f>
        <v>0</v>
      </c>
      <c r="Y139" s="0" t="str">
        <f aca="false">IF(X139=1,SUM($X$2:X139),"")</f>
        <v/>
      </c>
    </row>
    <row r="140" customFormat="false" ht="15" hidden="false" customHeight="false" outlineLevel="0" collapsed="false">
      <c r="B140" s="0" t="n">
        <f aca="false">IF(AND(食数記録!$A140=プレビュー!$C$3,食数記録!$B140="朝",食数記録!$F140="男性入所",食数記録!$D140="欠食"),1,0)</f>
        <v>0</v>
      </c>
      <c r="C140" s="0" t="str">
        <f aca="false">IF(B140=1,SUM($B$2:B140),"")</f>
        <v/>
      </c>
      <c r="D140" s="0" t="n">
        <f aca="false">IF(AND(食数記録!$A140=プレビュー!$C$3,食数記録!$B140="昼",食数記録!$F140="男性入所",食数記録!$D140="欠食"),1,0)</f>
        <v>0</v>
      </c>
      <c r="E140" s="0" t="str">
        <f aca="false">IF(D140=1,SUM($D$2:D140),"")</f>
        <v/>
      </c>
      <c r="F140" s="0" t="n">
        <f aca="false">IF(AND(食数記録!$A140=プレビュー!$C$3,食数記録!$B140="夕",食数記録!$F140="男性入所",食数記録!$D140="欠食"),1,0)</f>
        <v>0</v>
      </c>
      <c r="G140" s="0" t="str">
        <f aca="false">IF(F140=1,SUM($F$2:F140),"")</f>
        <v/>
      </c>
      <c r="H140" s="0" t="n">
        <f aca="false">IF(AND(食数記録!$A140=プレビュー!$C$3,食数記録!$B140="朝",食数記録!$F140="女性入所",食数記録!$D140="欠食"),1,0)</f>
        <v>0</v>
      </c>
      <c r="I140" s="0" t="str">
        <f aca="false">IF(H140=1,SUM($H$2:H140),"")</f>
        <v/>
      </c>
      <c r="J140" s="0" t="n">
        <f aca="false">IF(AND(食数記録!$A140=プレビュー!$C$3,食数記録!$B140="昼",食数記録!$F140="女性入所",食数記録!$D140="欠食"),1,0)</f>
        <v>0</v>
      </c>
      <c r="K140" s="0" t="str">
        <f aca="false">IF(J140=1,SUM($J$2:J140),"")</f>
        <v/>
      </c>
      <c r="L140" s="0" t="n">
        <f aca="false">IF(AND(食数記録!$A140=プレビュー!$C$3,食数記録!$B140="夕",食数記録!$F140="女性入所",食数記録!$D140="欠食"),1,0)</f>
        <v>0</v>
      </c>
      <c r="M140" s="0" t="str">
        <f aca="false">IF(L140=1,SUM($L$2:L140),"")</f>
        <v/>
      </c>
      <c r="N140" s="0" t="n">
        <f aca="false">IF(AND(食数記録!$A140=プレビュー!$C$3,食数記録!$B140="朝",食数記録!$F140="男性GH",食数記録!$D140="臨時喫食"),1,0)</f>
        <v>0</v>
      </c>
      <c r="O140" s="0" t="str">
        <f aca="false">IF(N140=1,SUM($N$2:N140),"")</f>
        <v/>
      </c>
      <c r="P140" s="0" t="n">
        <f aca="false">IF(AND(食数記録!$A140=プレビュー!$C$3,食数記録!$B140="昼",食数記録!$F140="男性GH",食数記録!$D140="臨時喫食"),1,0)</f>
        <v>0</v>
      </c>
      <c r="Q140" s="0" t="str">
        <f aca="false">IF(P140=1,SUM($P$2:P140),"")</f>
        <v/>
      </c>
      <c r="R140" s="0" t="n">
        <f aca="false">IF(AND(食数記録!$A140=プレビュー!$C$3,食数記録!$B140="夕",食数記録!$F140="男性GH",食数記録!$D140="臨時喫食"),1,0)</f>
        <v>0</v>
      </c>
      <c r="S140" s="0" t="str">
        <f aca="false">IF(R140=1,SUM($R$2:R140),"")</f>
        <v/>
      </c>
      <c r="T140" s="0" t="n">
        <f aca="false">IF(AND(食数記録!$A140=プレビュー!$C$3,食数記録!$B140="朝",食数記録!$F140="女性GH",食数記録!$D140="臨時喫食"),1,0)</f>
        <v>0</v>
      </c>
      <c r="U140" s="0" t="str">
        <f aca="false">IF(T140=1,SUM($T$2:T140),"")</f>
        <v/>
      </c>
      <c r="V140" s="0" t="n">
        <f aca="false">IF(AND(食数記録!$A140=プレビュー!$C$3,食数記録!$B140="昼",食数記録!$F140="女性GH",食数記録!$D140="臨時喫食"),1,0)</f>
        <v>0</v>
      </c>
      <c r="W140" s="0" t="str">
        <f aca="false">IF(V140=1,SUM($V$2:V140),"")</f>
        <v/>
      </c>
      <c r="X140" s="0" t="n">
        <f aca="false">IF(AND(食数記録!$A140=プレビュー!$C$3,食数記録!$B140="夕",食数記録!$F140="女性GH",食数記録!$D140="臨時喫食"),1,0)</f>
        <v>0</v>
      </c>
      <c r="Y140" s="0" t="str">
        <f aca="false">IF(X140=1,SUM($X$2:X140),"")</f>
        <v/>
      </c>
    </row>
    <row r="141" customFormat="false" ht="15" hidden="false" customHeight="false" outlineLevel="0" collapsed="false">
      <c r="B141" s="0" t="n">
        <f aca="false">IF(AND(食数記録!$A141=プレビュー!$C$3,食数記録!$B141="朝",食数記録!$F141="男性入所",食数記録!$D141="欠食"),1,0)</f>
        <v>0</v>
      </c>
      <c r="C141" s="0" t="str">
        <f aca="false">IF(B141=1,SUM($B$2:B141),"")</f>
        <v/>
      </c>
      <c r="D141" s="0" t="n">
        <f aca="false">IF(AND(食数記録!$A141=プレビュー!$C$3,食数記録!$B141="昼",食数記録!$F141="男性入所",食数記録!$D141="欠食"),1,0)</f>
        <v>0</v>
      </c>
      <c r="E141" s="0" t="str">
        <f aca="false">IF(D141=1,SUM($D$2:D141),"")</f>
        <v/>
      </c>
      <c r="F141" s="0" t="n">
        <f aca="false">IF(AND(食数記録!$A141=プレビュー!$C$3,食数記録!$B141="夕",食数記録!$F141="男性入所",食数記録!$D141="欠食"),1,0)</f>
        <v>0</v>
      </c>
      <c r="G141" s="0" t="str">
        <f aca="false">IF(F141=1,SUM($F$2:F141),"")</f>
        <v/>
      </c>
      <c r="H141" s="0" t="n">
        <f aca="false">IF(AND(食数記録!$A141=プレビュー!$C$3,食数記録!$B141="朝",食数記録!$F141="女性入所",食数記録!$D141="欠食"),1,0)</f>
        <v>0</v>
      </c>
      <c r="I141" s="0" t="str">
        <f aca="false">IF(H141=1,SUM($H$2:H141),"")</f>
        <v/>
      </c>
      <c r="J141" s="0" t="n">
        <f aca="false">IF(AND(食数記録!$A141=プレビュー!$C$3,食数記録!$B141="昼",食数記録!$F141="女性入所",食数記録!$D141="欠食"),1,0)</f>
        <v>0</v>
      </c>
      <c r="K141" s="0" t="str">
        <f aca="false">IF(J141=1,SUM($J$2:J141),"")</f>
        <v/>
      </c>
      <c r="L141" s="0" t="n">
        <f aca="false">IF(AND(食数記録!$A141=プレビュー!$C$3,食数記録!$B141="夕",食数記録!$F141="女性入所",食数記録!$D141="欠食"),1,0)</f>
        <v>0</v>
      </c>
      <c r="M141" s="0" t="str">
        <f aca="false">IF(L141=1,SUM($L$2:L141),"")</f>
        <v/>
      </c>
      <c r="N141" s="0" t="n">
        <f aca="false">IF(AND(食数記録!$A141=プレビュー!$C$3,食数記録!$B141="朝",食数記録!$F141="男性GH",食数記録!$D141="臨時喫食"),1,0)</f>
        <v>0</v>
      </c>
      <c r="O141" s="0" t="str">
        <f aca="false">IF(N141=1,SUM($N$2:N141),"")</f>
        <v/>
      </c>
      <c r="P141" s="0" t="n">
        <f aca="false">IF(AND(食数記録!$A141=プレビュー!$C$3,食数記録!$B141="昼",食数記録!$F141="男性GH",食数記録!$D141="臨時喫食"),1,0)</f>
        <v>0</v>
      </c>
      <c r="Q141" s="0" t="str">
        <f aca="false">IF(P141=1,SUM($P$2:P141),"")</f>
        <v/>
      </c>
      <c r="R141" s="0" t="n">
        <f aca="false">IF(AND(食数記録!$A141=プレビュー!$C$3,食数記録!$B141="夕",食数記録!$F141="男性GH",食数記録!$D141="臨時喫食"),1,0)</f>
        <v>0</v>
      </c>
      <c r="S141" s="0" t="str">
        <f aca="false">IF(R141=1,SUM($R$2:R141),"")</f>
        <v/>
      </c>
      <c r="T141" s="0" t="n">
        <f aca="false">IF(AND(食数記録!$A141=プレビュー!$C$3,食数記録!$B141="朝",食数記録!$F141="女性GH",食数記録!$D141="臨時喫食"),1,0)</f>
        <v>0</v>
      </c>
      <c r="U141" s="0" t="str">
        <f aca="false">IF(T141=1,SUM($T$2:T141),"")</f>
        <v/>
      </c>
      <c r="V141" s="0" t="n">
        <f aca="false">IF(AND(食数記録!$A141=プレビュー!$C$3,食数記録!$B141="昼",食数記録!$F141="女性GH",食数記録!$D141="臨時喫食"),1,0)</f>
        <v>0</v>
      </c>
      <c r="W141" s="0" t="str">
        <f aca="false">IF(V141=1,SUM($V$2:V141),"")</f>
        <v/>
      </c>
      <c r="X141" s="0" t="n">
        <f aca="false">IF(AND(食数記録!$A141=プレビュー!$C$3,食数記録!$B141="夕",食数記録!$F141="女性GH",食数記録!$D141="臨時喫食"),1,0)</f>
        <v>0</v>
      </c>
      <c r="Y141" s="0" t="str">
        <f aca="false">IF(X141=1,SUM($X$2:X141),"")</f>
        <v/>
      </c>
    </row>
    <row r="142" customFormat="false" ht="15" hidden="false" customHeight="false" outlineLevel="0" collapsed="false">
      <c r="B142" s="0" t="n">
        <f aca="false">IF(AND(食数記録!$A142=プレビュー!$C$3,食数記録!$B142="朝",食数記録!$F142="男性入所",食数記録!$D142="欠食"),1,0)</f>
        <v>0</v>
      </c>
      <c r="C142" s="0" t="str">
        <f aca="false">IF(B142=1,SUM($B$2:B142),"")</f>
        <v/>
      </c>
      <c r="D142" s="0" t="n">
        <f aca="false">IF(AND(食数記録!$A142=プレビュー!$C$3,食数記録!$B142="昼",食数記録!$F142="男性入所",食数記録!$D142="欠食"),1,0)</f>
        <v>0</v>
      </c>
      <c r="E142" s="0" t="str">
        <f aca="false">IF(D142=1,SUM($D$2:D142),"")</f>
        <v/>
      </c>
      <c r="F142" s="0" t="n">
        <f aca="false">IF(AND(食数記録!$A142=プレビュー!$C$3,食数記録!$B142="夕",食数記録!$F142="男性入所",食数記録!$D142="欠食"),1,0)</f>
        <v>0</v>
      </c>
      <c r="G142" s="0" t="str">
        <f aca="false">IF(F142=1,SUM($F$2:F142),"")</f>
        <v/>
      </c>
      <c r="H142" s="0" t="n">
        <f aca="false">IF(AND(食数記録!$A142=プレビュー!$C$3,食数記録!$B142="朝",食数記録!$F142="女性入所",食数記録!$D142="欠食"),1,0)</f>
        <v>0</v>
      </c>
      <c r="I142" s="0" t="str">
        <f aca="false">IF(H142=1,SUM($H$2:H142),"")</f>
        <v/>
      </c>
      <c r="J142" s="0" t="n">
        <f aca="false">IF(AND(食数記録!$A142=プレビュー!$C$3,食数記録!$B142="昼",食数記録!$F142="女性入所",食数記録!$D142="欠食"),1,0)</f>
        <v>0</v>
      </c>
      <c r="K142" s="0" t="str">
        <f aca="false">IF(J142=1,SUM($J$2:J142),"")</f>
        <v/>
      </c>
      <c r="L142" s="0" t="n">
        <f aca="false">IF(AND(食数記録!$A142=プレビュー!$C$3,食数記録!$B142="夕",食数記録!$F142="女性入所",食数記録!$D142="欠食"),1,0)</f>
        <v>0</v>
      </c>
      <c r="M142" s="0" t="str">
        <f aca="false">IF(L142=1,SUM($L$2:L142),"")</f>
        <v/>
      </c>
      <c r="N142" s="0" t="n">
        <f aca="false">IF(AND(食数記録!$A142=プレビュー!$C$3,食数記録!$B142="朝",食数記録!$F142="男性GH",食数記録!$D142="臨時喫食"),1,0)</f>
        <v>0</v>
      </c>
      <c r="O142" s="0" t="str">
        <f aca="false">IF(N142=1,SUM($N$2:N142),"")</f>
        <v/>
      </c>
      <c r="P142" s="0" t="n">
        <f aca="false">IF(AND(食数記録!$A142=プレビュー!$C$3,食数記録!$B142="昼",食数記録!$F142="男性GH",食数記録!$D142="臨時喫食"),1,0)</f>
        <v>0</v>
      </c>
      <c r="Q142" s="0" t="str">
        <f aca="false">IF(P142=1,SUM($P$2:P142),"")</f>
        <v/>
      </c>
      <c r="R142" s="0" t="n">
        <f aca="false">IF(AND(食数記録!$A142=プレビュー!$C$3,食数記録!$B142="夕",食数記録!$F142="男性GH",食数記録!$D142="臨時喫食"),1,0)</f>
        <v>0</v>
      </c>
      <c r="S142" s="0" t="str">
        <f aca="false">IF(R142=1,SUM($R$2:R142),"")</f>
        <v/>
      </c>
      <c r="T142" s="0" t="n">
        <f aca="false">IF(AND(食数記録!$A142=プレビュー!$C$3,食数記録!$B142="朝",食数記録!$F142="女性GH",食数記録!$D142="臨時喫食"),1,0)</f>
        <v>0</v>
      </c>
      <c r="U142" s="0" t="str">
        <f aca="false">IF(T142=1,SUM($T$2:T142),"")</f>
        <v/>
      </c>
      <c r="V142" s="0" t="n">
        <f aca="false">IF(AND(食数記録!$A142=プレビュー!$C$3,食数記録!$B142="昼",食数記録!$F142="女性GH",食数記録!$D142="臨時喫食"),1,0)</f>
        <v>0</v>
      </c>
      <c r="W142" s="0" t="str">
        <f aca="false">IF(V142=1,SUM($V$2:V142),"")</f>
        <v/>
      </c>
      <c r="X142" s="0" t="n">
        <f aca="false">IF(AND(食数記録!$A142=プレビュー!$C$3,食数記録!$B142="夕",食数記録!$F142="女性GH",食数記録!$D142="臨時喫食"),1,0)</f>
        <v>0</v>
      </c>
      <c r="Y142" s="0" t="str">
        <f aca="false">IF(X142=1,SUM($X$2:X142),"")</f>
        <v/>
      </c>
    </row>
    <row r="143" customFormat="false" ht="15" hidden="false" customHeight="false" outlineLevel="0" collapsed="false">
      <c r="B143" s="0" t="n">
        <f aca="false">IF(AND(食数記録!$A143=プレビュー!$C$3,食数記録!$B143="朝",食数記録!$F143="男性入所",食数記録!$D143="欠食"),1,0)</f>
        <v>0</v>
      </c>
      <c r="C143" s="0" t="str">
        <f aca="false">IF(B143=1,SUM($B$2:B143),"")</f>
        <v/>
      </c>
      <c r="D143" s="0" t="n">
        <f aca="false">IF(AND(食数記録!$A143=プレビュー!$C$3,食数記録!$B143="昼",食数記録!$F143="男性入所",食数記録!$D143="欠食"),1,0)</f>
        <v>0</v>
      </c>
      <c r="E143" s="0" t="str">
        <f aca="false">IF(D143=1,SUM($D$2:D143),"")</f>
        <v/>
      </c>
      <c r="F143" s="0" t="n">
        <f aca="false">IF(AND(食数記録!$A143=プレビュー!$C$3,食数記録!$B143="夕",食数記録!$F143="男性入所",食数記録!$D143="欠食"),1,0)</f>
        <v>0</v>
      </c>
      <c r="G143" s="0" t="str">
        <f aca="false">IF(F143=1,SUM($F$2:F143),"")</f>
        <v/>
      </c>
      <c r="H143" s="0" t="n">
        <f aca="false">IF(AND(食数記録!$A143=プレビュー!$C$3,食数記録!$B143="朝",食数記録!$F143="女性入所",食数記録!$D143="欠食"),1,0)</f>
        <v>0</v>
      </c>
      <c r="I143" s="0" t="str">
        <f aca="false">IF(H143=1,SUM($H$2:H143),"")</f>
        <v/>
      </c>
      <c r="J143" s="0" t="n">
        <f aca="false">IF(AND(食数記録!$A143=プレビュー!$C$3,食数記録!$B143="昼",食数記録!$F143="女性入所",食数記録!$D143="欠食"),1,0)</f>
        <v>0</v>
      </c>
      <c r="K143" s="0" t="str">
        <f aca="false">IF(J143=1,SUM($J$2:J143),"")</f>
        <v/>
      </c>
      <c r="L143" s="0" t="n">
        <f aca="false">IF(AND(食数記録!$A143=プレビュー!$C$3,食数記録!$B143="夕",食数記録!$F143="女性入所",食数記録!$D143="欠食"),1,0)</f>
        <v>0</v>
      </c>
      <c r="M143" s="0" t="str">
        <f aca="false">IF(L143=1,SUM($L$2:L143),"")</f>
        <v/>
      </c>
      <c r="N143" s="0" t="n">
        <f aca="false">IF(AND(食数記録!$A143=プレビュー!$C$3,食数記録!$B143="朝",食数記録!$F143="男性GH",食数記録!$D143="臨時喫食"),1,0)</f>
        <v>0</v>
      </c>
      <c r="O143" s="0" t="str">
        <f aca="false">IF(N143=1,SUM($N$2:N143),"")</f>
        <v/>
      </c>
      <c r="P143" s="0" t="n">
        <f aca="false">IF(AND(食数記録!$A143=プレビュー!$C$3,食数記録!$B143="昼",食数記録!$F143="男性GH",食数記録!$D143="臨時喫食"),1,0)</f>
        <v>0</v>
      </c>
      <c r="Q143" s="0" t="str">
        <f aca="false">IF(P143=1,SUM($P$2:P143),"")</f>
        <v/>
      </c>
      <c r="R143" s="0" t="n">
        <f aca="false">IF(AND(食数記録!$A143=プレビュー!$C$3,食数記録!$B143="夕",食数記録!$F143="男性GH",食数記録!$D143="臨時喫食"),1,0)</f>
        <v>0</v>
      </c>
      <c r="S143" s="0" t="str">
        <f aca="false">IF(R143=1,SUM($R$2:R143),"")</f>
        <v/>
      </c>
      <c r="T143" s="0" t="n">
        <f aca="false">IF(AND(食数記録!$A143=プレビュー!$C$3,食数記録!$B143="朝",食数記録!$F143="女性GH",食数記録!$D143="臨時喫食"),1,0)</f>
        <v>0</v>
      </c>
      <c r="U143" s="0" t="str">
        <f aca="false">IF(T143=1,SUM($T$2:T143),"")</f>
        <v/>
      </c>
      <c r="V143" s="0" t="n">
        <f aca="false">IF(AND(食数記録!$A143=プレビュー!$C$3,食数記録!$B143="昼",食数記録!$F143="女性GH",食数記録!$D143="臨時喫食"),1,0)</f>
        <v>0</v>
      </c>
      <c r="W143" s="0" t="str">
        <f aca="false">IF(V143=1,SUM($V$2:V143),"")</f>
        <v/>
      </c>
      <c r="X143" s="0" t="n">
        <f aca="false">IF(AND(食数記録!$A143=プレビュー!$C$3,食数記録!$B143="夕",食数記録!$F143="女性GH",食数記録!$D143="臨時喫食"),1,0)</f>
        <v>0</v>
      </c>
      <c r="Y143" s="0" t="str">
        <f aca="false">IF(X143=1,SUM($X$2:X143),"")</f>
        <v/>
      </c>
    </row>
    <row r="144" customFormat="false" ht="15" hidden="false" customHeight="false" outlineLevel="0" collapsed="false">
      <c r="B144" s="0" t="n">
        <f aca="false">IF(AND(食数記録!$A144=プレビュー!$C$3,食数記録!$B144="朝",食数記録!$F144="男性入所",食数記録!$D144="欠食"),1,0)</f>
        <v>0</v>
      </c>
      <c r="C144" s="0" t="str">
        <f aca="false">IF(B144=1,SUM($B$2:B144),"")</f>
        <v/>
      </c>
      <c r="D144" s="0" t="n">
        <f aca="false">IF(AND(食数記録!$A144=プレビュー!$C$3,食数記録!$B144="昼",食数記録!$F144="男性入所",食数記録!$D144="欠食"),1,0)</f>
        <v>0</v>
      </c>
      <c r="E144" s="0" t="str">
        <f aca="false">IF(D144=1,SUM($D$2:D144),"")</f>
        <v/>
      </c>
      <c r="F144" s="0" t="n">
        <f aca="false">IF(AND(食数記録!$A144=プレビュー!$C$3,食数記録!$B144="夕",食数記録!$F144="男性入所",食数記録!$D144="欠食"),1,0)</f>
        <v>0</v>
      </c>
      <c r="G144" s="0" t="str">
        <f aca="false">IF(F144=1,SUM($F$2:F144),"")</f>
        <v/>
      </c>
      <c r="H144" s="0" t="n">
        <f aca="false">IF(AND(食数記録!$A144=プレビュー!$C$3,食数記録!$B144="朝",食数記録!$F144="女性入所",食数記録!$D144="欠食"),1,0)</f>
        <v>0</v>
      </c>
      <c r="I144" s="0" t="str">
        <f aca="false">IF(H144=1,SUM($H$2:H144),"")</f>
        <v/>
      </c>
      <c r="J144" s="0" t="n">
        <f aca="false">IF(AND(食数記録!$A144=プレビュー!$C$3,食数記録!$B144="昼",食数記録!$F144="女性入所",食数記録!$D144="欠食"),1,0)</f>
        <v>0</v>
      </c>
      <c r="K144" s="0" t="str">
        <f aca="false">IF(J144=1,SUM($J$2:J144),"")</f>
        <v/>
      </c>
      <c r="L144" s="0" t="n">
        <f aca="false">IF(AND(食数記録!$A144=プレビュー!$C$3,食数記録!$B144="夕",食数記録!$F144="女性入所",食数記録!$D144="欠食"),1,0)</f>
        <v>0</v>
      </c>
      <c r="M144" s="0" t="str">
        <f aca="false">IF(L144=1,SUM($L$2:L144),"")</f>
        <v/>
      </c>
      <c r="N144" s="0" t="n">
        <f aca="false">IF(AND(食数記録!$A144=プレビュー!$C$3,食数記録!$B144="朝",食数記録!$F144="男性GH",食数記録!$D144="臨時喫食"),1,0)</f>
        <v>0</v>
      </c>
      <c r="O144" s="0" t="str">
        <f aca="false">IF(N144=1,SUM($N$2:N144),"")</f>
        <v/>
      </c>
      <c r="P144" s="0" t="n">
        <f aca="false">IF(AND(食数記録!$A144=プレビュー!$C$3,食数記録!$B144="昼",食数記録!$F144="男性GH",食数記録!$D144="臨時喫食"),1,0)</f>
        <v>0</v>
      </c>
      <c r="Q144" s="0" t="str">
        <f aca="false">IF(P144=1,SUM($P$2:P144),"")</f>
        <v/>
      </c>
      <c r="R144" s="0" t="n">
        <f aca="false">IF(AND(食数記録!$A144=プレビュー!$C$3,食数記録!$B144="夕",食数記録!$F144="男性GH",食数記録!$D144="臨時喫食"),1,0)</f>
        <v>0</v>
      </c>
      <c r="S144" s="0" t="str">
        <f aca="false">IF(R144=1,SUM($R$2:R144),"")</f>
        <v/>
      </c>
      <c r="T144" s="0" t="n">
        <f aca="false">IF(AND(食数記録!$A144=プレビュー!$C$3,食数記録!$B144="朝",食数記録!$F144="女性GH",食数記録!$D144="臨時喫食"),1,0)</f>
        <v>0</v>
      </c>
      <c r="U144" s="0" t="str">
        <f aca="false">IF(T144=1,SUM($T$2:T144),"")</f>
        <v/>
      </c>
      <c r="V144" s="0" t="n">
        <f aca="false">IF(AND(食数記録!$A144=プレビュー!$C$3,食数記録!$B144="昼",食数記録!$F144="女性GH",食数記録!$D144="臨時喫食"),1,0)</f>
        <v>0</v>
      </c>
      <c r="W144" s="0" t="str">
        <f aca="false">IF(V144=1,SUM($V$2:V144),"")</f>
        <v/>
      </c>
      <c r="X144" s="0" t="n">
        <f aca="false">IF(AND(食数記録!$A144=プレビュー!$C$3,食数記録!$B144="夕",食数記録!$F144="女性GH",食数記録!$D144="臨時喫食"),1,0)</f>
        <v>0</v>
      </c>
      <c r="Y144" s="0" t="str">
        <f aca="false">IF(X144=1,SUM($X$2:X144),"")</f>
        <v/>
      </c>
    </row>
    <row r="145" customFormat="false" ht="15" hidden="false" customHeight="false" outlineLevel="0" collapsed="false">
      <c r="B145" s="0" t="n">
        <f aca="false">IF(AND(食数記録!$A145=プレビュー!$C$3,食数記録!$B145="朝",食数記録!$F145="男性入所",食数記録!$D145="欠食"),1,0)</f>
        <v>0</v>
      </c>
      <c r="C145" s="0" t="str">
        <f aca="false">IF(B145=1,SUM($B$2:B145),"")</f>
        <v/>
      </c>
      <c r="D145" s="0" t="n">
        <f aca="false">IF(AND(食数記録!$A145=プレビュー!$C$3,食数記録!$B145="昼",食数記録!$F145="男性入所",食数記録!$D145="欠食"),1,0)</f>
        <v>0</v>
      </c>
      <c r="E145" s="0" t="str">
        <f aca="false">IF(D145=1,SUM($D$2:D145),"")</f>
        <v/>
      </c>
      <c r="F145" s="0" t="n">
        <f aca="false">IF(AND(食数記録!$A145=プレビュー!$C$3,食数記録!$B145="夕",食数記録!$F145="男性入所",食数記録!$D145="欠食"),1,0)</f>
        <v>0</v>
      </c>
      <c r="G145" s="0" t="str">
        <f aca="false">IF(F145=1,SUM($F$2:F145),"")</f>
        <v/>
      </c>
      <c r="H145" s="0" t="n">
        <f aca="false">IF(AND(食数記録!$A145=プレビュー!$C$3,食数記録!$B145="朝",食数記録!$F145="女性入所",食数記録!$D145="欠食"),1,0)</f>
        <v>0</v>
      </c>
      <c r="I145" s="0" t="str">
        <f aca="false">IF(H145=1,SUM($H$2:H145),"")</f>
        <v/>
      </c>
      <c r="J145" s="0" t="n">
        <f aca="false">IF(AND(食数記録!$A145=プレビュー!$C$3,食数記録!$B145="昼",食数記録!$F145="女性入所",食数記録!$D145="欠食"),1,0)</f>
        <v>0</v>
      </c>
      <c r="K145" s="0" t="str">
        <f aca="false">IF(J145=1,SUM($J$2:J145),"")</f>
        <v/>
      </c>
      <c r="L145" s="0" t="n">
        <f aca="false">IF(AND(食数記録!$A145=プレビュー!$C$3,食数記録!$B145="夕",食数記録!$F145="女性入所",食数記録!$D145="欠食"),1,0)</f>
        <v>0</v>
      </c>
      <c r="M145" s="0" t="str">
        <f aca="false">IF(L145=1,SUM($L$2:L145),"")</f>
        <v/>
      </c>
      <c r="N145" s="0" t="n">
        <f aca="false">IF(AND(食数記録!$A145=プレビュー!$C$3,食数記録!$B145="朝",食数記録!$F145="男性GH",食数記録!$D145="臨時喫食"),1,0)</f>
        <v>0</v>
      </c>
      <c r="O145" s="0" t="str">
        <f aca="false">IF(N145=1,SUM($N$2:N145),"")</f>
        <v/>
      </c>
      <c r="P145" s="0" t="n">
        <f aca="false">IF(AND(食数記録!$A145=プレビュー!$C$3,食数記録!$B145="昼",食数記録!$F145="男性GH",食数記録!$D145="臨時喫食"),1,0)</f>
        <v>0</v>
      </c>
      <c r="Q145" s="0" t="str">
        <f aca="false">IF(P145=1,SUM($P$2:P145),"")</f>
        <v/>
      </c>
      <c r="R145" s="0" t="n">
        <f aca="false">IF(AND(食数記録!$A145=プレビュー!$C$3,食数記録!$B145="夕",食数記録!$F145="男性GH",食数記録!$D145="臨時喫食"),1,0)</f>
        <v>0</v>
      </c>
      <c r="S145" s="0" t="str">
        <f aca="false">IF(R145=1,SUM($R$2:R145),"")</f>
        <v/>
      </c>
      <c r="T145" s="0" t="n">
        <f aca="false">IF(AND(食数記録!$A145=プレビュー!$C$3,食数記録!$B145="朝",食数記録!$F145="女性GH",食数記録!$D145="臨時喫食"),1,0)</f>
        <v>0</v>
      </c>
      <c r="U145" s="0" t="str">
        <f aca="false">IF(T145=1,SUM($T$2:T145),"")</f>
        <v/>
      </c>
      <c r="V145" s="0" t="n">
        <f aca="false">IF(AND(食数記録!$A145=プレビュー!$C$3,食数記録!$B145="昼",食数記録!$F145="女性GH",食数記録!$D145="臨時喫食"),1,0)</f>
        <v>0</v>
      </c>
      <c r="W145" s="0" t="str">
        <f aca="false">IF(V145=1,SUM($V$2:V145),"")</f>
        <v/>
      </c>
      <c r="X145" s="0" t="n">
        <f aca="false">IF(AND(食数記録!$A145=プレビュー!$C$3,食数記録!$B145="夕",食数記録!$F145="女性GH",食数記録!$D145="臨時喫食"),1,0)</f>
        <v>0</v>
      </c>
      <c r="Y145" s="0" t="str">
        <f aca="false">IF(X145=1,SUM($X$2:X145),"")</f>
        <v/>
      </c>
    </row>
    <row r="146" customFormat="false" ht="15" hidden="false" customHeight="false" outlineLevel="0" collapsed="false">
      <c r="B146" s="0" t="n">
        <f aca="false">IF(AND(食数記録!$A146=プレビュー!$C$3,食数記録!$B146="朝",食数記録!$F146="男性入所",食数記録!$D146="欠食"),1,0)</f>
        <v>0</v>
      </c>
      <c r="C146" s="0" t="str">
        <f aca="false">IF(B146=1,SUM($B$2:B146),"")</f>
        <v/>
      </c>
      <c r="D146" s="0" t="n">
        <f aca="false">IF(AND(食数記録!$A146=プレビュー!$C$3,食数記録!$B146="昼",食数記録!$F146="男性入所",食数記録!$D146="欠食"),1,0)</f>
        <v>0</v>
      </c>
      <c r="E146" s="0" t="str">
        <f aca="false">IF(D146=1,SUM($D$2:D146),"")</f>
        <v/>
      </c>
      <c r="F146" s="0" t="n">
        <f aca="false">IF(AND(食数記録!$A146=プレビュー!$C$3,食数記録!$B146="夕",食数記録!$F146="男性入所",食数記録!$D146="欠食"),1,0)</f>
        <v>0</v>
      </c>
      <c r="G146" s="0" t="str">
        <f aca="false">IF(F146=1,SUM($F$2:F146),"")</f>
        <v/>
      </c>
      <c r="H146" s="0" t="n">
        <f aca="false">IF(AND(食数記録!$A146=プレビュー!$C$3,食数記録!$B146="朝",食数記録!$F146="女性入所",食数記録!$D146="欠食"),1,0)</f>
        <v>0</v>
      </c>
      <c r="I146" s="0" t="str">
        <f aca="false">IF(H146=1,SUM($H$2:H146),"")</f>
        <v/>
      </c>
      <c r="J146" s="0" t="n">
        <f aca="false">IF(AND(食数記録!$A146=プレビュー!$C$3,食数記録!$B146="昼",食数記録!$F146="女性入所",食数記録!$D146="欠食"),1,0)</f>
        <v>0</v>
      </c>
      <c r="K146" s="0" t="str">
        <f aca="false">IF(J146=1,SUM($J$2:J146),"")</f>
        <v/>
      </c>
      <c r="L146" s="0" t="n">
        <f aca="false">IF(AND(食数記録!$A146=プレビュー!$C$3,食数記録!$B146="夕",食数記録!$F146="女性入所",食数記録!$D146="欠食"),1,0)</f>
        <v>0</v>
      </c>
      <c r="M146" s="0" t="str">
        <f aca="false">IF(L146=1,SUM($L$2:L146),"")</f>
        <v/>
      </c>
      <c r="N146" s="0" t="n">
        <f aca="false">IF(AND(食数記録!$A146=プレビュー!$C$3,食数記録!$B146="朝",食数記録!$F146="男性GH",食数記録!$D146="臨時喫食"),1,0)</f>
        <v>0</v>
      </c>
      <c r="O146" s="0" t="str">
        <f aca="false">IF(N146=1,SUM($N$2:N146),"")</f>
        <v/>
      </c>
      <c r="P146" s="0" t="n">
        <f aca="false">IF(AND(食数記録!$A146=プレビュー!$C$3,食数記録!$B146="昼",食数記録!$F146="男性GH",食数記録!$D146="臨時喫食"),1,0)</f>
        <v>0</v>
      </c>
      <c r="Q146" s="0" t="str">
        <f aca="false">IF(P146=1,SUM($P$2:P146),"")</f>
        <v/>
      </c>
      <c r="R146" s="0" t="n">
        <f aca="false">IF(AND(食数記録!$A146=プレビュー!$C$3,食数記録!$B146="夕",食数記録!$F146="男性GH",食数記録!$D146="臨時喫食"),1,0)</f>
        <v>0</v>
      </c>
      <c r="S146" s="0" t="str">
        <f aca="false">IF(R146=1,SUM($R$2:R146),"")</f>
        <v/>
      </c>
      <c r="T146" s="0" t="n">
        <f aca="false">IF(AND(食数記録!$A146=プレビュー!$C$3,食数記録!$B146="朝",食数記録!$F146="女性GH",食数記録!$D146="臨時喫食"),1,0)</f>
        <v>0</v>
      </c>
      <c r="U146" s="0" t="str">
        <f aca="false">IF(T146=1,SUM($T$2:T146),"")</f>
        <v/>
      </c>
      <c r="V146" s="0" t="n">
        <f aca="false">IF(AND(食数記録!$A146=プレビュー!$C$3,食数記録!$B146="昼",食数記録!$F146="女性GH",食数記録!$D146="臨時喫食"),1,0)</f>
        <v>0</v>
      </c>
      <c r="W146" s="0" t="str">
        <f aca="false">IF(V146=1,SUM($V$2:V146),"")</f>
        <v/>
      </c>
      <c r="X146" s="0" t="n">
        <f aca="false">IF(AND(食数記録!$A146=プレビュー!$C$3,食数記録!$B146="夕",食数記録!$F146="女性GH",食数記録!$D146="臨時喫食"),1,0)</f>
        <v>0</v>
      </c>
      <c r="Y146" s="0" t="str">
        <f aca="false">IF(X146=1,SUM($X$2:X146),"")</f>
        <v/>
      </c>
    </row>
    <row r="147" customFormat="false" ht="15" hidden="false" customHeight="false" outlineLevel="0" collapsed="false">
      <c r="B147" s="0" t="n">
        <f aca="false">IF(AND(食数記録!$A147=プレビュー!$C$3,食数記録!$B147="朝",食数記録!$F147="男性入所",食数記録!$D147="欠食"),1,0)</f>
        <v>0</v>
      </c>
      <c r="C147" s="0" t="str">
        <f aca="false">IF(B147=1,SUM($B$2:B147),"")</f>
        <v/>
      </c>
      <c r="D147" s="0" t="n">
        <f aca="false">IF(AND(食数記録!$A147=プレビュー!$C$3,食数記録!$B147="昼",食数記録!$F147="男性入所",食数記録!$D147="欠食"),1,0)</f>
        <v>0</v>
      </c>
      <c r="E147" s="0" t="str">
        <f aca="false">IF(D147=1,SUM($D$2:D147),"")</f>
        <v/>
      </c>
      <c r="F147" s="0" t="n">
        <f aca="false">IF(AND(食数記録!$A147=プレビュー!$C$3,食数記録!$B147="夕",食数記録!$F147="男性入所",食数記録!$D147="欠食"),1,0)</f>
        <v>0</v>
      </c>
      <c r="G147" s="0" t="str">
        <f aca="false">IF(F147=1,SUM($F$2:F147),"")</f>
        <v/>
      </c>
      <c r="H147" s="0" t="n">
        <f aca="false">IF(AND(食数記録!$A147=プレビュー!$C$3,食数記録!$B147="朝",食数記録!$F147="女性入所",食数記録!$D147="欠食"),1,0)</f>
        <v>0</v>
      </c>
      <c r="I147" s="0" t="str">
        <f aca="false">IF(H147=1,SUM($H$2:H147),"")</f>
        <v/>
      </c>
      <c r="J147" s="0" t="n">
        <f aca="false">IF(AND(食数記録!$A147=プレビュー!$C$3,食数記録!$B147="昼",食数記録!$F147="女性入所",食数記録!$D147="欠食"),1,0)</f>
        <v>0</v>
      </c>
      <c r="K147" s="0" t="str">
        <f aca="false">IF(J147=1,SUM($J$2:J147),"")</f>
        <v/>
      </c>
      <c r="L147" s="0" t="n">
        <f aca="false">IF(AND(食数記録!$A147=プレビュー!$C$3,食数記録!$B147="夕",食数記録!$F147="女性入所",食数記録!$D147="欠食"),1,0)</f>
        <v>0</v>
      </c>
      <c r="M147" s="0" t="str">
        <f aca="false">IF(L147=1,SUM($L$2:L147),"")</f>
        <v/>
      </c>
      <c r="N147" s="0" t="n">
        <f aca="false">IF(AND(食数記録!$A147=プレビュー!$C$3,食数記録!$B147="朝",食数記録!$F147="男性GH",食数記録!$D147="臨時喫食"),1,0)</f>
        <v>0</v>
      </c>
      <c r="O147" s="0" t="str">
        <f aca="false">IF(N147=1,SUM($N$2:N147),"")</f>
        <v/>
      </c>
      <c r="P147" s="0" t="n">
        <f aca="false">IF(AND(食数記録!$A147=プレビュー!$C$3,食数記録!$B147="昼",食数記録!$F147="男性GH",食数記録!$D147="臨時喫食"),1,0)</f>
        <v>0</v>
      </c>
      <c r="Q147" s="0" t="str">
        <f aca="false">IF(P147=1,SUM($P$2:P147),"")</f>
        <v/>
      </c>
      <c r="R147" s="0" t="n">
        <f aca="false">IF(AND(食数記録!$A147=プレビュー!$C$3,食数記録!$B147="夕",食数記録!$F147="男性GH",食数記録!$D147="臨時喫食"),1,0)</f>
        <v>0</v>
      </c>
      <c r="S147" s="0" t="str">
        <f aca="false">IF(R147=1,SUM($R$2:R147),"")</f>
        <v/>
      </c>
      <c r="T147" s="0" t="n">
        <f aca="false">IF(AND(食数記録!$A147=プレビュー!$C$3,食数記録!$B147="朝",食数記録!$F147="女性GH",食数記録!$D147="臨時喫食"),1,0)</f>
        <v>0</v>
      </c>
      <c r="U147" s="0" t="str">
        <f aca="false">IF(T147=1,SUM($T$2:T147),"")</f>
        <v/>
      </c>
      <c r="V147" s="0" t="n">
        <f aca="false">IF(AND(食数記録!$A147=プレビュー!$C$3,食数記録!$B147="昼",食数記録!$F147="女性GH",食数記録!$D147="臨時喫食"),1,0)</f>
        <v>0</v>
      </c>
      <c r="W147" s="0" t="str">
        <f aca="false">IF(V147=1,SUM($V$2:V147),"")</f>
        <v/>
      </c>
      <c r="X147" s="0" t="n">
        <f aca="false">IF(AND(食数記録!$A147=プレビュー!$C$3,食数記録!$B147="夕",食数記録!$F147="女性GH",食数記録!$D147="臨時喫食"),1,0)</f>
        <v>0</v>
      </c>
      <c r="Y147" s="0" t="str">
        <f aca="false">IF(X147=1,SUM($X$2:X147),"")</f>
        <v/>
      </c>
    </row>
    <row r="148" customFormat="false" ht="15" hidden="false" customHeight="false" outlineLevel="0" collapsed="false">
      <c r="B148" s="0" t="n">
        <f aca="false">IF(AND(食数記録!$A148=プレビュー!$C$3,食数記録!$B148="朝",食数記録!$F148="男性入所",食数記録!$D148="欠食"),1,0)</f>
        <v>0</v>
      </c>
      <c r="C148" s="0" t="str">
        <f aca="false">IF(B148=1,SUM($B$2:B148),"")</f>
        <v/>
      </c>
      <c r="D148" s="0" t="n">
        <f aca="false">IF(AND(食数記録!$A148=プレビュー!$C$3,食数記録!$B148="昼",食数記録!$F148="男性入所",食数記録!$D148="欠食"),1,0)</f>
        <v>0</v>
      </c>
      <c r="E148" s="0" t="str">
        <f aca="false">IF(D148=1,SUM($D$2:D148),"")</f>
        <v/>
      </c>
      <c r="F148" s="0" t="n">
        <f aca="false">IF(AND(食数記録!$A148=プレビュー!$C$3,食数記録!$B148="夕",食数記録!$F148="男性入所",食数記録!$D148="欠食"),1,0)</f>
        <v>0</v>
      </c>
      <c r="G148" s="0" t="str">
        <f aca="false">IF(F148=1,SUM($F$2:F148),"")</f>
        <v/>
      </c>
      <c r="H148" s="0" t="n">
        <f aca="false">IF(AND(食数記録!$A148=プレビュー!$C$3,食数記録!$B148="朝",食数記録!$F148="女性入所",食数記録!$D148="欠食"),1,0)</f>
        <v>0</v>
      </c>
      <c r="I148" s="0" t="str">
        <f aca="false">IF(H148=1,SUM($H$2:H148),"")</f>
        <v/>
      </c>
      <c r="J148" s="0" t="n">
        <f aca="false">IF(AND(食数記録!$A148=プレビュー!$C$3,食数記録!$B148="昼",食数記録!$F148="女性入所",食数記録!$D148="欠食"),1,0)</f>
        <v>0</v>
      </c>
      <c r="K148" s="0" t="str">
        <f aca="false">IF(J148=1,SUM($J$2:J148),"")</f>
        <v/>
      </c>
      <c r="L148" s="0" t="n">
        <f aca="false">IF(AND(食数記録!$A148=プレビュー!$C$3,食数記録!$B148="夕",食数記録!$F148="女性入所",食数記録!$D148="欠食"),1,0)</f>
        <v>0</v>
      </c>
      <c r="M148" s="0" t="str">
        <f aca="false">IF(L148=1,SUM($L$2:L148),"")</f>
        <v/>
      </c>
      <c r="N148" s="0" t="n">
        <f aca="false">IF(AND(食数記録!$A148=プレビュー!$C$3,食数記録!$B148="朝",食数記録!$F148="男性GH",食数記録!$D148="臨時喫食"),1,0)</f>
        <v>0</v>
      </c>
      <c r="O148" s="0" t="str">
        <f aca="false">IF(N148=1,SUM($N$2:N148),"")</f>
        <v/>
      </c>
      <c r="P148" s="0" t="n">
        <f aca="false">IF(AND(食数記録!$A148=プレビュー!$C$3,食数記録!$B148="昼",食数記録!$F148="男性GH",食数記録!$D148="臨時喫食"),1,0)</f>
        <v>0</v>
      </c>
      <c r="Q148" s="0" t="str">
        <f aca="false">IF(P148=1,SUM($P$2:P148),"")</f>
        <v/>
      </c>
      <c r="R148" s="0" t="n">
        <f aca="false">IF(AND(食数記録!$A148=プレビュー!$C$3,食数記録!$B148="夕",食数記録!$F148="男性GH",食数記録!$D148="臨時喫食"),1,0)</f>
        <v>0</v>
      </c>
      <c r="S148" s="0" t="str">
        <f aca="false">IF(R148=1,SUM($R$2:R148),"")</f>
        <v/>
      </c>
      <c r="T148" s="0" t="n">
        <f aca="false">IF(AND(食数記録!$A148=プレビュー!$C$3,食数記録!$B148="朝",食数記録!$F148="女性GH",食数記録!$D148="臨時喫食"),1,0)</f>
        <v>0</v>
      </c>
      <c r="U148" s="0" t="str">
        <f aca="false">IF(T148=1,SUM($T$2:T148),"")</f>
        <v/>
      </c>
      <c r="V148" s="0" t="n">
        <f aca="false">IF(AND(食数記録!$A148=プレビュー!$C$3,食数記録!$B148="昼",食数記録!$F148="女性GH",食数記録!$D148="臨時喫食"),1,0)</f>
        <v>0</v>
      </c>
      <c r="W148" s="0" t="str">
        <f aca="false">IF(V148=1,SUM($V$2:V148),"")</f>
        <v/>
      </c>
      <c r="X148" s="0" t="n">
        <f aca="false">IF(AND(食数記録!$A148=プレビュー!$C$3,食数記録!$B148="夕",食数記録!$F148="女性GH",食数記録!$D148="臨時喫食"),1,0)</f>
        <v>0</v>
      </c>
      <c r="Y148" s="0" t="str">
        <f aca="false">IF(X148=1,SUM($X$2:X148),"")</f>
        <v/>
      </c>
    </row>
    <row r="149" customFormat="false" ht="15" hidden="false" customHeight="false" outlineLevel="0" collapsed="false">
      <c r="B149" s="0" t="n">
        <f aca="false">IF(AND(食数記録!$A149=プレビュー!$C$3,食数記録!$B149="朝",食数記録!$F149="男性入所",食数記録!$D149="欠食"),1,0)</f>
        <v>0</v>
      </c>
      <c r="C149" s="0" t="str">
        <f aca="false">IF(B149=1,SUM($B$2:B149),"")</f>
        <v/>
      </c>
      <c r="D149" s="0" t="n">
        <f aca="false">IF(AND(食数記録!$A149=プレビュー!$C$3,食数記録!$B149="昼",食数記録!$F149="男性入所",食数記録!$D149="欠食"),1,0)</f>
        <v>0</v>
      </c>
      <c r="E149" s="0" t="str">
        <f aca="false">IF(D149=1,SUM($D$2:D149),"")</f>
        <v/>
      </c>
      <c r="F149" s="0" t="n">
        <f aca="false">IF(AND(食数記録!$A149=プレビュー!$C$3,食数記録!$B149="夕",食数記録!$F149="男性入所",食数記録!$D149="欠食"),1,0)</f>
        <v>0</v>
      </c>
      <c r="G149" s="0" t="str">
        <f aca="false">IF(F149=1,SUM($F$2:F149),"")</f>
        <v/>
      </c>
      <c r="H149" s="0" t="n">
        <f aca="false">IF(AND(食数記録!$A149=プレビュー!$C$3,食数記録!$B149="朝",食数記録!$F149="女性入所",食数記録!$D149="欠食"),1,0)</f>
        <v>0</v>
      </c>
      <c r="I149" s="0" t="str">
        <f aca="false">IF(H149=1,SUM($H$2:H149),"")</f>
        <v/>
      </c>
      <c r="J149" s="0" t="n">
        <f aca="false">IF(AND(食数記録!$A149=プレビュー!$C$3,食数記録!$B149="昼",食数記録!$F149="女性入所",食数記録!$D149="欠食"),1,0)</f>
        <v>0</v>
      </c>
      <c r="K149" s="0" t="str">
        <f aca="false">IF(J149=1,SUM($J$2:J149),"")</f>
        <v/>
      </c>
      <c r="L149" s="0" t="n">
        <f aca="false">IF(AND(食数記録!$A149=プレビュー!$C$3,食数記録!$B149="夕",食数記録!$F149="女性入所",食数記録!$D149="欠食"),1,0)</f>
        <v>0</v>
      </c>
      <c r="M149" s="0" t="str">
        <f aca="false">IF(L149=1,SUM($L$2:L149),"")</f>
        <v/>
      </c>
      <c r="N149" s="0" t="n">
        <f aca="false">IF(AND(食数記録!$A149=プレビュー!$C$3,食数記録!$B149="朝",食数記録!$F149="男性GH",食数記録!$D149="臨時喫食"),1,0)</f>
        <v>0</v>
      </c>
      <c r="O149" s="0" t="str">
        <f aca="false">IF(N149=1,SUM($N$2:N149),"")</f>
        <v/>
      </c>
      <c r="P149" s="0" t="n">
        <f aca="false">IF(AND(食数記録!$A149=プレビュー!$C$3,食数記録!$B149="昼",食数記録!$F149="男性GH",食数記録!$D149="臨時喫食"),1,0)</f>
        <v>0</v>
      </c>
      <c r="Q149" s="0" t="str">
        <f aca="false">IF(P149=1,SUM($P$2:P149),"")</f>
        <v/>
      </c>
      <c r="R149" s="0" t="n">
        <f aca="false">IF(AND(食数記録!$A149=プレビュー!$C$3,食数記録!$B149="夕",食数記録!$F149="男性GH",食数記録!$D149="臨時喫食"),1,0)</f>
        <v>0</v>
      </c>
      <c r="S149" s="0" t="str">
        <f aca="false">IF(R149=1,SUM($R$2:R149),"")</f>
        <v/>
      </c>
      <c r="T149" s="0" t="n">
        <f aca="false">IF(AND(食数記録!$A149=プレビュー!$C$3,食数記録!$B149="朝",食数記録!$F149="女性GH",食数記録!$D149="臨時喫食"),1,0)</f>
        <v>0</v>
      </c>
      <c r="U149" s="0" t="str">
        <f aca="false">IF(T149=1,SUM($T$2:T149),"")</f>
        <v/>
      </c>
      <c r="V149" s="0" t="n">
        <f aca="false">IF(AND(食数記録!$A149=プレビュー!$C$3,食数記録!$B149="昼",食数記録!$F149="女性GH",食数記録!$D149="臨時喫食"),1,0)</f>
        <v>0</v>
      </c>
      <c r="W149" s="0" t="str">
        <f aca="false">IF(V149=1,SUM($V$2:V149),"")</f>
        <v/>
      </c>
      <c r="X149" s="0" t="n">
        <f aca="false">IF(AND(食数記録!$A149=プレビュー!$C$3,食数記録!$B149="夕",食数記録!$F149="女性GH",食数記録!$D149="臨時喫食"),1,0)</f>
        <v>0</v>
      </c>
      <c r="Y149" s="0" t="str">
        <f aca="false">IF(X149=1,SUM($X$2:X149),"")</f>
        <v/>
      </c>
    </row>
    <row r="150" customFormat="false" ht="15" hidden="false" customHeight="false" outlineLevel="0" collapsed="false">
      <c r="B150" s="0" t="n">
        <f aca="false">IF(AND(食数記録!$A150=プレビュー!$C$3,食数記録!$B150="朝",食数記録!$F150="男性入所",食数記録!$D150="欠食"),1,0)</f>
        <v>0</v>
      </c>
      <c r="C150" s="0" t="str">
        <f aca="false">IF(B150=1,SUM($B$2:B150),"")</f>
        <v/>
      </c>
      <c r="D150" s="0" t="n">
        <f aca="false">IF(AND(食数記録!$A150=プレビュー!$C$3,食数記録!$B150="昼",食数記録!$F150="男性入所",食数記録!$D150="欠食"),1,0)</f>
        <v>0</v>
      </c>
      <c r="E150" s="0" t="str">
        <f aca="false">IF(D150=1,SUM($D$2:D150),"")</f>
        <v/>
      </c>
      <c r="F150" s="0" t="n">
        <f aca="false">IF(AND(食数記録!$A150=プレビュー!$C$3,食数記録!$B150="夕",食数記録!$F150="男性入所",食数記録!$D150="欠食"),1,0)</f>
        <v>0</v>
      </c>
      <c r="G150" s="0" t="str">
        <f aca="false">IF(F150=1,SUM($F$2:F150),"")</f>
        <v/>
      </c>
      <c r="H150" s="0" t="n">
        <f aca="false">IF(AND(食数記録!$A150=プレビュー!$C$3,食数記録!$B150="朝",食数記録!$F150="女性入所",食数記録!$D150="欠食"),1,0)</f>
        <v>0</v>
      </c>
      <c r="I150" s="0" t="str">
        <f aca="false">IF(H150=1,SUM($H$2:H150),"")</f>
        <v/>
      </c>
      <c r="J150" s="0" t="n">
        <f aca="false">IF(AND(食数記録!$A150=プレビュー!$C$3,食数記録!$B150="昼",食数記録!$F150="女性入所",食数記録!$D150="欠食"),1,0)</f>
        <v>0</v>
      </c>
      <c r="K150" s="0" t="str">
        <f aca="false">IF(J150=1,SUM($J$2:J150),"")</f>
        <v/>
      </c>
      <c r="L150" s="0" t="n">
        <f aca="false">IF(AND(食数記録!$A150=プレビュー!$C$3,食数記録!$B150="夕",食数記録!$F150="女性入所",食数記録!$D150="欠食"),1,0)</f>
        <v>0</v>
      </c>
      <c r="M150" s="0" t="str">
        <f aca="false">IF(L150=1,SUM($L$2:L150),"")</f>
        <v/>
      </c>
      <c r="N150" s="0" t="n">
        <f aca="false">IF(AND(食数記録!$A150=プレビュー!$C$3,食数記録!$B150="朝",食数記録!$F150="男性GH",食数記録!$D150="臨時喫食"),1,0)</f>
        <v>0</v>
      </c>
      <c r="O150" s="0" t="str">
        <f aca="false">IF(N150=1,SUM($N$2:N150),"")</f>
        <v/>
      </c>
      <c r="P150" s="0" t="n">
        <f aca="false">IF(AND(食数記録!$A150=プレビュー!$C$3,食数記録!$B150="昼",食数記録!$F150="男性GH",食数記録!$D150="臨時喫食"),1,0)</f>
        <v>0</v>
      </c>
      <c r="Q150" s="0" t="str">
        <f aca="false">IF(P150=1,SUM($P$2:P150),"")</f>
        <v/>
      </c>
      <c r="R150" s="0" t="n">
        <f aca="false">IF(AND(食数記録!$A150=プレビュー!$C$3,食数記録!$B150="夕",食数記録!$F150="男性GH",食数記録!$D150="臨時喫食"),1,0)</f>
        <v>0</v>
      </c>
      <c r="S150" s="0" t="str">
        <f aca="false">IF(R150=1,SUM($R$2:R150),"")</f>
        <v/>
      </c>
      <c r="T150" s="0" t="n">
        <f aca="false">IF(AND(食数記録!$A150=プレビュー!$C$3,食数記録!$B150="朝",食数記録!$F150="女性GH",食数記録!$D150="臨時喫食"),1,0)</f>
        <v>0</v>
      </c>
      <c r="U150" s="0" t="str">
        <f aca="false">IF(T150=1,SUM($T$2:T150),"")</f>
        <v/>
      </c>
      <c r="V150" s="0" t="n">
        <f aca="false">IF(AND(食数記録!$A150=プレビュー!$C$3,食数記録!$B150="昼",食数記録!$F150="女性GH",食数記録!$D150="臨時喫食"),1,0)</f>
        <v>0</v>
      </c>
      <c r="W150" s="0" t="str">
        <f aca="false">IF(V150=1,SUM($V$2:V150),"")</f>
        <v/>
      </c>
      <c r="X150" s="0" t="n">
        <f aca="false">IF(AND(食数記録!$A150=プレビュー!$C$3,食数記録!$B150="夕",食数記録!$F150="女性GH",食数記録!$D150="臨時喫食"),1,0)</f>
        <v>0</v>
      </c>
      <c r="Y150" s="0" t="str">
        <f aca="false">IF(X150=1,SUM($X$2:X150),"")</f>
        <v/>
      </c>
    </row>
    <row r="151" customFormat="false" ht="15" hidden="false" customHeight="false" outlineLevel="0" collapsed="false">
      <c r="B151" s="0" t="n">
        <f aca="false">IF(AND(食数記録!$A151=プレビュー!$C$3,食数記録!$B151="朝",食数記録!$F151="男性入所",食数記録!$D151="欠食"),1,0)</f>
        <v>0</v>
      </c>
      <c r="C151" s="0" t="str">
        <f aca="false">IF(B151=1,SUM($B$2:B151),"")</f>
        <v/>
      </c>
      <c r="D151" s="0" t="n">
        <f aca="false">IF(AND(食数記録!$A151=プレビュー!$C$3,食数記録!$B151="昼",食数記録!$F151="男性入所",食数記録!$D151="欠食"),1,0)</f>
        <v>0</v>
      </c>
      <c r="E151" s="0" t="str">
        <f aca="false">IF(D151=1,SUM($D$2:D151),"")</f>
        <v/>
      </c>
      <c r="F151" s="0" t="n">
        <f aca="false">IF(AND(食数記録!$A151=プレビュー!$C$3,食数記録!$B151="夕",食数記録!$F151="男性入所",食数記録!$D151="欠食"),1,0)</f>
        <v>0</v>
      </c>
      <c r="G151" s="0" t="str">
        <f aca="false">IF(F151=1,SUM($F$2:F151),"")</f>
        <v/>
      </c>
      <c r="H151" s="0" t="n">
        <f aca="false">IF(AND(食数記録!$A151=プレビュー!$C$3,食数記録!$B151="朝",食数記録!$F151="女性入所",食数記録!$D151="欠食"),1,0)</f>
        <v>0</v>
      </c>
      <c r="I151" s="0" t="str">
        <f aca="false">IF(H151=1,SUM($H$2:H151),"")</f>
        <v/>
      </c>
      <c r="J151" s="0" t="n">
        <f aca="false">IF(AND(食数記録!$A151=プレビュー!$C$3,食数記録!$B151="昼",食数記録!$F151="女性入所",食数記録!$D151="欠食"),1,0)</f>
        <v>0</v>
      </c>
      <c r="K151" s="0" t="str">
        <f aca="false">IF(J151=1,SUM($J$2:J151),"")</f>
        <v/>
      </c>
      <c r="L151" s="0" t="n">
        <f aca="false">IF(AND(食数記録!$A151=プレビュー!$C$3,食数記録!$B151="夕",食数記録!$F151="女性入所",食数記録!$D151="欠食"),1,0)</f>
        <v>0</v>
      </c>
      <c r="M151" s="0" t="str">
        <f aca="false">IF(L151=1,SUM($L$2:L151),"")</f>
        <v/>
      </c>
      <c r="N151" s="0" t="n">
        <f aca="false">IF(AND(食数記録!$A151=プレビュー!$C$3,食数記録!$B151="朝",食数記録!$F151="男性GH",食数記録!$D151="臨時喫食"),1,0)</f>
        <v>0</v>
      </c>
      <c r="O151" s="0" t="str">
        <f aca="false">IF(N151=1,SUM($N$2:N151),"")</f>
        <v/>
      </c>
      <c r="P151" s="0" t="n">
        <f aca="false">IF(AND(食数記録!$A151=プレビュー!$C$3,食数記録!$B151="昼",食数記録!$F151="男性GH",食数記録!$D151="臨時喫食"),1,0)</f>
        <v>0</v>
      </c>
      <c r="Q151" s="0" t="str">
        <f aca="false">IF(P151=1,SUM($P$2:P151),"")</f>
        <v/>
      </c>
      <c r="R151" s="0" t="n">
        <f aca="false">IF(AND(食数記録!$A151=プレビュー!$C$3,食数記録!$B151="夕",食数記録!$F151="男性GH",食数記録!$D151="臨時喫食"),1,0)</f>
        <v>0</v>
      </c>
      <c r="S151" s="0" t="str">
        <f aca="false">IF(R151=1,SUM($R$2:R151),"")</f>
        <v/>
      </c>
      <c r="T151" s="0" t="n">
        <f aca="false">IF(AND(食数記録!$A151=プレビュー!$C$3,食数記録!$B151="朝",食数記録!$F151="女性GH",食数記録!$D151="臨時喫食"),1,0)</f>
        <v>0</v>
      </c>
      <c r="U151" s="0" t="str">
        <f aca="false">IF(T151=1,SUM($T$2:T151),"")</f>
        <v/>
      </c>
      <c r="V151" s="0" t="n">
        <f aca="false">IF(AND(食数記録!$A151=プレビュー!$C$3,食数記録!$B151="昼",食数記録!$F151="女性GH",食数記録!$D151="臨時喫食"),1,0)</f>
        <v>0</v>
      </c>
      <c r="W151" s="0" t="str">
        <f aca="false">IF(V151=1,SUM($V$2:V151),"")</f>
        <v/>
      </c>
      <c r="X151" s="0" t="n">
        <f aca="false">IF(AND(食数記録!$A151=プレビュー!$C$3,食数記録!$B151="夕",食数記録!$F151="女性GH",食数記録!$D151="臨時喫食"),1,0)</f>
        <v>0</v>
      </c>
      <c r="Y151" s="0" t="str">
        <f aca="false">IF(X151=1,SUM($X$2:X151),"")</f>
        <v/>
      </c>
    </row>
    <row r="152" customFormat="false" ht="15" hidden="false" customHeight="false" outlineLevel="0" collapsed="false">
      <c r="B152" s="0" t="n">
        <f aca="false">IF(AND(食数記録!$A152=プレビュー!$C$3,食数記録!$B152="朝",食数記録!$F152="男性入所",食数記録!$D152="欠食"),1,0)</f>
        <v>0</v>
      </c>
      <c r="C152" s="0" t="str">
        <f aca="false">IF(B152=1,SUM($B$2:B152),"")</f>
        <v/>
      </c>
      <c r="D152" s="0" t="n">
        <f aca="false">IF(AND(食数記録!$A152=プレビュー!$C$3,食数記録!$B152="昼",食数記録!$F152="男性入所",食数記録!$D152="欠食"),1,0)</f>
        <v>0</v>
      </c>
      <c r="E152" s="0" t="str">
        <f aca="false">IF(D152=1,SUM($D$2:D152),"")</f>
        <v/>
      </c>
      <c r="F152" s="0" t="n">
        <f aca="false">IF(AND(食数記録!$A152=プレビュー!$C$3,食数記録!$B152="夕",食数記録!$F152="男性入所",食数記録!$D152="欠食"),1,0)</f>
        <v>0</v>
      </c>
      <c r="G152" s="0" t="str">
        <f aca="false">IF(F152=1,SUM($F$2:F152),"")</f>
        <v/>
      </c>
      <c r="H152" s="0" t="n">
        <f aca="false">IF(AND(食数記録!$A152=プレビュー!$C$3,食数記録!$B152="朝",食数記録!$F152="女性入所",食数記録!$D152="欠食"),1,0)</f>
        <v>0</v>
      </c>
      <c r="I152" s="0" t="str">
        <f aca="false">IF(H152=1,SUM($H$2:H152),"")</f>
        <v/>
      </c>
      <c r="J152" s="0" t="n">
        <f aca="false">IF(AND(食数記録!$A152=プレビュー!$C$3,食数記録!$B152="昼",食数記録!$F152="女性入所",食数記録!$D152="欠食"),1,0)</f>
        <v>0</v>
      </c>
      <c r="K152" s="0" t="str">
        <f aca="false">IF(J152=1,SUM($J$2:J152),"")</f>
        <v/>
      </c>
      <c r="L152" s="0" t="n">
        <f aca="false">IF(AND(食数記録!$A152=プレビュー!$C$3,食数記録!$B152="夕",食数記録!$F152="女性入所",食数記録!$D152="欠食"),1,0)</f>
        <v>0</v>
      </c>
      <c r="M152" s="0" t="str">
        <f aca="false">IF(L152=1,SUM($L$2:L152),"")</f>
        <v/>
      </c>
      <c r="N152" s="0" t="n">
        <f aca="false">IF(AND(食数記録!$A152=プレビュー!$C$3,食数記録!$B152="朝",食数記録!$F152="男性GH",食数記録!$D152="臨時喫食"),1,0)</f>
        <v>0</v>
      </c>
      <c r="O152" s="0" t="str">
        <f aca="false">IF(N152=1,SUM($N$2:N152),"")</f>
        <v/>
      </c>
      <c r="P152" s="0" t="n">
        <f aca="false">IF(AND(食数記録!$A152=プレビュー!$C$3,食数記録!$B152="昼",食数記録!$F152="男性GH",食数記録!$D152="臨時喫食"),1,0)</f>
        <v>0</v>
      </c>
      <c r="Q152" s="0" t="str">
        <f aca="false">IF(P152=1,SUM($P$2:P152),"")</f>
        <v/>
      </c>
      <c r="R152" s="0" t="n">
        <f aca="false">IF(AND(食数記録!$A152=プレビュー!$C$3,食数記録!$B152="夕",食数記録!$F152="男性GH",食数記録!$D152="臨時喫食"),1,0)</f>
        <v>0</v>
      </c>
      <c r="S152" s="0" t="str">
        <f aca="false">IF(R152=1,SUM($R$2:R152),"")</f>
        <v/>
      </c>
      <c r="T152" s="0" t="n">
        <f aca="false">IF(AND(食数記録!$A152=プレビュー!$C$3,食数記録!$B152="朝",食数記録!$F152="女性GH",食数記録!$D152="臨時喫食"),1,0)</f>
        <v>0</v>
      </c>
      <c r="U152" s="0" t="str">
        <f aca="false">IF(T152=1,SUM($T$2:T152),"")</f>
        <v/>
      </c>
      <c r="V152" s="0" t="n">
        <f aca="false">IF(AND(食数記録!$A152=プレビュー!$C$3,食数記録!$B152="昼",食数記録!$F152="女性GH",食数記録!$D152="臨時喫食"),1,0)</f>
        <v>0</v>
      </c>
      <c r="W152" s="0" t="str">
        <f aca="false">IF(V152=1,SUM($V$2:V152),"")</f>
        <v/>
      </c>
      <c r="X152" s="0" t="n">
        <f aca="false">IF(AND(食数記録!$A152=プレビュー!$C$3,食数記録!$B152="夕",食数記録!$F152="女性GH",食数記録!$D152="臨時喫食"),1,0)</f>
        <v>0</v>
      </c>
      <c r="Y152" s="0" t="str">
        <f aca="false">IF(X152=1,SUM($X$2:X152),"")</f>
        <v/>
      </c>
    </row>
    <row r="153" customFormat="false" ht="15" hidden="false" customHeight="false" outlineLevel="0" collapsed="false">
      <c r="B153" s="0" t="n">
        <f aca="false">IF(AND(食数記録!$A153=プレビュー!$C$3,食数記録!$B153="朝",食数記録!$F153="男性入所",食数記録!$D153="欠食"),1,0)</f>
        <v>0</v>
      </c>
      <c r="C153" s="0" t="str">
        <f aca="false">IF(B153=1,SUM($B$2:B153),"")</f>
        <v/>
      </c>
      <c r="D153" s="0" t="n">
        <f aca="false">IF(AND(食数記録!$A153=プレビュー!$C$3,食数記録!$B153="昼",食数記録!$F153="男性入所",食数記録!$D153="欠食"),1,0)</f>
        <v>0</v>
      </c>
      <c r="E153" s="0" t="str">
        <f aca="false">IF(D153=1,SUM($D$2:D153),"")</f>
        <v/>
      </c>
      <c r="F153" s="0" t="n">
        <f aca="false">IF(AND(食数記録!$A153=プレビュー!$C$3,食数記録!$B153="夕",食数記録!$F153="男性入所",食数記録!$D153="欠食"),1,0)</f>
        <v>0</v>
      </c>
      <c r="G153" s="0" t="str">
        <f aca="false">IF(F153=1,SUM($F$2:F153),"")</f>
        <v/>
      </c>
      <c r="H153" s="0" t="n">
        <f aca="false">IF(AND(食数記録!$A153=プレビュー!$C$3,食数記録!$B153="朝",食数記録!$F153="女性入所",食数記録!$D153="欠食"),1,0)</f>
        <v>0</v>
      </c>
      <c r="I153" s="0" t="str">
        <f aca="false">IF(H153=1,SUM($H$2:H153),"")</f>
        <v/>
      </c>
      <c r="J153" s="0" t="n">
        <f aca="false">IF(AND(食数記録!$A153=プレビュー!$C$3,食数記録!$B153="昼",食数記録!$F153="女性入所",食数記録!$D153="欠食"),1,0)</f>
        <v>0</v>
      </c>
      <c r="K153" s="0" t="str">
        <f aca="false">IF(J153=1,SUM($J$2:J153),"")</f>
        <v/>
      </c>
      <c r="L153" s="0" t="n">
        <f aca="false">IF(AND(食数記録!$A153=プレビュー!$C$3,食数記録!$B153="夕",食数記録!$F153="女性入所",食数記録!$D153="欠食"),1,0)</f>
        <v>0</v>
      </c>
      <c r="M153" s="0" t="str">
        <f aca="false">IF(L153=1,SUM($L$2:L153),"")</f>
        <v/>
      </c>
      <c r="N153" s="0" t="n">
        <f aca="false">IF(AND(食数記録!$A153=プレビュー!$C$3,食数記録!$B153="朝",食数記録!$F153="男性GH",食数記録!$D153="臨時喫食"),1,0)</f>
        <v>0</v>
      </c>
      <c r="O153" s="0" t="str">
        <f aca="false">IF(N153=1,SUM($N$2:N153),"")</f>
        <v/>
      </c>
      <c r="P153" s="0" t="n">
        <f aca="false">IF(AND(食数記録!$A153=プレビュー!$C$3,食数記録!$B153="昼",食数記録!$F153="男性GH",食数記録!$D153="臨時喫食"),1,0)</f>
        <v>0</v>
      </c>
      <c r="Q153" s="0" t="str">
        <f aca="false">IF(P153=1,SUM($P$2:P153),"")</f>
        <v/>
      </c>
      <c r="R153" s="0" t="n">
        <f aca="false">IF(AND(食数記録!$A153=プレビュー!$C$3,食数記録!$B153="夕",食数記録!$F153="男性GH",食数記録!$D153="臨時喫食"),1,0)</f>
        <v>0</v>
      </c>
      <c r="S153" s="0" t="str">
        <f aca="false">IF(R153=1,SUM($R$2:R153),"")</f>
        <v/>
      </c>
      <c r="T153" s="0" t="n">
        <f aca="false">IF(AND(食数記録!$A153=プレビュー!$C$3,食数記録!$B153="朝",食数記録!$F153="女性GH",食数記録!$D153="臨時喫食"),1,0)</f>
        <v>0</v>
      </c>
      <c r="U153" s="0" t="str">
        <f aca="false">IF(T153=1,SUM($T$2:T153),"")</f>
        <v/>
      </c>
      <c r="V153" s="0" t="n">
        <f aca="false">IF(AND(食数記録!$A153=プレビュー!$C$3,食数記録!$B153="昼",食数記録!$F153="女性GH",食数記録!$D153="臨時喫食"),1,0)</f>
        <v>0</v>
      </c>
      <c r="W153" s="0" t="str">
        <f aca="false">IF(V153=1,SUM($V$2:V153),"")</f>
        <v/>
      </c>
      <c r="X153" s="0" t="n">
        <f aca="false">IF(AND(食数記録!$A153=プレビュー!$C$3,食数記録!$B153="夕",食数記録!$F153="女性GH",食数記録!$D153="臨時喫食"),1,0)</f>
        <v>0</v>
      </c>
      <c r="Y153" s="0" t="str">
        <f aca="false">IF(X153=1,SUM($X$2:X153),"")</f>
        <v/>
      </c>
    </row>
    <row r="154" customFormat="false" ht="15" hidden="false" customHeight="false" outlineLevel="0" collapsed="false">
      <c r="B154" s="0" t="n">
        <f aca="false">IF(AND(食数記録!$A154=プレビュー!$C$3,食数記録!$B154="朝",食数記録!$F154="男性入所",食数記録!$D154="欠食"),1,0)</f>
        <v>0</v>
      </c>
      <c r="C154" s="0" t="str">
        <f aca="false">IF(B154=1,SUM($B$2:B154),"")</f>
        <v/>
      </c>
      <c r="D154" s="0" t="n">
        <f aca="false">IF(AND(食数記録!$A154=プレビュー!$C$3,食数記録!$B154="昼",食数記録!$F154="男性入所",食数記録!$D154="欠食"),1,0)</f>
        <v>0</v>
      </c>
      <c r="E154" s="0" t="str">
        <f aca="false">IF(D154=1,SUM($D$2:D154),"")</f>
        <v/>
      </c>
      <c r="F154" s="0" t="n">
        <f aca="false">IF(AND(食数記録!$A154=プレビュー!$C$3,食数記録!$B154="夕",食数記録!$F154="男性入所",食数記録!$D154="欠食"),1,0)</f>
        <v>0</v>
      </c>
      <c r="G154" s="0" t="str">
        <f aca="false">IF(F154=1,SUM($F$2:F154),"")</f>
        <v/>
      </c>
      <c r="H154" s="0" t="n">
        <f aca="false">IF(AND(食数記録!$A154=プレビュー!$C$3,食数記録!$B154="朝",食数記録!$F154="女性入所",食数記録!$D154="欠食"),1,0)</f>
        <v>0</v>
      </c>
      <c r="I154" s="0" t="str">
        <f aca="false">IF(H154=1,SUM($H$2:H154),"")</f>
        <v/>
      </c>
      <c r="J154" s="0" t="n">
        <f aca="false">IF(AND(食数記録!$A154=プレビュー!$C$3,食数記録!$B154="昼",食数記録!$F154="女性入所",食数記録!$D154="欠食"),1,0)</f>
        <v>0</v>
      </c>
      <c r="K154" s="0" t="str">
        <f aca="false">IF(J154=1,SUM($J$2:J154),"")</f>
        <v/>
      </c>
      <c r="L154" s="0" t="n">
        <f aca="false">IF(AND(食数記録!$A154=プレビュー!$C$3,食数記録!$B154="夕",食数記録!$F154="女性入所",食数記録!$D154="欠食"),1,0)</f>
        <v>0</v>
      </c>
      <c r="M154" s="0" t="str">
        <f aca="false">IF(L154=1,SUM($L$2:L154),"")</f>
        <v/>
      </c>
      <c r="N154" s="0" t="n">
        <f aca="false">IF(AND(食数記録!$A154=プレビュー!$C$3,食数記録!$B154="朝",食数記録!$F154="男性GH",食数記録!$D154="臨時喫食"),1,0)</f>
        <v>0</v>
      </c>
      <c r="O154" s="0" t="str">
        <f aca="false">IF(N154=1,SUM($N$2:N154),"")</f>
        <v/>
      </c>
      <c r="P154" s="0" t="n">
        <f aca="false">IF(AND(食数記録!$A154=プレビュー!$C$3,食数記録!$B154="昼",食数記録!$F154="男性GH",食数記録!$D154="臨時喫食"),1,0)</f>
        <v>0</v>
      </c>
      <c r="Q154" s="0" t="str">
        <f aca="false">IF(P154=1,SUM($P$2:P154),"")</f>
        <v/>
      </c>
      <c r="R154" s="0" t="n">
        <f aca="false">IF(AND(食数記録!$A154=プレビュー!$C$3,食数記録!$B154="夕",食数記録!$F154="男性GH",食数記録!$D154="臨時喫食"),1,0)</f>
        <v>0</v>
      </c>
      <c r="S154" s="0" t="str">
        <f aca="false">IF(R154=1,SUM($R$2:R154),"")</f>
        <v/>
      </c>
      <c r="T154" s="0" t="n">
        <f aca="false">IF(AND(食数記録!$A154=プレビュー!$C$3,食数記録!$B154="朝",食数記録!$F154="女性GH",食数記録!$D154="臨時喫食"),1,0)</f>
        <v>0</v>
      </c>
      <c r="U154" s="0" t="str">
        <f aca="false">IF(T154=1,SUM($T$2:T154),"")</f>
        <v/>
      </c>
      <c r="V154" s="0" t="n">
        <f aca="false">IF(AND(食数記録!$A154=プレビュー!$C$3,食数記録!$B154="昼",食数記録!$F154="女性GH",食数記録!$D154="臨時喫食"),1,0)</f>
        <v>0</v>
      </c>
      <c r="W154" s="0" t="str">
        <f aca="false">IF(V154=1,SUM($V$2:V154),"")</f>
        <v/>
      </c>
      <c r="X154" s="0" t="n">
        <f aca="false">IF(AND(食数記録!$A154=プレビュー!$C$3,食数記録!$B154="夕",食数記録!$F154="女性GH",食数記録!$D154="臨時喫食"),1,0)</f>
        <v>0</v>
      </c>
      <c r="Y154" s="0" t="str">
        <f aca="false">IF(X154=1,SUM($X$2:X154),"")</f>
        <v/>
      </c>
    </row>
    <row r="155" customFormat="false" ht="15" hidden="false" customHeight="false" outlineLevel="0" collapsed="false">
      <c r="B155" s="0" t="n">
        <f aca="false">IF(AND(食数記録!$A155=プレビュー!$C$3,食数記録!$B155="朝",食数記録!$F155="男性入所",食数記録!$D155="欠食"),1,0)</f>
        <v>0</v>
      </c>
      <c r="C155" s="0" t="str">
        <f aca="false">IF(B155=1,SUM($B$2:B155),"")</f>
        <v/>
      </c>
      <c r="D155" s="0" t="n">
        <f aca="false">IF(AND(食数記録!$A155=プレビュー!$C$3,食数記録!$B155="昼",食数記録!$F155="男性入所",食数記録!$D155="欠食"),1,0)</f>
        <v>0</v>
      </c>
      <c r="E155" s="0" t="str">
        <f aca="false">IF(D155=1,SUM($D$2:D155),"")</f>
        <v/>
      </c>
      <c r="F155" s="0" t="n">
        <f aca="false">IF(AND(食数記録!$A155=プレビュー!$C$3,食数記録!$B155="夕",食数記録!$F155="男性入所",食数記録!$D155="欠食"),1,0)</f>
        <v>0</v>
      </c>
      <c r="G155" s="0" t="str">
        <f aca="false">IF(F155=1,SUM($F$2:F155),"")</f>
        <v/>
      </c>
      <c r="H155" s="0" t="n">
        <f aca="false">IF(AND(食数記録!$A155=プレビュー!$C$3,食数記録!$B155="朝",食数記録!$F155="女性入所",食数記録!$D155="欠食"),1,0)</f>
        <v>0</v>
      </c>
      <c r="I155" s="0" t="str">
        <f aca="false">IF(H155=1,SUM($H$2:H155),"")</f>
        <v/>
      </c>
      <c r="J155" s="0" t="n">
        <f aca="false">IF(AND(食数記録!$A155=プレビュー!$C$3,食数記録!$B155="昼",食数記録!$F155="女性入所",食数記録!$D155="欠食"),1,0)</f>
        <v>0</v>
      </c>
      <c r="K155" s="0" t="str">
        <f aca="false">IF(J155=1,SUM($J$2:J155),"")</f>
        <v/>
      </c>
      <c r="L155" s="0" t="n">
        <f aca="false">IF(AND(食数記録!$A155=プレビュー!$C$3,食数記録!$B155="夕",食数記録!$F155="女性入所",食数記録!$D155="欠食"),1,0)</f>
        <v>0</v>
      </c>
      <c r="M155" s="0" t="str">
        <f aca="false">IF(L155=1,SUM($L$2:L155),"")</f>
        <v/>
      </c>
      <c r="N155" s="0" t="n">
        <f aca="false">IF(AND(食数記録!$A155=プレビュー!$C$3,食数記録!$B155="朝",食数記録!$F155="男性GH",食数記録!$D155="臨時喫食"),1,0)</f>
        <v>0</v>
      </c>
      <c r="O155" s="0" t="str">
        <f aca="false">IF(N155=1,SUM($N$2:N155),"")</f>
        <v/>
      </c>
      <c r="P155" s="0" t="n">
        <f aca="false">IF(AND(食数記録!$A155=プレビュー!$C$3,食数記録!$B155="昼",食数記録!$F155="男性GH",食数記録!$D155="臨時喫食"),1,0)</f>
        <v>0</v>
      </c>
      <c r="Q155" s="0" t="str">
        <f aca="false">IF(P155=1,SUM($P$2:P155),"")</f>
        <v/>
      </c>
      <c r="R155" s="0" t="n">
        <f aca="false">IF(AND(食数記録!$A155=プレビュー!$C$3,食数記録!$B155="夕",食数記録!$F155="男性GH",食数記録!$D155="臨時喫食"),1,0)</f>
        <v>0</v>
      </c>
      <c r="S155" s="0" t="str">
        <f aca="false">IF(R155=1,SUM($R$2:R155),"")</f>
        <v/>
      </c>
      <c r="T155" s="0" t="n">
        <f aca="false">IF(AND(食数記録!$A155=プレビュー!$C$3,食数記録!$B155="朝",食数記録!$F155="女性GH",食数記録!$D155="臨時喫食"),1,0)</f>
        <v>0</v>
      </c>
      <c r="U155" s="0" t="str">
        <f aca="false">IF(T155=1,SUM($T$2:T155),"")</f>
        <v/>
      </c>
      <c r="V155" s="0" t="n">
        <f aca="false">IF(AND(食数記録!$A155=プレビュー!$C$3,食数記録!$B155="昼",食数記録!$F155="女性GH",食数記録!$D155="臨時喫食"),1,0)</f>
        <v>0</v>
      </c>
      <c r="W155" s="0" t="str">
        <f aca="false">IF(V155=1,SUM($V$2:V155),"")</f>
        <v/>
      </c>
      <c r="X155" s="0" t="n">
        <f aca="false">IF(AND(食数記録!$A155=プレビュー!$C$3,食数記録!$B155="夕",食数記録!$F155="女性GH",食数記録!$D155="臨時喫食"),1,0)</f>
        <v>0</v>
      </c>
      <c r="Y155" s="0" t="str">
        <f aca="false">IF(X155=1,SUM($X$2:X155),"")</f>
        <v/>
      </c>
    </row>
    <row r="156" customFormat="false" ht="15" hidden="false" customHeight="false" outlineLevel="0" collapsed="false">
      <c r="B156" s="0" t="n">
        <f aca="false">IF(AND(食数記録!$A156=プレビュー!$C$3,食数記録!$B156="朝",食数記録!$F156="男性入所",食数記録!$D156="欠食"),1,0)</f>
        <v>0</v>
      </c>
      <c r="C156" s="0" t="str">
        <f aca="false">IF(B156=1,SUM($B$2:B156),"")</f>
        <v/>
      </c>
      <c r="D156" s="0" t="n">
        <f aca="false">IF(AND(食数記録!$A156=プレビュー!$C$3,食数記録!$B156="昼",食数記録!$F156="男性入所",食数記録!$D156="欠食"),1,0)</f>
        <v>0</v>
      </c>
      <c r="E156" s="0" t="str">
        <f aca="false">IF(D156=1,SUM($D$2:D156),"")</f>
        <v/>
      </c>
      <c r="F156" s="0" t="n">
        <f aca="false">IF(AND(食数記録!$A156=プレビュー!$C$3,食数記録!$B156="夕",食数記録!$F156="男性入所",食数記録!$D156="欠食"),1,0)</f>
        <v>0</v>
      </c>
      <c r="G156" s="0" t="str">
        <f aca="false">IF(F156=1,SUM($F$2:F156),"")</f>
        <v/>
      </c>
      <c r="H156" s="0" t="n">
        <f aca="false">IF(AND(食数記録!$A156=プレビュー!$C$3,食数記録!$B156="朝",食数記録!$F156="女性入所",食数記録!$D156="欠食"),1,0)</f>
        <v>0</v>
      </c>
      <c r="I156" s="0" t="str">
        <f aca="false">IF(H156=1,SUM($H$2:H156),"")</f>
        <v/>
      </c>
      <c r="J156" s="0" t="n">
        <f aca="false">IF(AND(食数記録!$A156=プレビュー!$C$3,食数記録!$B156="昼",食数記録!$F156="女性入所",食数記録!$D156="欠食"),1,0)</f>
        <v>0</v>
      </c>
      <c r="K156" s="0" t="str">
        <f aca="false">IF(J156=1,SUM($J$2:J156),"")</f>
        <v/>
      </c>
      <c r="L156" s="0" t="n">
        <f aca="false">IF(AND(食数記録!$A156=プレビュー!$C$3,食数記録!$B156="夕",食数記録!$F156="女性入所",食数記録!$D156="欠食"),1,0)</f>
        <v>0</v>
      </c>
      <c r="M156" s="0" t="str">
        <f aca="false">IF(L156=1,SUM($L$2:L156),"")</f>
        <v/>
      </c>
      <c r="N156" s="0" t="n">
        <f aca="false">IF(AND(食数記録!$A156=プレビュー!$C$3,食数記録!$B156="朝",食数記録!$F156="男性GH",食数記録!$D156="臨時喫食"),1,0)</f>
        <v>0</v>
      </c>
      <c r="O156" s="0" t="str">
        <f aca="false">IF(N156=1,SUM($N$2:N156),"")</f>
        <v/>
      </c>
      <c r="P156" s="0" t="n">
        <f aca="false">IF(AND(食数記録!$A156=プレビュー!$C$3,食数記録!$B156="昼",食数記録!$F156="男性GH",食数記録!$D156="臨時喫食"),1,0)</f>
        <v>0</v>
      </c>
      <c r="Q156" s="0" t="str">
        <f aca="false">IF(P156=1,SUM($P$2:P156),"")</f>
        <v/>
      </c>
      <c r="R156" s="0" t="n">
        <f aca="false">IF(AND(食数記録!$A156=プレビュー!$C$3,食数記録!$B156="夕",食数記録!$F156="男性GH",食数記録!$D156="臨時喫食"),1,0)</f>
        <v>0</v>
      </c>
      <c r="S156" s="0" t="str">
        <f aca="false">IF(R156=1,SUM($R$2:R156),"")</f>
        <v/>
      </c>
      <c r="T156" s="0" t="n">
        <f aca="false">IF(AND(食数記録!$A156=プレビュー!$C$3,食数記録!$B156="朝",食数記録!$F156="女性GH",食数記録!$D156="臨時喫食"),1,0)</f>
        <v>0</v>
      </c>
      <c r="U156" s="0" t="str">
        <f aca="false">IF(T156=1,SUM($T$2:T156),"")</f>
        <v/>
      </c>
      <c r="V156" s="0" t="n">
        <f aca="false">IF(AND(食数記録!$A156=プレビュー!$C$3,食数記録!$B156="昼",食数記録!$F156="女性GH",食数記録!$D156="臨時喫食"),1,0)</f>
        <v>0</v>
      </c>
      <c r="W156" s="0" t="str">
        <f aca="false">IF(V156=1,SUM($V$2:V156),"")</f>
        <v/>
      </c>
      <c r="X156" s="0" t="n">
        <f aca="false">IF(AND(食数記録!$A156=プレビュー!$C$3,食数記録!$B156="夕",食数記録!$F156="女性GH",食数記録!$D156="臨時喫食"),1,0)</f>
        <v>0</v>
      </c>
      <c r="Y156" s="0" t="str">
        <f aca="false">IF(X156=1,SUM($X$2:X156),"")</f>
        <v/>
      </c>
    </row>
    <row r="157" customFormat="false" ht="15" hidden="false" customHeight="false" outlineLevel="0" collapsed="false">
      <c r="B157" s="0" t="n">
        <f aca="false">IF(AND(食数記録!$A157=プレビュー!$C$3,食数記録!$B157="朝",食数記録!$F157="男性入所",食数記録!$D157="欠食"),1,0)</f>
        <v>0</v>
      </c>
      <c r="C157" s="0" t="str">
        <f aca="false">IF(B157=1,SUM($B$2:B157),"")</f>
        <v/>
      </c>
      <c r="D157" s="0" t="n">
        <f aca="false">IF(AND(食数記録!$A157=プレビュー!$C$3,食数記録!$B157="昼",食数記録!$F157="男性入所",食数記録!$D157="欠食"),1,0)</f>
        <v>0</v>
      </c>
      <c r="E157" s="0" t="str">
        <f aca="false">IF(D157=1,SUM($D$2:D157),"")</f>
        <v/>
      </c>
      <c r="F157" s="0" t="n">
        <f aca="false">IF(AND(食数記録!$A157=プレビュー!$C$3,食数記録!$B157="夕",食数記録!$F157="男性入所",食数記録!$D157="欠食"),1,0)</f>
        <v>0</v>
      </c>
      <c r="G157" s="0" t="str">
        <f aca="false">IF(F157=1,SUM($F$2:F157),"")</f>
        <v/>
      </c>
      <c r="H157" s="0" t="n">
        <f aca="false">IF(AND(食数記録!$A157=プレビュー!$C$3,食数記録!$B157="朝",食数記録!$F157="女性入所",食数記録!$D157="欠食"),1,0)</f>
        <v>0</v>
      </c>
      <c r="I157" s="0" t="str">
        <f aca="false">IF(H157=1,SUM($H$2:H157),"")</f>
        <v/>
      </c>
      <c r="J157" s="0" t="n">
        <f aca="false">IF(AND(食数記録!$A157=プレビュー!$C$3,食数記録!$B157="昼",食数記録!$F157="女性入所",食数記録!$D157="欠食"),1,0)</f>
        <v>0</v>
      </c>
      <c r="K157" s="0" t="str">
        <f aca="false">IF(J157=1,SUM($J$2:J157),"")</f>
        <v/>
      </c>
      <c r="L157" s="0" t="n">
        <f aca="false">IF(AND(食数記録!$A157=プレビュー!$C$3,食数記録!$B157="夕",食数記録!$F157="女性入所",食数記録!$D157="欠食"),1,0)</f>
        <v>0</v>
      </c>
      <c r="M157" s="0" t="str">
        <f aca="false">IF(L157=1,SUM($L$2:L157),"")</f>
        <v/>
      </c>
      <c r="N157" s="0" t="n">
        <f aca="false">IF(AND(食数記録!$A157=プレビュー!$C$3,食数記録!$B157="朝",食数記録!$F157="男性GH",食数記録!$D157="臨時喫食"),1,0)</f>
        <v>0</v>
      </c>
      <c r="O157" s="0" t="str">
        <f aca="false">IF(N157=1,SUM($N$2:N157),"")</f>
        <v/>
      </c>
      <c r="P157" s="0" t="n">
        <f aca="false">IF(AND(食数記録!$A157=プレビュー!$C$3,食数記録!$B157="昼",食数記録!$F157="男性GH",食数記録!$D157="臨時喫食"),1,0)</f>
        <v>0</v>
      </c>
      <c r="Q157" s="0" t="str">
        <f aca="false">IF(P157=1,SUM($P$2:P157),"")</f>
        <v/>
      </c>
      <c r="R157" s="0" t="n">
        <f aca="false">IF(AND(食数記録!$A157=プレビュー!$C$3,食数記録!$B157="夕",食数記録!$F157="男性GH",食数記録!$D157="臨時喫食"),1,0)</f>
        <v>0</v>
      </c>
      <c r="S157" s="0" t="str">
        <f aca="false">IF(R157=1,SUM($R$2:R157),"")</f>
        <v/>
      </c>
      <c r="T157" s="0" t="n">
        <f aca="false">IF(AND(食数記録!$A157=プレビュー!$C$3,食数記録!$B157="朝",食数記録!$F157="女性GH",食数記録!$D157="臨時喫食"),1,0)</f>
        <v>0</v>
      </c>
      <c r="U157" s="0" t="str">
        <f aca="false">IF(T157=1,SUM($T$2:T157),"")</f>
        <v/>
      </c>
      <c r="V157" s="0" t="n">
        <f aca="false">IF(AND(食数記録!$A157=プレビュー!$C$3,食数記録!$B157="昼",食数記録!$F157="女性GH",食数記録!$D157="臨時喫食"),1,0)</f>
        <v>0</v>
      </c>
      <c r="W157" s="0" t="str">
        <f aca="false">IF(V157=1,SUM($V$2:V157),"")</f>
        <v/>
      </c>
      <c r="X157" s="0" t="n">
        <f aca="false">IF(AND(食数記録!$A157=プレビュー!$C$3,食数記録!$B157="夕",食数記録!$F157="女性GH",食数記録!$D157="臨時喫食"),1,0)</f>
        <v>0</v>
      </c>
      <c r="Y157" s="0" t="str">
        <f aca="false">IF(X157=1,SUM($X$2:X157),"")</f>
        <v/>
      </c>
    </row>
    <row r="158" customFormat="false" ht="15" hidden="false" customHeight="false" outlineLevel="0" collapsed="false">
      <c r="B158" s="0" t="n">
        <f aca="false">IF(AND(食数記録!$A158=プレビュー!$C$3,食数記録!$B158="朝",食数記録!$F158="男性入所",食数記録!$D158="欠食"),1,0)</f>
        <v>0</v>
      </c>
      <c r="C158" s="0" t="str">
        <f aca="false">IF(B158=1,SUM($B$2:B158),"")</f>
        <v/>
      </c>
      <c r="D158" s="0" t="n">
        <f aca="false">IF(AND(食数記録!$A158=プレビュー!$C$3,食数記録!$B158="昼",食数記録!$F158="男性入所",食数記録!$D158="欠食"),1,0)</f>
        <v>0</v>
      </c>
      <c r="E158" s="0" t="str">
        <f aca="false">IF(D158=1,SUM($D$2:D158),"")</f>
        <v/>
      </c>
      <c r="F158" s="0" t="n">
        <f aca="false">IF(AND(食数記録!$A158=プレビュー!$C$3,食数記録!$B158="夕",食数記録!$F158="男性入所",食数記録!$D158="欠食"),1,0)</f>
        <v>0</v>
      </c>
      <c r="G158" s="0" t="str">
        <f aca="false">IF(F158=1,SUM($F$2:F158),"")</f>
        <v/>
      </c>
      <c r="H158" s="0" t="n">
        <f aca="false">IF(AND(食数記録!$A158=プレビュー!$C$3,食数記録!$B158="朝",食数記録!$F158="女性入所",食数記録!$D158="欠食"),1,0)</f>
        <v>0</v>
      </c>
      <c r="I158" s="0" t="str">
        <f aca="false">IF(H158=1,SUM($H$2:H158),"")</f>
        <v/>
      </c>
      <c r="J158" s="0" t="n">
        <f aca="false">IF(AND(食数記録!$A158=プレビュー!$C$3,食数記録!$B158="昼",食数記録!$F158="女性入所",食数記録!$D158="欠食"),1,0)</f>
        <v>0</v>
      </c>
      <c r="K158" s="0" t="str">
        <f aca="false">IF(J158=1,SUM($J$2:J158),"")</f>
        <v/>
      </c>
      <c r="L158" s="0" t="n">
        <f aca="false">IF(AND(食数記録!$A158=プレビュー!$C$3,食数記録!$B158="夕",食数記録!$F158="女性入所",食数記録!$D158="欠食"),1,0)</f>
        <v>0</v>
      </c>
      <c r="M158" s="0" t="str">
        <f aca="false">IF(L158=1,SUM($L$2:L158),"")</f>
        <v/>
      </c>
      <c r="N158" s="0" t="n">
        <f aca="false">IF(AND(食数記録!$A158=プレビュー!$C$3,食数記録!$B158="朝",食数記録!$F158="男性GH",食数記録!$D158="臨時喫食"),1,0)</f>
        <v>0</v>
      </c>
      <c r="O158" s="0" t="str">
        <f aca="false">IF(N158=1,SUM($N$2:N158),"")</f>
        <v/>
      </c>
      <c r="P158" s="0" t="n">
        <f aca="false">IF(AND(食数記録!$A158=プレビュー!$C$3,食数記録!$B158="昼",食数記録!$F158="男性GH",食数記録!$D158="臨時喫食"),1,0)</f>
        <v>0</v>
      </c>
      <c r="Q158" s="0" t="str">
        <f aca="false">IF(P158=1,SUM($P$2:P158),"")</f>
        <v/>
      </c>
      <c r="R158" s="0" t="n">
        <f aca="false">IF(AND(食数記録!$A158=プレビュー!$C$3,食数記録!$B158="夕",食数記録!$F158="男性GH",食数記録!$D158="臨時喫食"),1,0)</f>
        <v>0</v>
      </c>
      <c r="S158" s="0" t="str">
        <f aca="false">IF(R158=1,SUM($R$2:R158),"")</f>
        <v/>
      </c>
      <c r="T158" s="0" t="n">
        <f aca="false">IF(AND(食数記録!$A158=プレビュー!$C$3,食数記録!$B158="朝",食数記録!$F158="女性GH",食数記録!$D158="臨時喫食"),1,0)</f>
        <v>0</v>
      </c>
      <c r="U158" s="0" t="str">
        <f aca="false">IF(T158=1,SUM($T$2:T158),"")</f>
        <v/>
      </c>
      <c r="V158" s="0" t="n">
        <f aca="false">IF(AND(食数記録!$A158=プレビュー!$C$3,食数記録!$B158="昼",食数記録!$F158="女性GH",食数記録!$D158="臨時喫食"),1,0)</f>
        <v>0</v>
      </c>
      <c r="W158" s="0" t="str">
        <f aca="false">IF(V158=1,SUM($V$2:V158),"")</f>
        <v/>
      </c>
      <c r="X158" s="0" t="n">
        <f aca="false">IF(AND(食数記録!$A158=プレビュー!$C$3,食数記録!$B158="夕",食数記録!$F158="女性GH",食数記録!$D158="臨時喫食"),1,0)</f>
        <v>0</v>
      </c>
      <c r="Y158" s="0" t="str">
        <f aca="false">IF(X158=1,SUM($X$2:X158),"")</f>
        <v/>
      </c>
    </row>
    <row r="159" customFormat="false" ht="15" hidden="false" customHeight="false" outlineLevel="0" collapsed="false">
      <c r="B159" s="0" t="n">
        <f aca="false">IF(AND(食数記録!$A159=プレビュー!$C$3,食数記録!$B159="朝",食数記録!$F159="男性入所",食数記録!$D159="欠食"),1,0)</f>
        <v>0</v>
      </c>
      <c r="C159" s="0" t="str">
        <f aca="false">IF(B159=1,SUM($B$2:B159),"")</f>
        <v/>
      </c>
      <c r="D159" s="0" t="n">
        <f aca="false">IF(AND(食数記録!$A159=プレビュー!$C$3,食数記録!$B159="昼",食数記録!$F159="男性入所",食数記録!$D159="欠食"),1,0)</f>
        <v>0</v>
      </c>
      <c r="E159" s="0" t="str">
        <f aca="false">IF(D159=1,SUM($D$2:D159),"")</f>
        <v/>
      </c>
      <c r="F159" s="0" t="n">
        <f aca="false">IF(AND(食数記録!$A159=プレビュー!$C$3,食数記録!$B159="夕",食数記録!$F159="男性入所",食数記録!$D159="欠食"),1,0)</f>
        <v>0</v>
      </c>
      <c r="G159" s="0" t="str">
        <f aca="false">IF(F159=1,SUM($F$2:F159),"")</f>
        <v/>
      </c>
      <c r="H159" s="0" t="n">
        <f aca="false">IF(AND(食数記録!$A159=プレビュー!$C$3,食数記録!$B159="朝",食数記録!$F159="女性入所",食数記録!$D159="欠食"),1,0)</f>
        <v>0</v>
      </c>
      <c r="I159" s="0" t="str">
        <f aca="false">IF(H159=1,SUM($H$2:H159),"")</f>
        <v/>
      </c>
      <c r="J159" s="0" t="n">
        <f aca="false">IF(AND(食数記録!$A159=プレビュー!$C$3,食数記録!$B159="昼",食数記録!$F159="女性入所",食数記録!$D159="欠食"),1,0)</f>
        <v>0</v>
      </c>
      <c r="K159" s="0" t="str">
        <f aca="false">IF(J159=1,SUM($J$2:J159),"")</f>
        <v/>
      </c>
      <c r="L159" s="0" t="n">
        <f aca="false">IF(AND(食数記録!$A159=プレビュー!$C$3,食数記録!$B159="夕",食数記録!$F159="女性入所",食数記録!$D159="欠食"),1,0)</f>
        <v>0</v>
      </c>
      <c r="M159" s="0" t="str">
        <f aca="false">IF(L159=1,SUM($L$2:L159),"")</f>
        <v/>
      </c>
      <c r="N159" s="0" t="n">
        <f aca="false">IF(AND(食数記録!$A159=プレビュー!$C$3,食数記録!$B159="朝",食数記録!$F159="男性GH",食数記録!$D159="臨時喫食"),1,0)</f>
        <v>0</v>
      </c>
      <c r="O159" s="0" t="str">
        <f aca="false">IF(N159=1,SUM($N$2:N159),"")</f>
        <v/>
      </c>
      <c r="P159" s="0" t="n">
        <f aca="false">IF(AND(食数記録!$A159=プレビュー!$C$3,食数記録!$B159="昼",食数記録!$F159="男性GH",食数記録!$D159="臨時喫食"),1,0)</f>
        <v>0</v>
      </c>
      <c r="Q159" s="0" t="str">
        <f aca="false">IF(P159=1,SUM($P$2:P159),"")</f>
        <v/>
      </c>
      <c r="R159" s="0" t="n">
        <f aca="false">IF(AND(食数記録!$A159=プレビュー!$C$3,食数記録!$B159="夕",食数記録!$F159="男性GH",食数記録!$D159="臨時喫食"),1,0)</f>
        <v>0</v>
      </c>
      <c r="S159" s="0" t="str">
        <f aca="false">IF(R159=1,SUM($R$2:R159),"")</f>
        <v/>
      </c>
      <c r="T159" s="0" t="n">
        <f aca="false">IF(AND(食数記録!$A159=プレビュー!$C$3,食数記録!$B159="朝",食数記録!$F159="女性GH",食数記録!$D159="臨時喫食"),1,0)</f>
        <v>0</v>
      </c>
      <c r="U159" s="0" t="str">
        <f aca="false">IF(T159=1,SUM($T$2:T159),"")</f>
        <v/>
      </c>
      <c r="V159" s="0" t="n">
        <f aca="false">IF(AND(食数記録!$A159=プレビュー!$C$3,食数記録!$B159="昼",食数記録!$F159="女性GH",食数記録!$D159="臨時喫食"),1,0)</f>
        <v>0</v>
      </c>
      <c r="W159" s="0" t="str">
        <f aca="false">IF(V159=1,SUM($V$2:V159),"")</f>
        <v/>
      </c>
      <c r="X159" s="0" t="n">
        <f aca="false">IF(AND(食数記録!$A159=プレビュー!$C$3,食数記録!$B159="夕",食数記録!$F159="女性GH",食数記録!$D159="臨時喫食"),1,0)</f>
        <v>0</v>
      </c>
      <c r="Y159" s="0" t="str">
        <f aca="false">IF(X159=1,SUM($X$2:X159),"")</f>
        <v/>
      </c>
    </row>
    <row r="160" customFormat="false" ht="15" hidden="false" customHeight="false" outlineLevel="0" collapsed="false">
      <c r="B160" s="0" t="n">
        <f aca="false">IF(AND(食数記録!$A160=プレビュー!$C$3,食数記録!$B160="朝",食数記録!$F160="男性入所",食数記録!$D160="欠食"),1,0)</f>
        <v>0</v>
      </c>
      <c r="C160" s="0" t="str">
        <f aca="false">IF(B160=1,SUM($B$2:B160),"")</f>
        <v/>
      </c>
      <c r="D160" s="0" t="n">
        <f aca="false">IF(AND(食数記録!$A160=プレビュー!$C$3,食数記録!$B160="昼",食数記録!$F160="男性入所",食数記録!$D160="欠食"),1,0)</f>
        <v>0</v>
      </c>
      <c r="E160" s="0" t="str">
        <f aca="false">IF(D160=1,SUM($D$2:D160),"")</f>
        <v/>
      </c>
      <c r="F160" s="0" t="n">
        <f aca="false">IF(AND(食数記録!$A160=プレビュー!$C$3,食数記録!$B160="夕",食数記録!$F160="男性入所",食数記録!$D160="欠食"),1,0)</f>
        <v>0</v>
      </c>
      <c r="G160" s="0" t="str">
        <f aca="false">IF(F160=1,SUM($F$2:F160),"")</f>
        <v/>
      </c>
      <c r="H160" s="0" t="n">
        <f aca="false">IF(AND(食数記録!$A160=プレビュー!$C$3,食数記録!$B160="朝",食数記録!$F160="女性入所",食数記録!$D160="欠食"),1,0)</f>
        <v>0</v>
      </c>
      <c r="I160" s="0" t="str">
        <f aca="false">IF(H160=1,SUM($H$2:H160),"")</f>
        <v/>
      </c>
      <c r="J160" s="0" t="n">
        <f aca="false">IF(AND(食数記録!$A160=プレビュー!$C$3,食数記録!$B160="昼",食数記録!$F160="女性入所",食数記録!$D160="欠食"),1,0)</f>
        <v>0</v>
      </c>
      <c r="K160" s="0" t="str">
        <f aca="false">IF(J160=1,SUM($J$2:J160),"")</f>
        <v/>
      </c>
      <c r="L160" s="0" t="n">
        <f aca="false">IF(AND(食数記録!$A160=プレビュー!$C$3,食数記録!$B160="夕",食数記録!$F160="女性入所",食数記録!$D160="欠食"),1,0)</f>
        <v>0</v>
      </c>
      <c r="M160" s="0" t="str">
        <f aca="false">IF(L160=1,SUM($L$2:L160),"")</f>
        <v/>
      </c>
      <c r="N160" s="0" t="n">
        <f aca="false">IF(AND(食数記録!$A160=プレビュー!$C$3,食数記録!$B160="朝",食数記録!$F160="男性GH",食数記録!$D160="臨時喫食"),1,0)</f>
        <v>0</v>
      </c>
      <c r="O160" s="0" t="str">
        <f aca="false">IF(N160=1,SUM($N$2:N160),"")</f>
        <v/>
      </c>
      <c r="P160" s="0" t="n">
        <f aca="false">IF(AND(食数記録!$A160=プレビュー!$C$3,食数記録!$B160="昼",食数記録!$F160="男性GH",食数記録!$D160="臨時喫食"),1,0)</f>
        <v>0</v>
      </c>
      <c r="Q160" s="0" t="str">
        <f aca="false">IF(P160=1,SUM($P$2:P160),"")</f>
        <v/>
      </c>
      <c r="R160" s="0" t="n">
        <f aca="false">IF(AND(食数記録!$A160=プレビュー!$C$3,食数記録!$B160="夕",食数記録!$F160="男性GH",食数記録!$D160="臨時喫食"),1,0)</f>
        <v>0</v>
      </c>
      <c r="S160" s="0" t="str">
        <f aca="false">IF(R160=1,SUM($R$2:R160),"")</f>
        <v/>
      </c>
      <c r="T160" s="0" t="n">
        <f aca="false">IF(AND(食数記録!$A160=プレビュー!$C$3,食数記録!$B160="朝",食数記録!$F160="女性GH",食数記録!$D160="臨時喫食"),1,0)</f>
        <v>0</v>
      </c>
      <c r="U160" s="0" t="str">
        <f aca="false">IF(T160=1,SUM($T$2:T160),"")</f>
        <v/>
      </c>
      <c r="V160" s="0" t="n">
        <f aca="false">IF(AND(食数記録!$A160=プレビュー!$C$3,食数記録!$B160="昼",食数記録!$F160="女性GH",食数記録!$D160="臨時喫食"),1,0)</f>
        <v>0</v>
      </c>
      <c r="W160" s="0" t="str">
        <f aca="false">IF(V160=1,SUM($V$2:V160),"")</f>
        <v/>
      </c>
      <c r="X160" s="0" t="n">
        <f aca="false">IF(AND(食数記録!$A160=プレビュー!$C$3,食数記録!$B160="夕",食数記録!$F160="女性GH",食数記録!$D160="臨時喫食"),1,0)</f>
        <v>0</v>
      </c>
      <c r="Y160" s="0" t="str">
        <f aca="false">IF(X160=1,SUM($X$2:X160),"")</f>
        <v/>
      </c>
    </row>
    <row r="161" customFormat="false" ht="15" hidden="false" customHeight="false" outlineLevel="0" collapsed="false">
      <c r="B161" s="0" t="n">
        <f aca="false">IF(AND(食数記録!$A161=プレビュー!$C$3,食数記録!$B161="朝",食数記録!$F161="男性入所",食数記録!$D161="欠食"),1,0)</f>
        <v>0</v>
      </c>
      <c r="C161" s="0" t="str">
        <f aca="false">IF(B161=1,SUM($B$2:B161),"")</f>
        <v/>
      </c>
      <c r="D161" s="0" t="n">
        <f aca="false">IF(AND(食数記録!$A161=プレビュー!$C$3,食数記録!$B161="昼",食数記録!$F161="男性入所",食数記録!$D161="欠食"),1,0)</f>
        <v>0</v>
      </c>
      <c r="E161" s="0" t="str">
        <f aca="false">IF(D161=1,SUM($D$2:D161),"")</f>
        <v/>
      </c>
      <c r="F161" s="0" t="n">
        <f aca="false">IF(AND(食数記録!$A161=プレビュー!$C$3,食数記録!$B161="夕",食数記録!$F161="男性入所",食数記録!$D161="欠食"),1,0)</f>
        <v>0</v>
      </c>
      <c r="G161" s="0" t="str">
        <f aca="false">IF(F161=1,SUM($F$2:F161),"")</f>
        <v/>
      </c>
      <c r="H161" s="0" t="n">
        <f aca="false">IF(AND(食数記録!$A161=プレビュー!$C$3,食数記録!$B161="朝",食数記録!$F161="女性入所",食数記録!$D161="欠食"),1,0)</f>
        <v>0</v>
      </c>
      <c r="I161" s="0" t="str">
        <f aca="false">IF(H161=1,SUM($H$2:H161),"")</f>
        <v/>
      </c>
      <c r="J161" s="0" t="n">
        <f aca="false">IF(AND(食数記録!$A161=プレビュー!$C$3,食数記録!$B161="昼",食数記録!$F161="女性入所",食数記録!$D161="欠食"),1,0)</f>
        <v>0</v>
      </c>
      <c r="K161" s="0" t="str">
        <f aca="false">IF(J161=1,SUM($J$2:J161),"")</f>
        <v/>
      </c>
      <c r="L161" s="0" t="n">
        <f aca="false">IF(AND(食数記録!$A161=プレビュー!$C$3,食数記録!$B161="夕",食数記録!$F161="女性入所",食数記録!$D161="欠食"),1,0)</f>
        <v>0</v>
      </c>
      <c r="M161" s="0" t="str">
        <f aca="false">IF(L161=1,SUM($L$2:L161),"")</f>
        <v/>
      </c>
      <c r="N161" s="0" t="n">
        <f aca="false">IF(AND(食数記録!$A161=プレビュー!$C$3,食数記録!$B161="朝",食数記録!$F161="男性GH",食数記録!$D161="臨時喫食"),1,0)</f>
        <v>0</v>
      </c>
      <c r="O161" s="0" t="str">
        <f aca="false">IF(N161=1,SUM($N$2:N161),"")</f>
        <v/>
      </c>
      <c r="P161" s="0" t="n">
        <f aca="false">IF(AND(食数記録!$A161=プレビュー!$C$3,食数記録!$B161="昼",食数記録!$F161="男性GH",食数記録!$D161="臨時喫食"),1,0)</f>
        <v>0</v>
      </c>
      <c r="Q161" s="0" t="str">
        <f aca="false">IF(P161=1,SUM($P$2:P161),"")</f>
        <v/>
      </c>
      <c r="R161" s="0" t="n">
        <f aca="false">IF(AND(食数記録!$A161=プレビュー!$C$3,食数記録!$B161="夕",食数記録!$F161="男性GH",食数記録!$D161="臨時喫食"),1,0)</f>
        <v>0</v>
      </c>
      <c r="S161" s="0" t="str">
        <f aca="false">IF(R161=1,SUM($R$2:R161),"")</f>
        <v/>
      </c>
      <c r="T161" s="0" t="n">
        <f aca="false">IF(AND(食数記録!$A161=プレビュー!$C$3,食数記録!$B161="朝",食数記録!$F161="女性GH",食数記録!$D161="臨時喫食"),1,0)</f>
        <v>0</v>
      </c>
      <c r="U161" s="0" t="str">
        <f aca="false">IF(T161=1,SUM($T$2:T161),"")</f>
        <v/>
      </c>
      <c r="V161" s="0" t="n">
        <f aca="false">IF(AND(食数記録!$A161=プレビュー!$C$3,食数記録!$B161="昼",食数記録!$F161="女性GH",食数記録!$D161="臨時喫食"),1,0)</f>
        <v>0</v>
      </c>
      <c r="W161" s="0" t="str">
        <f aca="false">IF(V161=1,SUM($V$2:V161),"")</f>
        <v/>
      </c>
      <c r="X161" s="0" t="n">
        <f aca="false">IF(AND(食数記録!$A161=プレビュー!$C$3,食数記録!$B161="夕",食数記録!$F161="女性GH",食数記録!$D161="臨時喫食"),1,0)</f>
        <v>0</v>
      </c>
      <c r="Y161" s="0" t="str">
        <f aca="false">IF(X161=1,SUM($X$2:X161),"")</f>
        <v/>
      </c>
    </row>
    <row r="162" customFormat="false" ht="15" hidden="false" customHeight="false" outlineLevel="0" collapsed="false">
      <c r="B162" s="0" t="n">
        <f aca="false">IF(AND(食数記録!$A162=プレビュー!$C$3,食数記録!$B162="朝",食数記録!$F162="男性入所",食数記録!$D162="欠食"),1,0)</f>
        <v>0</v>
      </c>
      <c r="C162" s="0" t="str">
        <f aca="false">IF(B162=1,SUM($B$2:B162),"")</f>
        <v/>
      </c>
      <c r="D162" s="0" t="n">
        <f aca="false">IF(AND(食数記録!$A162=プレビュー!$C$3,食数記録!$B162="昼",食数記録!$F162="男性入所",食数記録!$D162="欠食"),1,0)</f>
        <v>0</v>
      </c>
      <c r="E162" s="0" t="str">
        <f aca="false">IF(D162=1,SUM($D$2:D162),"")</f>
        <v/>
      </c>
      <c r="F162" s="0" t="n">
        <f aca="false">IF(AND(食数記録!$A162=プレビュー!$C$3,食数記録!$B162="夕",食数記録!$F162="男性入所",食数記録!$D162="欠食"),1,0)</f>
        <v>0</v>
      </c>
      <c r="G162" s="0" t="str">
        <f aca="false">IF(F162=1,SUM($F$2:F162),"")</f>
        <v/>
      </c>
      <c r="H162" s="0" t="n">
        <f aca="false">IF(AND(食数記録!$A162=プレビュー!$C$3,食数記録!$B162="朝",食数記録!$F162="女性入所",食数記録!$D162="欠食"),1,0)</f>
        <v>0</v>
      </c>
      <c r="I162" s="0" t="str">
        <f aca="false">IF(H162=1,SUM($H$2:H162),"")</f>
        <v/>
      </c>
      <c r="J162" s="0" t="n">
        <f aca="false">IF(AND(食数記録!$A162=プレビュー!$C$3,食数記録!$B162="昼",食数記録!$F162="女性入所",食数記録!$D162="欠食"),1,0)</f>
        <v>0</v>
      </c>
      <c r="K162" s="0" t="str">
        <f aca="false">IF(J162=1,SUM($J$2:J162),"")</f>
        <v/>
      </c>
      <c r="L162" s="0" t="n">
        <f aca="false">IF(AND(食数記録!$A162=プレビュー!$C$3,食数記録!$B162="夕",食数記録!$F162="女性入所",食数記録!$D162="欠食"),1,0)</f>
        <v>0</v>
      </c>
      <c r="M162" s="0" t="str">
        <f aca="false">IF(L162=1,SUM($L$2:L162),"")</f>
        <v/>
      </c>
      <c r="N162" s="0" t="n">
        <f aca="false">IF(AND(食数記録!$A162=プレビュー!$C$3,食数記録!$B162="朝",食数記録!$F162="男性GH",食数記録!$D162="臨時喫食"),1,0)</f>
        <v>0</v>
      </c>
      <c r="O162" s="0" t="str">
        <f aca="false">IF(N162=1,SUM($N$2:N162),"")</f>
        <v/>
      </c>
      <c r="P162" s="0" t="n">
        <f aca="false">IF(AND(食数記録!$A162=プレビュー!$C$3,食数記録!$B162="昼",食数記録!$F162="男性GH",食数記録!$D162="臨時喫食"),1,0)</f>
        <v>0</v>
      </c>
      <c r="Q162" s="0" t="str">
        <f aca="false">IF(P162=1,SUM($P$2:P162),"")</f>
        <v/>
      </c>
      <c r="R162" s="0" t="n">
        <f aca="false">IF(AND(食数記録!$A162=プレビュー!$C$3,食数記録!$B162="夕",食数記録!$F162="男性GH",食数記録!$D162="臨時喫食"),1,0)</f>
        <v>0</v>
      </c>
      <c r="S162" s="0" t="str">
        <f aca="false">IF(R162=1,SUM($R$2:R162),"")</f>
        <v/>
      </c>
      <c r="T162" s="0" t="n">
        <f aca="false">IF(AND(食数記録!$A162=プレビュー!$C$3,食数記録!$B162="朝",食数記録!$F162="女性GH",食数記録!$D162="臨時喫食"),1,0)</f>
        <v>0</v>
      </c>
      <c r="U162" s="0" t="str">
        <f aca="false">IF(T162=1,SUM($T$2:T162),"")</f>
        <v/>
      </c>
      <c r="V162" s="0" t="n">
        <f aca="false">IF(AND(食数記録!$A162=プレビュー!$C$3,食数記録!$B162="昼",食数記録!$F162="女性GH",食数記録!$D162="臨時喫食"),1,0)</f>
        <v>0</v>
      </c>
      <c r="W162" s="0" t="str">
        <f aca="false">IF(V162=1,SUM($V$2:V162),"")</f>
        <v/>
      </c>
      <c r="X162" s="0" t="n">
        <f aca="false">IF(AND(食数記録!$A162=プレビュー!$C$3,食数記録!$B162="夕",食数記録!$F162="女性GH",食数記録!$D162="臨時喫食"),1,0)</f>
        <v>0</v>
      </c>
      <c r="Y162" s="0" t="str">
        <f aca="false">IF(X162=1,SUM($X$2:X162),"")</f>
        <v/>
      </c>
    </row>
    <row r="163" customFormat="false" ht="15" hidden="false" customHeight="false" outlineLevel="0" collapsed="false">
      <c r="B163" s="0" t="n">
        <f aca="false">IF(AND(食数記録!$A163=プレビュー!$C$3,食数記録!$B163="朝",食数記録!$F163="男性入所",食数記録!$D163="欠食"),1,0)</f>
        <v>0</v>
      </c>
      <c r="C163" s="0" t="str">
        <f aca="false">IF(B163=1,SUM($B$2:B163),"")</f>
        <v/>
      </c>
      <c r="D163" s="0" t="n">
        <f aca="false">IF(AND(食数記録!$A163=プレビュー!$C$3,食数記録!$B163="昼",食数記録!$F163="男性入所",食数記録!$D163="欠食"),1,0)</f>
        <v>0</v>
      </c>
      <c r="E163" s="0" t="str">
        <f aca="false">IF(D163=1,SUM($D$2:D163),"")</f>
        <v/>
      </c>
      <c r="F163" s="0" t="n">
        <f aca="false">IF(AND(食数記録!$A163=プレビュー!$C$3,食数記録!$B163="夕",食数記録!$F163="男性入所",食数記録!$D163="欠食"),1,0)</f>
        <v>0</v>
      </c>
      <c r="G163" s="0" t="str">
        <f aca="false">IF(F163=1,SUM($F$2:F163),"")</f>
        <v/>
      </c>
      <c r="H163" s="0" t="n">
        <f aca="false">IF(AND(食数記録!$A163=プレビュー!$C$3,食数記録!$B163="朝",食数記録!$F163="女性入所",食数記録!$D163="欠食"),1,0)</f>
        <v>0</v>
      </c>
      <c r="I163" s="0" t="str">
        <f aca="false">IF(H163=1,SUM($H$2:H163),"")</f>
        <v/>
      </c>
      <c r="J163" s="0" t="n">
        <f aca="false">IF(AND(食数記録!$A163=プレビュー!$C$3,食数記録!$B163="昼",食数記録!$F163="女性入所",食数記録!$D163="欠食"),1,0)</f>
        <v>0</v>
      </c>
      <c r="K163" s="0" t="str">
        <f aca="false">IF(J163=1,SUM($J$2:J163),"")</f>
        <v/>
      </c>
      <c r="L163" s="0" t="n">
        <f aca="false">IF(AND(食数記録!$A163=プレビュー!$C$3,食数記録!$B163="夕",食数記録!$F163="女性入所",食数記録!$D163="欠食"),1,0)</f>
        <v>0</v>
      </c>
      <c r="M163" s="0" t="str">
        <f aca="false">IF(L163=1,SUM($L$2:L163),"")</f>
        <v/>
      </c>
      <c r="N163" s="0" t="n">
        <f aca="false">IF(AND(食数記録!$A163=プレビュー!$C$3,食数記録!$B163="朝",食数記録!$F163="男性GH",食数記録!$D163="臨時喫食"),1,0)</f>
        <v>0</v>
      </c>
      <c r="O163" s="0" t="str">
        <f aca="false">IF(N163=1,SUM($N$2:N163),"")</f>
        <v/>
      </c>
      <c r="P163" s="0" t="n">
        <f aca="false">IF(AND(食数記録!$A163=プレビュー!$C$3,食数記録!$B163="昼",食数記録!$F163="男性GH",食数記録!$D163="臨時喫食"),1,0)</f>
        <v>0</v>
      </c>
      <c r="Q163" s="0" t="str">
        <f aca="false">IF(P163=1,SUM($P$2:P163),"")</f>
        <v/>
      </c>
      <c r="R163" s="0" t="n">
        <f aca="false">IF(AND(食数記録!$A163=プレビュー!$C$3,食数記録!$B163="夕",食数記録!$F163="男性GH",食数記録!$D163="臨時喫食"),1,0)</f>
        <v>0</v>
      </c>
      <c r="S163" s="0" t="str">
        <f aca="false">IF(R163=1,SUM($R$2:R163),"")</f>
        <v/>
      </c>
      <c r="T163" s="0" t="n">
        <f aca="false">IF(AND(食数記録!$A163=プレビュー!$C$3,食数記録!$B163="朝",食数記録!$F163="女性GH",食数記録!$D163="臨時喫食"),1,0)</f>
        <v>0</v>
      </c>
      <c r="U163" s="0" t="str">
        <f aca="false">IF(T163=1,SUM($T$2:T163),"")</f>
        <v/>
      </c>
      <c r="V163" s="0" t="n">
        <f aca="false">IF(AND(食数記録!$A163=プレビュー!$C$3,食数記録!$B163="昼",食数記録!$F163="女性GH",食数記録!$D163="臨時喫食"),1,0)</f>
        <v>0</v>
      </c>
      <c r="W163" s="0" t="str">
        <f aca="false">IF(V163=1,SUM($V$2:V163),"")</f>
        <v/>
      </c>
      <c r="X163" s="0" t="n">
        <f aca="false">IF(AND(食数記録!$A163=プレビュー!$C$3,食数記録!$B163="夕",食数記録!$F163="女性GH",食数記録!$D163="臨時喫食"),1,0)</f>
        <v>0</v>
      </c>
      <c r="Y163" s="0" t="str">
        <f aca="false">IF(X163=1,SUM($X$2:X163),"")</f>
        <v/>
      </c>
    </row>
    <row r="164" customFormat="false" ht="15" hidden="false" customHeight="false" outlineLevel="0" collapsed="false">
      <c r="B164" s="0" t="n">
        <f aca="false">IF(AND(食数記録!$A164=プレビュー!$C$3,食数記録!$B164="朝",食数記録!$F164="男性入所",食数記録!$D164="欠食"),1,0)</f>
        <v>0</v>
      </c>
      <c r="C164" s="0" t="str">
        <f aca="false">IF(B164=1,SUM($B$2:B164),"")</f>
        <v/>
      </c>
      <c r="D164" s="0" t="n">
        <f aca="false">IF(AND(食数記録!$A164=プレビュー!$C$3,食数記録!$B164="昼",食数記録!$F164="男性入所",食数記録!$D164="欠食"),1,0)</f>
        <v>0</v>
      </c>
      <c r="E164" s="0" t="str">
        <f aca="false">IF(D164=1,SUM($D$2:D164),"")</f>
        <v/>
      </c>
      <c r="F164" s="0" t="n">
        <f aca="false">IF(AND(食数記録!$A164=プレビュー!$C$3,食数記録!$B164="夕",食数記録!$F164="男性入所",食数記録!$D164="欠食"),1,0)</f>
        <v>0</v>
      </c>
      <c r="G164" s="0" t="str">
        <f aca="false">IF(F164=1,SUM($F$2:F164),"")</f>
        <v/>
      </c>
      <c r="H164" s="0" t="n">
        <f aca="false">IF(AND(食数記録!$A164=プレビュー!$C$3,食数記録!$B164="朝",食数記録!$F164="女性入所",食数記録!$D164="欠食"),1,0)</f>
        <v>0</v>
      </c>
      <c r="I164" s="0" t="str">
        <f aca="false">IF(H164=1,SUM($H$2:H164),"")</f>
        <v/>
      </c>
      <c r="J164" s="0" t="n">
        <f aca="false">IF(AND(食数記録!$A164=プレビュー!$C$3,食数記録!$B164="昼",食数記録!$F164="女性入所",食数記録!$D164="欠食"),1,0)</f>
        <v>0</v>
      </c>
      <c r="K164" s="0" t="str">
        <f aca="false">IF(J164=1,SUM($J$2:J164),"")</f>
        <v/>
      </c>
      <c r="L164" s="0" t="n">
        <f aca="false">IF(AND(食数記録!$A164=プレビュー!$C$3,食数記録!$B164="夕",食数記録!$F164="女性入所",食数記録!$D164="欠食"),1,0)</f>
        <v>0</v>
      </c>
      <c r="M164" s="0" t="str">
        <f aca="false">IF(L164=1,SUM($L$2:L164),"")</f>
        <v/>
      </c>
      <c r="N164" s="0" t="n">
        <f aca="false">IF(AND(食数記録!$A164=プレビュー!$C$3,食数記録!$B164="朝",食数記録!$F164="男性GH",食数記録!$D164="臨時喫食"),1,0)</f>
        <v>0</v>
      </c>
      <c r="O164" s="0" t="str">
        <f aca="false">IF(N164=1,SUM($N$2:N164),"")</f>
        <v/>
      </c>
      <c r="P164" s="0" t="n">
        <f aca="false">IF(AND(食数記録!$A164=プレビュー!$C$3,食数記録!$B164="昼",食数記録!$F164="男性GH",食数記録!$D164="臨時喫食"),1,0)</f>
        <v>0</v>
      </c>
      <c r="Q164" s="0" t="str">
        <f aca="false">IF(P164=1,SUM($P$2:P164),"")</f>
        <v/>
      </c>
      <c r="R164" s="0" t="n">
        <f aca="false">IF(AND(食数記録!$A164=プレビュー!$C$3,食数記録!$B164="夕",食数記録!$F164="男性GH",食数記録!$D164="臨時喫食"),1,0)</f>
        <v>0</v>
      </c>
      <c r="S164" s="0" t="str">
        <f aca="false">IF(R164=1,SUM($R$2:R164),"")</f>
        <v/>
      </c>
      <c r="T164" s="0" t="n">
        <f aca="false">IF(AND(食数記録!$A164=プレビュー!$C$3,食数記録!$B164="朝",食数記録!$F164="女性GH",食数記録!$D164="臨時喫食"),1,0)</f>
        <v>0</v>
      </c>
      <c r="U164" s="0" t="str">
        <f aca="false">IF(T164=1,SUM($T$2:T164),"")</f>
        <v/>
      </c>
      <c r="V164" s="0" t="n">
        <f aca="false">IF(AND(食数記録!$A164=プレビュー!$C$3,食数記録!$B164="昼",食数記録!$F164="女性GH",食数記録!$D164="臨時喫食"),1,0)</f>
        <v>0</v>
      </c>
      <c r="W164" s="0" t="str">
        <f aca="false">IF(V164=1,SUM($V$2:V164),"")</f>
        <v/>
      </c>
      <c r="X164" s="0" t="n">
        <f aca="false">IF(AND(食数記録!$A164=プレビュー!$C$3,食数記録!$B164="夕",食数記録!$F164="女性GH",食数記録!$D164="臨時喫食"),1,0)</f>
        <v>0</v>
      </c>
      <c r="Y164" s="0" t="str">
        <f aca="false">IF(X164=1,SUM($X$2:X164),"")</f>
        <v/>
      </c>
    </row>
    <row r="165" customFormat="false" ht="15" hidden="false" customHeight="false" outlineLevel="0" collapsed="false">
      <c r="B165" s="0" t="n">
        <f aca="false">IF(AND(食数記録!$A165=プレビュー!$C$3,食数記録!$B165="朝",食数記録!$F165="男性入所",食数記録!$D165="欠食"),1,0)</f>
        <v>0</v>
      </c>
      <c r="C165" s="0" t="str">
        <f aca="false">IF(B165=1,SUM($B$2:B165),"")</f>
        <v/>
      </c>
      <c r="D165" s="0" t="n">
        <f aca="false">IF(AND(食数記録!$A165=プレビュー!$C$3,食数記録!$B165="昼",食数記録!$F165="男性入所",食数記録!$D165="欠食"),1,0)</f>
        <v>0</v>
      </c>
      <c r="E165" s="0" t="str">
        <f aca="false">IF(D165=1,SUM($D$2:D165),"")</f>
        <v/>
      </c>
      <c r="F165" s="0" t="n">
        <f aca="false">IF(AND(食数記録!$A165=プレビュー!$C$3,食数記録!$B165="夕",食数記録!$F165="男性入所",食数記録!$D165="欠食"),1,0)</f>
        <v>0</v>
      </c>
      <c r="G165" s="0" t="str">
        <f aca="false">IF(F165=1,SUM($F$2:F165),"")</f>
        <v/>
      </c>
      <c r="H165" s="0" t="n">
        <f aca="false">IF(AND(食数記録!$A165=プレビュー!$C$3,食数記録!$B165="朝",食数記録!$F165="女性入所",食数記録!$D165="欠食"),1,0)</f>
        <v>0</v>
      </c>
      <c r="I165" s="0" t="str">
        <f aca="false">IF(H165=1,SUM($H$2:H165),"")</f>
        <v/>
      </c>
      <c r="J165" s="0" t="n">
        <f aca="false">IF(AND(食数記録!$A165=プレビュー!$C$3,食数記録!$B165="昼",食数記録!$F165="女性入所",食数記録!$D165="欠食"),1,0)</f>
        <v>0</v>
      </c>
      <c r="K165" s="0" t="str">
        <f aca="false">IF(J165=1,SUM($J$2:J165),"")</f>
        <v/>
      </c>
      <c r="L165" s="0" t="n">
        <f aca="false">IF(AND(食数記録!$A165=プレビュー!$C$3,食数記録!$B165="夕",食数記録!$F165="女性入所",食数記録!$D165="欠食"),1,0)</f>
        <v>0</v>
      </c>
      <c r="M165" s="0" t="str">
        <f aca="false">IF(L165=1,SUM($L$2:L165),"")</f>
        <v/>
      </c>
      <c r="N165" s="0" t="n">
        <f aca="false">IF(AND(食数記録!$A165=プレビュー!$C$3,食数記録!$B165="朝",食数記録!$F165="男性GH",食数記録!$D165="臨時喫食"),1,0)</f>
        <v>0</v>
      </c>
      <c r="O165" s="0" t="str">
        <f aca="false">IF(N165=1,SUM($N$2:N165),"")</f>
        <v/>
      </c>
      <c r="P165" s="0" t="n">
        <f aca="false">IF(AND(食数記録!$A165=プレビュー!$C$3,食数記録!$B165="昼",食数記録!$F165="男性GH",食数記録!$D165="臨時喫食"),1,0)</f>
        <v>0</v>
      </c>
      <c r="Q165" s="0" t="str">
        <f aca="false">IF(P165=1,SUM($P$2:P165),"")</f>
        <v/>
      </c>
      <c r="R165" s="0" t="n">
        <f aca="false">IF(AND(食数記録!$A165=プレビュー!$C$3,食数記録!$B165="夕",食数記録!$F165="男性GH",食数記録!$D165="臨時喫食"),1,0)</f>
        <v>0</v>
      </c>
      <c r="S165" s="0" t="str">
        <f aca="false">IF(R165=1,SUM($R$2:R165),"")</f>
        <v/>
      </c>
      <c r="T165" s="0" t="n">
        <f aca="false">IF(AND(食数記録!$A165=プレビュー!$C$3,食数記録!$B165="朝",食数記録!$F165="女性GH",食数記録!$D165="臨時喫食"),1,0)</f>
        <v>0</v>
      </c>
      <c r="U165" s="0" t="str">
        <f aca="false">IF(T165=1,SUM($T$2:T165),"")</f>
        <v/>
      </c>
      <c r="V165" s="0" t="n">
        <f aca="false">IF(AND(食数記録!$A165=プレビュー!$C$3,食数記録!$B165="昼",食数記録!$F165="女性GH",食数記録!$D165="臨時喫食"),1,0)</f>
        <v>0</v>
      </c>
      <c r="W165" s="0" t="str">
        <f aca="false">IF(V165=1,SUM($V$2:V165),"")</f>
        <v/>
      </c>
      <c r="X165" s="0" t="n">
        <f aca="false">IF(AND(食数記録!$A165=プレビュー!$C$3,食数記録!$B165="夕",食数記録!$F165="女性GH",食数記録!$D165="臨時喫食"),1,0)</f>
        <v>0</v>
      </c>
      <c r="Y165" s="0" t="str">
        <f aca="false">IF(X165=1,SUM($X$2:X165),"")</f>
        <v/>
      </c>
    </row>
    <row r="166" customFormat="false" ht="15" hidden="false" customHeight="false" outlineLevel="0" collapsed="false">
      <c r="B166" s="0" t="n">
        <f aca="false">IF(AND(食数記録!$A166=プレビュー!$C$3,食数記録!$B166="朝",食数記録!$F166="男性入所",食数記録!$D166="欠食"),1,0)</f>
        <v>0</v>
      </c>
      <c r="C166" s="0" t="str">
        <f aca="false">IF(B166=1,SUM($B$2:B166),"")</f>
        <v/>
      </c>
      <c r="D166" s="0" t="n">
        <f aca="false">IF(AND(食数記録!$A166=プレビュー!$C$3,食数記録!$B166="昼",食数記録!$F166="男性入所",食数記録!$D166="欠食"),1,0)</f>
        <v>0</v>
      </c>
      <c r="E166" s="0" t="str">
        <f aca="false">IF(D166=1,SUM($D$2:D166),"")</f>
        <v/>
      </c>
      <c r="F166" s="0" t="n">
        <f aca="false">IF(AND(食数記録!$A166=プレビュー!$C$3,食数記録!$B166="夕",食数記録!$F166="男性入所",食数記録!$D166="欠食"),1,0)</f>
        <v>0</v>
      </c>
      <c r="G166" s="0" t="str">
        <f aca="false">IF(F166=1,SUM($F$2:F166),"")</f>
        <v/>
      </c>
      <c r="H166" s="0" t="n">
        <f aca="false">IF(AND(食数記録!$A166=プレビュー!$C$3,食数記録!$B166="朝",食数記録!$F166="女性入所",食数記録!$D166="欠食"),1,0)</f>
        <v>0</v>
      </c>
      <c r="I166" s="0" t="str">
        <f aca="false">IF(H166=1,SUM($H$2:H166),"")</f>
        <v/>
      </c>
      <c r="J166" s="0" t="n">
        <f aca="false">IF(AND(食数記録!$A166=プレビュー!$C$3,食数記録!$B166="昼",食数記録!$F166="女性入所",食数記録!$D166="欠食"),1,0)</f>
        <v>0</v>
      </c>
      <c r="K166" s="0" t="str">
        <f aca="false">IF(J166=1,SUM($J$2:J166),"")</f>
        <v/>
      </c>
      <c r="L166" s="0" t="n">
        <f aca="false">IF(AND(食数記録!$A166=プレビュー!$C$3,食数記録!$B166="夕",食数記録!$F166="女性入所",食数記録!$D166="欠食"),1,0)</f>
        <v>0</v>
      </c>
      <c r="M166" s="0" t="str">
        <f aca="false">IF(L166=1,SUM($L$2:L166),"")</f>
        <v/>
      </c>
      <c r="N166" s="0" t="n">
        <f aca="false">IF(AND(食数記録!$A166=プレビュー!$C$3,食数記録!$B166="朝",食数記録!$F166="男性GH",食数記録!$D166="臨時喫食"),1,0)</f>
        <v>0</v>
      </c>
      <c r="O166" s="0" t="str">
        <f aca="false">IF(N166=1,SUM($N$2:N166),"")</f>
        <v/>
      </c>
      <c r="P166" s="0" t="n">
        <f aca="false">IF(AND(食数記録!$A166=プレビュー!$C$3,食数記録!$B166="昼",食数記録!$F166="男性GH",食数記録!$D166="臨時喫食"),1,0)</f>
        <v>0</v>
      </c>
      <c r="Q166" s="0" t="str">
        <f aca="false">IF(P166=1,SUM($P$2:P166),"")</f>
        <v/>
      </c>
      <c r="R166" s="0" t="n">
        <f aca="false">IF(AND(食数記録!$A166=プレビュー!$C$3,食数記録!$B166="夕",食数記録!$F166="男性GH",食数記録!$D166="臨時喫食"),1,0)</f>
        <v>0</v>
      </c>
      <c r="S166" s="0" t="str">
        <f aca="false">IF(R166=1,SUM($R$2:R166),"")</f>
        <v/>
      </c>
      <c r="T166" s="0" t="n">
        <f aca="false">IF(AND(食数記録!$A166=プレビュー!$C$3,食数記録!$B166="朝",食数記録!$F166="女性GH",食数記録!$D166="臨時喫食"),1,0)</f>
        <v>0</v>
      </c>
      <c r="U166" s="0" t="str">
        <f aca="false">IF(T166=1,SUM($T$2:T166),"")</f>
        <v/>
      </c>
      <c r="V166" s="0" t="n">
        <f aca="false">IF(AND(食数記録!$A166=プレビュー!$C$3,食数記録!$B166="昼",食数記録!$F166="女性GH",食数記録!$D166="臨時喫食"),1,0)</f>
        <v>0</v>
      </c>
      <c r="W166" s="0" t="str">
        <f aca="false">IF(V166=1,SUM($V$2:V166),"")</f>
        <v/>
      </c>
      <c r="X166" s="0" t="n">
        <f aca="false">IF(AND(食数記録!$A166=プレビュー!$C$3,食数記録!$B166="夕",食数記録!$F166="女性GH",食数記録!$D166="臨時喫食"),1,0)</f>
        <v>0</v>
      </c>
      <c r="Y166" s="0" t="str">
        <f aca="false">IF(X166=1,SUM($X$2:X166),"")</f>
        <v/>
      </c>
    </row>
    <row r="167" customFormat="false" ht="15" hidden="false" customHeight="false" outlineLevel="0" collapsed="false">
      <c r="B167" s="0" t="n">
        <f aca="false">IF(AND(食数記録!$A167=プレビュー!$C$3,食数記録!$B167="朝",食数記録!$F167="男性入所",食数記録!$D167="欠食"),1,0)</f>
        <v>0</v>
      </c>
      <c r="C167" s="0" t="str">
        <f aca="false">IF(B167=1,SUM($B$2:B167),"")</f>
        <v/>
      </c>
      <c r="D167" s="0" t="n">
        <f aca="false">IF(AND(食数記録!$A167=プレビュー!$C$3,食数記録!$B167="昼",食数記録!$F167="男性入所",食数記録!$D167="欠食"),1,0)</f>
        <v>0</v>
      </c>
      <c r="E167" s="0" t="str">
        <f aca="false">IF(D167=1,SUM($D$2:D167),"")</f>
        <v/>
      </c>
      <c r="F167" s="0" t="n">
        <f aca="false">IF(AND(食数記録!$A167=プレビュー!$C$3,食数記録!$B167="夕",食数記録!$F167="男性入所",食数記録!$D167="欠食"),1,0)</f>
        <v>0</v>
      </c>
      <c r="G167" s="0" t="str">
        <f aca="false">IF(F167=1,SUM($F$2:F167),"")</f>
        <v/>
      </c>
      <c r="H167" s="0" t="n">
        <f aca="false">IF(AND(食数記録!$A167=プレビュー!$C$3,食数記録!$B167="朝",食数記録!$F167="女性入所",食数記録!$D167="欠食"),1,0)</f>
        <v>0</v>
      </c>
      <c r="I167" s="0" t="str">
        <f aca="false">IF(H167=1,SUM($H$2:H167),"")</f>
        <v/>
      </c>
      <c r="J167" s="0" t="n">
        <f aca="false">IF(AND(食数記録!$A167=プレビュー!$C$3,食数記録!$B167="昼",食数記録!$F167="女性入所",食数記録!$D167="欠食"),1,0)</f>
        <v>0</v>
      </c>
      <c r="K167" s="0" t="str">
        <f aca="false">IF(J167=1,SUM($J$2:J167),"")</f>
        <v/>
      </c>
      <c r="L167" s="0" t="n">
        <f aca="false">IF(AND(食数記録!$A167=プレビュー!$C$3,食数記録!$B167="夕",食数記録!$F167="女性入所",食数記録!$D167="欠食"),1,0)</f>
        <v>0</v>
      </c>
      <c r="M167" s="0" t="str">
        <f aca="false">IF(L167=1,SUM($L$2:L167),"")</f>
        <v/>
      </c>
      <c r="N167" s="0" t="n">
        <f aca="false">IF(AND(食数記録!$A167=プレビュー!$C$3,食数記録!$B167="朝",食数記録!$F167="男性GH",食数記録!$D167="臨時喫食"),1,0)</f>
        <v>0</v>
      </c>
      <c r="O167" s="0" t="str">
        <f aca="false">IF(N167=1,SUM($N$2:N167),"")</f>
        <v/>
      </c>
      <c r="P167" s="0" t="n">
        <f aca="false">IF(AND(食数記録!$A167=プレビュー!$C$3,食数記録!$B167="昼",食数記録!$F167="男性GH",食数記録!$D167="臨時喫食"),1,0)</f>
        <v>0</v>
      </c>
      <c r="Q167" s="0" t="str">
        <f aca="false">IF(P167=1,SUM($P$2:P167),"")</f>
        <v/>
      </c>
      <c r="R167" s="0" t="n">
        <f aca="false">IF(AND(食数記録!$A167=プレビュー!$C$3,食数記録!$B167="夕",食数記録!$F167="男性GH",食数記録!$D167="臨時喫食"),1,0)</f>
        <v>0</v>
      </c>
      <c r="S167" s="0" t="str">
        <f aca="false">IF(R167=1,SUM($R$2:R167),"")</f>
        <v/>
      </c>
      <c r="T167" s="0" t="n">
        <f aca="false">IF(AND(食数記録!$A167=プレビュー!$C$3,食数記録!$B167="朝",食数記録!$F167="女性GH",食数記録!$D167="臨時喫食"),1,0)</f>
        <v>0</v>
      </c>
      <c r="U167" s="0" t="str">
        <f aca="false">IF(T167=1,SUM($T$2:T167),"")</f>
        <v/>
      </c>
      <c r="V167" s="0" t="n">
        <f aca="false">IF(AND(食数記録!$A167=プレビュー!$C$3,食数記録!$B167="昼",食数記録!$F167="女性GH",食数記録!$D167="臨時喫食"),1,0)</f>
        <v>0</v>
      </c>
      <c r="W167" s="0" t="str">
        <f aca="false">IF(V167=1,SUM($V$2:V167),"")</f>
        <v/>
      </c>
      <c r="X167" s="0" t="n">
        <f aca="false">IF(AND(食数記録!$A167=プレビュー!$C$3,食数記録!$B167="夕",食数記録!$F167="女性GH",食数記録!$D167="臨時喫食"),1,0)</f>
        <v>0</v>
      </c>
      <c r="Y167" s="0" t="str">
        <f aca="false">IF(X167=1,SUM($X$2:X167),"")</f>
        <v/>
      </c>
    </row>
    <row r="168" customFormat="false" ht="15" hidden="false" customHeight="false" outlineLevel="0" collapsed="false">
      <c r="B168" s="0" t="n">
        <f aca="false">IF(AND(食数記録!$A168=プレビュー!$C$3,食数記録!$B168="朝",食数記録!$F168="男性入所",食数記録!$D168="欠食"),1,0)</f>
        <v>0</v>
      </c>
      <c r="C168" s="0" t="str">
        <f aca="false">IF(B168=1,SUM($B$2:B168),"")</f>
        <v/>
      </c>
      <c r="D168" s="0" t="n">
        <f aca="false">IF(AND(食数記録!$A168=プレビュー!$C$3,食数記録!$B168="昼",食数記録!$F168="男性入所",食数記録!$D168="欠食"),1,0)</f>
        <v>0</v>
      </c>
      <c r="E168" s="0" t="str">
        <f aca="false">IF(D168=1,SUM($D$2:D168),"")</f>
        <v/>
      </c>
      <c r="F168" s="0" t="n">
        <f aca="false">IF(AND(食数記録!$A168=プレビュー!$C$3,食数記録!$B168="夕",食数記録!$F168="男性入所",食数記録!$D168="欠食"),1,0)</f>
        <v>0</v>
      </c>
      <c r="G168" s="0" t="str">
        <f aca="false">IF(F168=1,SUM($F$2:F168),"")</f>
        <v/>
      </c>
      <c r="H168" s="0" t="n">
        <f aca="false">IF(AND(食数記録!$A168=プレビュー!$C$3,食数記録!$B168="朝",食数記録!$F168="女性入所",食数記録!$D168="欠食"),1,0)</f>
        <v>0</v>
      </c>
      <c r="I168" s="0" t="str">
        <f aca="false">IF(H168=1,SUM($H$2:H168),"")</f>
        <v/>
      </c>
      <c r="J168" s="0" t="n">
        <f aca="false">IF(AND(食数記録!$A168=プレビュー!$C$3,食数記録!$B168="昼",食数記録!$F168="女性入所",食数記録!$D168="欠食"),1,0)</f>
        <v>0</v>
      </c>
      <c r="K168" s="0" t="str">
        <f aca="false">IF(J168=1,SUM($J$2:J168),"")</f>
        <v/>
      </c>
      <c r="L168" s="0" t="n">
        <f aca="false">IF(AND(食数記録!$A168=プレビュー!$C$3,食数記録!$B168="夕",食数記録!$F168="女性入所",食数記録!$D168="欠食"),1,0)</f>
        <v>0</v>
      </c>
      <c r="M168" s="0" t="str">
        <f aca="false">IF(L168=1,SUM($L$2:L168),"")</f>
        <v/>
      </c>
      <c r="N168" s="0" t="n">
        <f aca="false">IF(AND(食数記録!$A168=プレビュー!$C$3,食数記録!$B168="朝",食数記録!$F168="男性GH",食数記録!$D168="臨時喫食"),1,0)</f>
        <v>0</v>
      </c>
      <c r="O168" s="0" t="str">
        <f aca="false">IF(N168=1,SUM($N$2:N168),"")</f>
        <v/>
      </c>
      <c r="P168" s="0" t="n">
        <f aca="false">IF(AND(食数記録!$A168=プレビュー!$C$3,食数記録!$B168="昼",食数記録!$F168="男性GH",食数記録!$D168="臨時喫食"),1,0)</f>
        <v>0</v>
      </c>
      <c r="Q168" s="0" t="str">
        <f aca="false">IF(P168=1,SUM($P$2:P168),"")</f>
        <v/>
      </c>
      <c r="R168" s="0" t="n">
        <f aca="false">IF(AND(食数記録!$A168=プレビュー!$C$3,食数記録!$B168="夕",食数記録!$F168="男性GH",食数記録!$D168="臨時喫食"),1,0)</f>
        <v>0</v>
      </c>
      <c r="S168" s="0" t="str">
        <f aca="false">IF(R168=1,SUM($R$2:R168),"")</f>
        <v/>
      </c>
      <c r="T168" s="0" t="n">
        <f aca="false">IF(AND(食数記録!$A168=プレビュー!$C$3,食数記録!$B168="朝",食数記録!$F168="女性GH",食数記録!$D168="臨時喫食"),1,0)</f>
        <v>0</v>
      </c>
      <c r="U168" s="0" t="str">
        <f aca="false">IF(T168=1,SUM($T$2:T168),"")</f>
        <v/>
      </c>
      <c r="V168" s="0" t="n">
        <f aca="false">IF(AND(食数記録!$A168=プレビュー!$C$3,食数記録!$B168="昼",食数記録!$F168="女性GH",食数記録!$D168="臨時喫食"),1,0)</f>
        <v>0</v>
      </c>
      <c r="W168" s="0" t="str">
        <f aca="false">IF(V168=1,SUM($V$2:V168),"")</f>
        <v/>
      </c>
      <c r="X168" s="0" t="n">
        <f aca="false">IF(AND(食数記録!$A168=プレビュー!$C$3,食数記録!$B168="夕",食数記録!$F168="女性GH",食数記録!$D168="臨時喫食"),1,0)</f>
        <v>0</v>
      </c>
      <c r="Y168" s="0" t="str">
        <f aca="false">IF(X168=1,SUM($X$2:X168),"")</f>
        <v/>
      </c>
    </row>
    <row r="169" customFormat="false" ht="15" hidden="false" customHeight="false" outlineLevel="0" collapsed="false">
      <c r="B169" s="0" t="n">
        <f aca="false">IF(AND(食数記録!$A169=プレビュー!$C$3,食数記録!$B169="朝",食数記録!$F169="男性入所",食数記録!$D169="欠食"),1,0)</f>
        <v>0</v>
      </c>
      <c r="C169" s="0" t="str">
        <f aca="false">IF(B169=1,SUM($B$2:B169),"")</f>
        <v/>
      </c>
      <c r="D169" s="0" t="n">
        <f aca="false">IF(AND(食数記録!$A169=プレビュー!$C$3,食数記録!$B169="昼",食数記録!$F169="男性入所",食数記録!$D169="欠食"),1,0)</f>
        <v>0</v>
      </c>
      <c r="E169" s="0" t="str">
        <f aca="false">IF(D169=1,SUM($D$2:D169),"")</f>
        <v/>
      </c>
      <c r="F169" s="0" t="n">
        <f aca="false">IF(AND(食数記録!$A169=プレビュー!$C$3,食数記録!$B169="夕",食数記録!$F169="男性入所",食数記録!$D169="欠食"),1,0)</f>
        <v>0</v>
      </c>
      <c r="G169" s="0" t="str">
        <f aca="false">IF(F169=1,SUM($F$2:F169),"")</f>
        <v/>
      </c>
      <c r="H169" s="0" t="n">
        <f aca="false">IF(AND(食数記録!$A169=プレビュー!$C$3,食数記録!$B169="朝",食数記録!$F169="女性入所",食数記録!$D169="欠食"),1,0)</f>
        <v>0</v>
      </c>
      <c r="I169" s="0" t="str">
        <f aca="false">IF(H169=1,SUM($H$2:H169),"")</f>
        <v/>
      </c>
      <c r="J169" s="0" t="n">
        <f aca="false">IF(AND(食数記録!$A169=プレビュー!$C$3,食数記録!$B169="昼",食数記録!$F169="女性入所",食数記録!$D169="欠食"),1,0)</f>
        <v>0</v>
      </c>
      <c r="K169" s="0" t="str">
        <f aca="false">IF(J169=1,SUM($J$2:J169),"")</f>
        <v/>
      </c>
      <c r="L169" s="0" t="n">
        <f aca="false">IF(AND(食数記録!$A169=プレビュー!$C$3,食数記録!$B169="夕",食数記録!$F169="女性入所",食数記録!$D169="欠食"),1,0)</f>
        <v>0</v>
      </c>
      <c r="M169" s="0" t="str">
        <f aca="false">IF(L169=1,SUM($L$2:L169),"")</f>
        <v/>
      </c>
      <c r="N169" s="0" t="n">
        <f aca="false">IF(AND(食数記録!$A169=プレビュー!$C$3,食数記録!$B169="朝",食数記録!$F169="男性GH",食数記録!$D169="臨時喫食"),1,0)</f>
        <v>0</v>
      </c>
      <c r="O169" s="0" t="str">
        <f aca="false">IF(N169=1,SUM($N$2:N169),"")</f>
        <v/>
      </c>
      <c r="P169" s="0" t="n">
        <f aca="false">IF(AND(食数記録!$A169=プレビュー!$C$3,食数記録!$B169="昼",食数記録!$F169="男性GH",食数記録!$D169="臨時喫食"),1,0)</f>
        <v>0</v>
      </c>
      <c r="Q169" s="0" t="str">
        <f aca="false">IF(P169=1,SUM($P$2:P169),"")</f>
        <v/>
      </c>
      <c r="R169" s="0" t="n">
        <f aca="false">IF(AND(食数記録!$A169=プレビュー!$C$3,食数記録!$B169="夕",食数記録!$F169="男性GH",食数記録!$D169="臨時喫食"),1,0)</f>
        <v>0</v>
      </c>
      <c r="S169" s="0" t="str">
        <f aca="false">IF(R169=1,SUM($R$2:R169),"")</f>
        <v/>
      </c>
      <c r="T169" s="0" t="n">
        <f aca="false">IF(AND(食数記録!$A169=プレビュー!$C$3,食数記録!$B169="朝",食数記録!$F169="女性GH",食数記録!$D169="臨時喫食"),1,0)</f>
        <v>0</v>
      </c>
      <c r="U169" s="0" t="str">
        <f aca="false">IF(T169=1,SUM($T$2:T169),"")</f>
        <v/>
      </c>
      <c r="V169" s="0" t="n">
        <f aca="false">IF(AND(食数記録!$A169=プレビュー!$C$3,食数記録!$B169="昼",食数記録!$F169="女性GH",食数記録!$D169="臨時喫食"),1,0)</f>
        <v>0</v>
      </c>
      <c r="W169" s="0" t="str">
        <f aca="false">IF(V169=1,SUM($V$2:V169),"")</f>
        <v/>
      </c>
      <c r="X169" s="0" t="n">
        <f aca="false">IF(AND(食数記録!$A169=プレビュー!$C$3,食数記録!$B169="夕",食数記録!$F169="女性GH",食数記録!$D169="臨時喫食"),1,0)</f>
        <v>0</v>
      </c>
      <c r="Y169" s="0" t="str">
        <f aca="false">IF(X169=1,SUM($X$2:X169),"")</f>
        <v/>
      </c>
    </row>
    <row r="170" customFormat="false" ht="15" hidden="false" customHeight="false" outlineLevel="0" collapsed="false">
      <c r="B170" s="0" t="n">
        <f aca="false">IF(AND(食数記録!$A170=プレビュー!$C$3,食数記録!$B170="朝",食数記録!$F170="男性入所",食数記録!$D170="欠食"),1,0)</f>
        <v>0</v>
      </c>
      <c r="C170" s="0" t="str">
        <f aca="false">IF(B170=1,SUM($B$2:B170),"")</f>
        <v/>
      </c>
      <c r="D170" s="0" t="n">
        <f aca="false">IF(AND(食数記録!$A170=プレビュー!$C$3,食数記録!$B170="昼",食数記録!$F170="男性入所",食数記録!$D170="欠食"),1,0)</f>
        <v>0</v>
      </c>
      <c r="E170" s="0" t="str">
        <f aca="false">IF(D170=1,SUM($D$2:D170),"")</f>
        <v/>
      </c>
      <c r="F170" s="0" t="n">
        <f aca="false">IF(AND(食数記録!$A170=プレビュー!$C$3,食数記録!$B170="夕",食数記録!$F170="男性入所",食数記録!$D170="欠食"),1,0)</f>
        <v>0</v>
      </c>
      <c r="G170" s="0" t="str">
        <f aca="false">IF(F170=1,SUM($F$2:F170),"")</f>
        <v/>
      </c>
      <c r="H170" s="0" t="n">
        <f aca="false">IF(AND(食数記録!$A170=プレビュー!$C$3,食数記録!$B170="朝",食数記録!$F170="女性入所",食数記録!$D170="欠食"),1,0)</f>
        <v>0</v>
      </c>
      <c r="I170" s="0" t="str">
        <f aca="false">IF(H170=1,SUM($H$2:H170),"")</f>
        <v/>
      </c>
      <c r="J170" s="0" t="n">
        <f aca="false">IF(AND(食数記録!$A170=プレビュー!$C$3,食数記録!$B170="昼",食数記録!$F170="女性入所",食数記録!$D170="欠食"),1,0)</f>
        <v>0</v>
      </c>
      <c r="K170" s="0" t="str">
        <f aca="false">IF(J170=1,SUM($J$2:J170),"")</f>
        <v/>
      </c>
      <c r="L170" s="0" t="n">
        <f aca="false">IF(AND(食数記録!$A170=プレビュー!$C$3,食数記録!$B170="夕",食数記録!$F170="女性入所",食数記録!$D170="欠食"),1,0)</f>
        <v>0</v>
      </c>
      <c r="M170" s="0" t="str">
        <f aca="false">IF(L170=1,SUM($L$2:L170),"")</f>
        <v/>
      </c>
      <c r="N170" s="0" t="n">
        <f aca="false">IF(AND(食数記録!$A170=プレビュー!$C$3,食数記録!$B170="朝",食数記録!$F170="男性GH",食数記録!$D170="臨時喫食"),1,0)</f>
        <v>0</v>
      </c>
      <c r="O170" s="0" t="str">
        <f aca="false">IF(N170=1,SUM($N$2:N170),"")</f>
        <v/>
      </c>
      <c r="P170" s="0" t="n">
        <f aca="false">IF(AND(食数記録!$A170=プレビュー!$C$3,食数記録!$B170="昼",食数記録!$F170="男性GH",食数記録!$D170="臨時喫食"),1,0)</f>
        <v>0</v>
      </c>
      <c r="Q170" s="0" t="str">
        <f aca="false">IF(P170=1,SUM($P$2:P170),"")</f>
        <v/>
      </c>
      <c r="R170" s="0" t="n">
        <f aca="false">IF(AND(食数記録!$A170=プレビュー!$C$3,食数記録!$B170="夕",食数記録!$F170="男性GH",食数記録!$D170="臨時喫食"),1,0)</f>
        <v>0</v>
      </c>
      <c r="S170" s="0" t="str">
        <f aca="false">IF(R170=1,SUM($R$2:R170),"")</f>
        <v/>
      </c>
      <c r="T170" s="0" t="n">
        <f aca="false">IF(AND(食数記録!$A170=プレビュー!$C$3,食数記録!$B170="朝",食数記録!$F170="女性GH",食数記録!$D170="臨時喫食"),1,0)</f>
        <v>0</v>
      </c>
      <c r="U170" s="0" t="str">
        <f aca="false">IF(T170=1,SUM($T$2:T170),"")</f>
        <v/>
      </c>
      <c r="V170" s="0" t="n">
        <f aca="false">IF(AND(食数記録!$A170=プレビュー!$C$3,食数記録!$B170="昼",食数記録!$F170="女性GH",食数記録!$D170="臨時喫食"),1,0)</f>
        <v>0</v>
      </c>
      <c r="W170" s="0" t="str">
        <f aca="false">IF(V170=1,SUM($V$2:V170),"")</f>
        <v/>
      </c>
      <c r="X170" s="0" t="n">
        <f aca="false">IF(AND(食数記録!$A170=プレビュー!$C$3,食数記録!$B170="夕",食数記録!$F170="女性GH",食数記録!$D170="臨時喫食"),1,0)</f>
        <v>0</v>
      </c>
      <c r="Y170" s="0" t="str">
        <f aca="false">IF(X170=1,SUM($X$2:X170),"")</f>
        <v/>
      </c>
    </row>
    <row r="171" customFormat="false" ht="15" hidden="false" customHeight="false" outlineLevel="0" collapsed="false">
      <c r="B171" s="0" t="n">
        <f aca="false">IF(AND(食数記録!$A171=プレビュー!$C$3,食数記録!$B171="朝",食数記録!$F171="男性入所",食数記録!$D171="欠食"),1,0)</f>
        <v>0</v>
      </c>
      <c r="C171" s="0" t="str">
        <f aca="false">IF(B171=1,SUM($B$2:B171),"")</f>
        <v/>
      </c>
      <c r="D171" s="0" t="n">
        <f aca="false">IF(AND(食数記録!$A171=プレビュー!$C$3,食数記録!$B171="昼",食数記録!$F171="男性入所",食数記録!$D171="欠食"),1,0)</f>
        <v>0</v>
      </c>
      <c r="E171" s="0" t="str">
        <f aca="false">IF(D171=1,SUM($D$2:D171),"")</f>
        <v/>
      </c>
      <c r="F171" s="0" t="n">
        <f aca="false">IF(AND(食数記録!$A171=プレビュー!$C$3,食数記録!$B171="夕",食数記録!$F171="男性入所",食数記録!$D171="欠食"),1,0)</f>
        <v>0</v>
      </c>
      <c r="G171" s="0" t="str">
        <f aca="false">IF(F171=1,SUM($F$2:F171),"")</f>
        <v/>
      </c>
      <c r="H171" s="0" t="n">
        <f aca="false">IF(AND(食数記録!$A171=プレビュー!$C$3,食数記録!$B171="朝",食数記録!$F171="女性入所",食数記録!$D171="欠食"),1,0)</f>
        <v>0</v>
      </c>
      <c r="I171" s="0" t="str">
        <f aca="false">IF(H171=1,SUM($H$2:H171),"")</f>
        <v/>
      </c>
      <c r="J171" s="0" t="n">
        <f aca="false">IF(AND(食数記録!$A171=プレビュー!$C$3,食数記録!$B171="昼",食数記録!$F171="女性入所",食数記録!$D171="欠食"),1,0)</f>
        <v>0</v>
      </c>
      <c r="K171" s="0" t="str">
        <f aca="false">IF(J171=1,SUM($J$2:J171),"")</f>
        <v/>
      </c>
      <c r="L171" s="0" t="n">
        <f aca="false">IF(AND(食数記録!$A171=プレビュー!$C$3,食数記録!$B171="夕",食数記録!$F171="女性入所",食数記録!$D171="欠食"),1,0)</f>
        <v>0</v>
      </c>
      <c r="M171" s="0" t="str">
        <f aca="false">IF(L171=1,SUM($L$2:L171),"")</f>
        <v/>
      </c>
      <c r="N171" s="0" t="n">
        <f aca="false">IF(AND(食数記録!$A171=プレビュー!$C$3,食数記録!$B171="朝",食数記録!$F171="男性GH",食数記録!$D171="臨時喫食"),1,0)</f>
        <v>0</v>
      </c>
      <c r="O171" s="0" t="str">
        <f aca="false">IF(N171=1,SUM($N$2:N171),"")</f>
        <v/>
      </c>
      <c r="P171" s="0" t="n">
        <f aca="false">IF(AND(食数記録!$A171=プレビュー!$C$3,食数記録!$B171="昼",食数記録!$F171="男性GH",食数記録!$D171="臨時喫食"),1,0)</f>
        <v>0</v>
      </c>
      <c r="Q171" s="0" t="str">
        <f aca="false">IF(P171=1,SUM($P$2:P171),"")</f>
        <v/>
      </c>
      <c r="R171" s="0" t="n">
        <f aca="false">IF(AND(食数記録!$A171=プレビュー!$C$3,食数記録!$B171="夕",食数記録!$F171="男性GH",食数記録!$D171="臨時喫食"),1,0)</f>
        <v>0</v>
      </c>
      <c r="S171" s="0" t="str">
        <f aca="false">IF(R171=1,SUM($R$2:R171),"")</f>
        <v/>
      </c>
      <c r="T171" s="0" t="n">
        <f aca="false">IF(AND(食数記録!$A171=プレビュー!$C$3,食数記録!$B171="朝",食数記録!$F171="女性GH",食数記録!$D171="臨時喫食"),1,0)</f>
        <v>0</v>
      </c>
      <c r="U171" s="0" t="str">
        <f aca="false">IF(T171=1,SUM($T$2:T171),"")</f>
        <v/>
      </c>
      <c r="V171" s="0" t="n">
        <f aca="false">IF(AND(食数記録!$A171=プレビュー!$C$3,食数記録!$B171="昼",食数記録!$F171="女性GH",食数記録!$D171="臨時喫食"),1,0)</f>
        <v>0</v>
      </c>
      <c r="W171" s="0" t="str">
        <f aca="false">IF(V171=1,SUM($V$2:V171),"")</f>
        <v/>
      </c>
      <c r="X171" s="0" t="n">
        <f aca="false">IF(AND(食数記録!$A171=プレビュー!$C$3,食数記録!$B171="夕",食数記録!$F171="女性GH",食数記録!$D171="臨時喫食"),1,0)</f>
        <v>0</v>
      </c>
      <c r="Y171" s="0" t="str">
        <f aca="false">IF(X171=1,SUM($X$2:X171),"")</f>
        <v/>
      </c>
    </row>
    <row r="172" customFormat="false" ht="15" hidden="false" customHeight="false" outlineLevel="0" collapsed="false">
      <c r="B172" s="0" t="n">
        <f aca="false">IF(AND(食数記録!$A172=プレビュー!$C$3,食数記録!$B172="朝",食数記録!$F172="男性入所",食数記録!$D172="欠食"),1,0)</f>
        <v>0</v>
      </c>
      <c r="C172" s="0" t="str">
        <f aca="false">IF(B172=1,SUM($B$2:B172),"")</f>
        <v/>
      </c>
      <c r="D172" s="0" t="n">
        <f aca="false">IF(AND(食数記録!$A172=プレビュー!$C$3,食数記録!$B172="昼",食数記録!$F172="男性入所",食数記録!$D172="欠食"),1,0)</f>
        <v>0</v>
      </c>
      <c r="E172" s="0" t="str">
        <f aca="false">IF(D172=1,SUM($D$2:D172),"")</f>
        <v/>
      </c>
      <c r="F172" s="0" t="n">
        <f aca="false">IF(AND(食数記録!$A172=プレビュー!$C$3,食数記録!$B172="夕",食数記録!$F172="男性入所",食数記録!$D172="欠食"),1,0)</f>
        <v>0</v>
      </c>
      <c r="G172" s="0" t="str">
        <f aca="false">IF(F172=1,SUM($F$2:F172),"")</f>
        <v/>
      </c>
      <c r="H172" s="0" t="n">
        <f aca="false">IF(AND(食数記録!$A172=プレビュー!$C$3,食数記録!$B172="朝",食数記録!$F172="女性入所",食数記録!$D172="欠食"),1,0)</f>
        <v>0</v>
      </c>
      <c r="I172" s="0" t="str">
        <f aca="false">IF(H172=1,SUM($H$2:H172),"")</f>
        <v/>
      </c>
      <c r="J172" s="0" t="n">
        <f aca="false">IF(AND(食数記録!$A172=プレビュー!$C$3,食数記録!$B172="昼",食数記録!$F172="女性入所",食数記録!$D172="欠食"),1,0)</f>
        <v>0</v>
      </c>
      <c r="K172" s="0" t="str">
        <f aca="false">IF(J172=1,SUM($J$2:J172),"")</f>
        <v/>
      </c>
      <c r="L172" s="0" t="n">
        <f aca="false">IF(AND(食数記録!$A172=プレビュー!$C$3,食数記録!$B172="夕",食数記録!$F172="女性入所",食数記録!$D172="欠食"),1,0)</f>
        <v>0</v>
      </c>
      <c r="M172" s="0" t="str">
        <f aca="false">IF(L172=1,SUM($L$2:L172),"")</f>
        <v/>
      </c>
      <c r="N172" s="0" t="n">
        <f aca="false">IF(AND(食数記録!$A172=プレビュー!$C$3,食数記録!$B172="朝",食数記録!$F172="男性GH",食数記録!$D172="臨時喫食"),1,0)</f>
        <v>0</v>
      </c>
      <c r="O172" s="0" t="str">
        <f aca="false">IF(N172=1,SUM($N$2:N172),"")</f>
        <v/>
      </c>
      <c r="P172" s="0" t="n">
        <f aca="false">IF(AND(食数記録!$A172=プレビュー!$C$3,食数記録!$B172="昼",食数記録!$F172="男性GH",食数記録!$D172="臨時喫食"),1,0)</f>
        <v>0</v>
      </c>
      <c r="Q172" s="0" t="str">
        <f aca="false">IF(P172=1,SUM($P$2:P172),"")</f>
        <v/>
      </c>
      <c r="R172" s="0" t="n">
        <f aca="false">IF(AND(食数記録!$A172=プレビュー!$C$3,食数記録!$B172="夕",食数記録!$F172="男性GH",食数記録!$D172="臨時喫食"),1,0)</f>
        <v>0</v>
      </c>
      <c r="S172" s="0" t="str">
        <f aca="false">IF(R172=1,SUM($R$2:R172),"")</f>
        <v/>
      </c>
      <c r="T172" s="0" t="n">
        <f aca="false">IF(AND(食数記録!$A172=プレビュー!$C$3,食数記録!$B172="朝",食数記録!$F172="女性GH",食数記録!$D172="臨時喫食"),1,0)</f>
        <v>0</v>
      </c>
      <c r="U172" s="0" t="str">
        <f aca="false">IF(T172=1,SUM($T$2:T172),"")</f>
        <v/>
      </c>
      <c r="V172" s="0" t="n">
        <f aca="false">IF(AND(食数記録!$A172=プレビュー!$C$3,食数記録!$B172="昼",食数記録!$F172="女性GH",食数記録!$D172="臨時喫食"),1,0)</f>
        <v>0</v>
      </c>
      <c r="W172" s="0" t="str">
        <f aca="false">IF(V172=1,SUM($V$2:V172),"")</f>
        <v/>
      </c>
      <c r="X172" s="0" t="n">
        <f aca="false">IF(AND(食数記録!$A172=プレビュー!$C$3,食数記録!$B172="夕",食数記録!$F172="女性GH",食数記録!$D172="臨時喫食"),1,0)</f>
        <v>0</v>
      </c>
      <c r="Y172" s="0" t="str">
        <f aca="false">IF(X172=1,SUM($X$2:X172),"")</f>
        <v/>
      </c>
    </row>
    <row r="173" customFormat="false" ht="15" hidden="false" customHeight="false" outlineLevel="0" collapsed="false">
      <c r="B173" s="0" t="n">
        <f aca="false">IF(AND(食数記録!$A173=プレビュー!$C$3,食数記録!$B173="朝",食数記録!$F173="男性入所",食数記録!$D173="欠食"),1,0)</f>
        <v>0</v>
      </c>
      <c r="C173" s="0" t="str">
        <f aca="false">IF(B173=1,SUM($B$2:B173),"")</f>
        <v/>
      </c>
      <c r="D173" s="0" t="n">
        <f aca="false">IF(AND(食数記録!$A173=プレビュー!$C$3,食数記録!$B173="昼",食数記録!$F173="男性入所",食数記録!$D173="欠食"),1,0)</f>
        <v>0</v>
      </c>
      <c r="E173" s="0" t="str">
        <f aca="false">IF(D173=1,SUM($D$2:D173),"")</f>
        <v/>
      </c>
      <c r="F173" s="0" t="n">
        <f aca="false">IF(AND(食数記録!$A173=プレビュー!$C$3,食数記録!$B173="夕",食数記録!$F173="男性入所",食数記録!$D173="欠食"),1,0)</f>
        <v>0</v>
      </c>
      <c r="G173" s="0" t="str">
        <f aca="false">IF(F173=1,SUM($F$2:F173),"")</f>
        <v/>
      </c>
      <c r="H173" s="0" t="n">
        <f aca="false">IF(AND(食数記録!$A173=プレビュー!$C$3,食数記録!$B173="朝",食数記録!$F173="女性入所",食数記録!$D173="欠食"),1,0)</f>
        <v>0</v>
      </c>
      <c r="I173" s="0" t="str">
        <f aca="false">IF(H173=1,SUM($H$2:H173),"")</f>
        <v/>
      </c>
      <c r="J173" s="0" t="n">
        <f aca="false">IF(AND(食数記録!$A173=プレビュー!$C$3,食数記録!$B173="昼",食数記録!$F173="女性入所",食数記録!$D173="欠食"),1,0)</f>
        <v>0</v>
      </c>
      <c r="K173" s="0" t="str">
        <f aca="false">IF(J173=1,SUM($J$2:J173),"")</f>
        <v/>
      </c>
      <c r="L173" s="0" t="n">
        <f aca="false">IF(AND(食数記録!$A173=プレビュー!$C$3,食数記録!$B173="夕",食数記録!$F173="女性入所",食数記録!$D173="欠食"),1,0)</f>
        <v>0</v>
      </c>
      <c r="M173" s="0" t="str">
        <f aca="false">IF(L173=1,SUM($L$2:L173),"")</f>
        <v/>
      </c>
      <c r="N173" s="0" t="n">
        <f aca="false">IF(AND(食数記録!$A173=プレビュー!$C$3,食数記録!$B173="朝",食数記録!$F173="男性GH",食数記録!$D173="臨時喫食"),1,0)</f>
        <v>0</v>
      </c>
      <c r="O173" s="0" t="str">
        <f aca="false">IF(N173=1,SUM($N$2:N173),"")</f>
        <v/>
      </c>
      <c r="P173" s="0" t="n">
        <f aca="false">IF(AND(食数記録!$A173=プレビュー!$C$3,食数記録!$B173="昼",食数記録!$F173="男性GH",食数記録!$D173="臨時喫食"),1,0)</f>
        <v>0</v>
      </c>
      <c r="Q173" s="0" t="str">
        <f aca="false">IF(P173=1,SUM($P$2:P173),"")</f>
        <v/>
      </c>
      <c r="R173" s="0" t="n">
        <f aca="false">IF(AND(食数記録!$A173=プレビュー!$C$3,食数記録!$B173="夕",食数記録!$F173="男性GH",食数記録!$D173="臨時喫食"),1,0)</f>
        <v>0</v>
      </c>
      <c r="S173" s="0" t="str">
        <f aca="false">IF(R173=1,SUM($R$2:R173),"")</f>
        <v/>
      </c>
      <c r="T173" s="0" t="n">
        <f aca="false">IF(AND(食数記録!$A173=プレビュー!$C$3,食数記録!$B173="朝",食数記録!$F173="女性GH",食数記録!$D173="臨時喫食"),1,0)</f>
        <v>0</v>
      </c>
      <c r="U173" s="0" t="str">
        <f aca="false">IF(T173=1,SUM($T$2:T173),"")</f>
        <v/>
      </c>
      <c r="V173" s="0" t="n">
        <f aca="false">IF(AND(食数記録!$A173=プレビュー!$C$3,食数記録!$B173="昼",食数記録!$F173="女性GH",食数記録!$D173="臨時喫食"),1,0)</f>
        <v>0</v>
      </c>
      <c r="W173" s="0" t="str">
        <f aca="false">IF(V173=1,SUM($V$2:V173),"")</f>
        <v/>
      </c>
      <c r="X173" s="0" t="n">
        <f aca="false">IF(AND(食数記録!$A173=プレビュー!$C$3,食数記録!$B173="夕",食数記録!$F173="女性GH",食数記録!$D173="臨時喫食"),1,0)</f>
        <v>0</v>
      </c>
      <c r="Y173" s="0" t="str">
        <f aca="false">IF(X173=1,SUM($X$2:X173),"")</f>
        <v/>
      </c>
    </row>
    <row r="174" customFormat="false" ht="15" hidden="false" customHeight="false" outlineLevel="0" collapsed="false">
      <c r="B174" s="0" t="n">
        <f aca="false">IF(AND(食数記録!$A174=プレビュー!$C$3,食数記録!$B174="朝",食数記録!$F174="男性入所",食数記録!$D174="欠食"),1,0)</f>
        <v>0</v>
      </c>
      <c r="C174" s="0" t="str">
        <f aca="false">IF(B174=1,SUM($B$2:B174),"")</f>
        <v/>
      </c>
      <c r="D174" s="0" t="n">
        <f aca="false">IF(AND(食数記録!$A174=プレビュー!$C$3,食数記録!$B174="昼",食数記録!$F174="男性入所",食数記録!$D174="欠食"),1,0)</f>
        <v>0</v>
      </c>
      <c r="E174" s="0" t="str">
        <f aca="false">IF(D174=1,SUM($D$2:D174),"")</f>
        <v/>
      </c>
      <c r="F174" s="0" t="n">
        <f aca="false">IF(AND(食数記録!$A174=プレビュー!$C$3,食数記録!$B174="夕",食数記録!$F174="男性入所",食数記録!$D174="欠食"),1,0)</f>
        <v>0</v>
      </c>
      <c r="G174" s="0" t="str">
        <f aca="false">IF(F174=1,SUM($F$2:F174),"")</f>
        <v/>
      </c>
      <c r="H174" s="0" t="n">
        <f aca="false">IF(AND(食数記録!$A174=プレビュー!$C$3,食数記録!$B174="朝",食数記録!$F174="女性入所",食数記録!$D174="欠食"),1,0)</f>
        <v>0</v>
      </c>
      <c r="I174" s="0" t="str">
        <f aca="false">IF(H174=1,SUM($H$2:H174),"")</f>
        <v/>
      </c>
      <c r="J174" s="0" t="n">
        <f aca="false">IF(AND(食数記録!$A174=プレビュー!$C$3,食数記録!$B174="昼",食数記録!$F174="女性入所",食数記録!$D174="欠食"),1,0)</f>
        <v>0</v>
      </c>
      <c r="K174" s="0" t="str">
        <f aca="false">IF(J174=1,SUM($J$2:J174),"")</f>
        <v/>
      </c>
      <c r="L174" s="0" t="n">
        <f aca="false">IF(AND(食数記録!$A174=プレビュー!$C$3,食数記録!$B174="夕",食数記録!$F174="女性入所",食数記録!$D174="欠食"),1,0)</f>
        <v>0</v>
      </c>
      <c r="M174" s="0" t="str">
        <f aca="false">IF(L174=1,SUM($L$2:L174),"")</f>
        <v/>
      </c>
      <c r="N174" s="0" t="n">
        <f aca="false">IF(AND(食数記録!$A174=プレビュー!$C$3,食数記録!$B174="朝",食数記録!$F174="男性GH",食数記録!$D174="臨時喫食"),1,0)</f>
        <v>0</v>
      </c>
      <c r="O174" s="0" t="str">
        <f aca="false">IF(N174=1,SUM($N$2:N174),"")</f>
        <v/>
      </c>
      <c r="P174" s="0" t="n">
        <f aca="false">IF(AND(食数記録!$A174=プレビュー!$C$3,食数記録!$B174="昼",食数記録!$F174="男性GH",食数記録!$D174="臨時喫食"),1,0)</f>
        <v>0</v>
      </c>
      <c r="Q174" s="0" t="str">
        <f aca="false">IF(P174=1,SUM($P$2:P174),"")</f>
        <v/>
      </c>
      <c r="R174" s="0" t="n">
        <f aca="false">IF(AND(食数記録!$A174=プレビュー!$C$3,食数記録!$B174="夕",食数記録!$F174="男性GH",食数記録!$D174="臨時喫食"),1,0)</f>
        <v>0</v>
      </c>
      <c r="S174" s="0" t="str">
        <f aca="false">IF(R174=1,SUM($R$2:R174),"")</f>
        <v/>
      </c>
      <c r="T174" s="0" t="n">
        <f aca="false">IF(AND(食数記録!$A174=プレビュー!$C$3,食数記録!$B174="朝",食数記録!$F174="女性GH",食数記録!$D174="臨時喫食"),1,0)</f>
        <v>0</v>
      </c>
      <c r="U174" s="0" t="str">
        <f aca="false">IF(T174=1,SUM($T$2:T174),"")</f>
        <v/>
      </c>
      <c r="V174" s="0" t="n">
        <f aca="false">IF(AND(食数記録!$A174=プレビュー!$C$3,食数記録!$B174="昼",食数記録!$F174="女性GH",食数記録!$D174="臨時喫食"),1,0)</f>
        <v>0</v>
      </c>
      <c r="W174" s="0" t="str">
        <f aca="false">IF(V174=1,SUM($V$2:V174),"")</f>
        <v/>
      </c>
      <c r="X174" s="0" t="n">
        <f aca="false">IF(AND(食数記録!$A174=プレビュー!$C$3,食数記録!$B174="夕",食数記録!$F174="女性GH",食数記録!$D174="臨時喫食"),1,0)</f>
        <v>0</v>
      </c>
      <c r="Y174" s="0" t="str">
        <f aca="false">IF(X174=1,SUM($X$2:X174),"")</f>
        <v/>
      </c>
    </row>
    <row r="175" customFormat="false" ht="15" hidden="false" customHeight="false" outlineLevel="0" collapsed="false">
      <c r="B175" s="0" t="n">
        <f aca="false">IF(AND(食数記録!$A175=プレビュー!$C$3,食数記録!$B175="朝",食数記録!$F175="男性入所",食数記録!$D175="欠食"),1,0)</f>
        <v>0</v>
      </c>
      <c r="C175" s="0" t="str">
        <f aca="false">IF(B175=1,SUM($B$2:B175),"")</f>
        <v/>
      </c>
      <c r="D175" s="0" t="n">
        <f aca="false">IF(AND(食数記録!$A175=プレビュー!$C$3,食数記録!$B175="昼",食数記録!$F175="男性入所",食数記録!$D175="欠食"),1,0)</f>
        <v>0</v>
      </c>
      <c r="E175" s="0" t="str">
        <f aca="false">IF(D175=1,SUM($D$2:D175),"")</f>
        <v/>
      </c>
      <c r="F175" s="0" t="n">
        <f aca="false">IF(AND(食数記録!$A175=プレビュー!$C$3,食数記録!$B175="夕",食数記録!$F175="男性入所",食数記録!$D175="欠食"),1,0)</f>
        <v>0</v>
      </c>
      <c r="G175" s="0" t="str">
        <f aca="false">IF(F175=1,SUM($F$2:F175),"")</f>
        <v/>
      </c>
      <c r="H175" s="0" t="n">
        <f aca="false">IF(AND(食数記録!$A175=プレビュー!$C$3,食数記録!$B175="朝",食数記録!$F175="女性入所",食数記録!$D175="欠食"),1,0)</f>
        <v>0</v>
      </c>
      <c r="I175" s="0" t="str">
        <f aca="false">IF(H175=1,SUM($H$2:H175),"")</f>
        <v/>
      </c>
      <c r="J175" s="0" t="n">
        <f aca="false">IF(AND(食数記録!$A175=プレビュー!$C$3,食数記録!$B175="昼",食数記録!$F175="女性入所",食数記録!$D175="欠食"),1,0)</f>
        <v>0</v>
      </c>
      <c r="K175" s="0" t="str">
        <f aca="false">IF(J175=1,SUM($J$2:J175),"")</f>
        <v/>
      </c>
      <c r="L175" s="0" t="n">
        <f aca="false">IF(AND(食数記録!$A175=プレビュー!$C$3,食数記録!$B175="夕",食数記録!$F175="女性入所",食数記録!$D175="欠食"),1,0)</f>
        <v>0</v>
      </c>
      <c r="M175" s="0" t="str">
        <f aca="false">IF(L175=1,SUM($L$2:L175),"")</f>
        <v/>
      </c>
      <c r="N175" s="0" t="n">
        <f aca="false">IF(AND(食数記録!$A175=プレビュー!$C$3,食数記録!$B175="朝",食数記録!$F175="男性GH",食数記録!$D175="臨時喫食"),1,0)</f>
        <v>0</v>
      </c>
      <c r="O175" s="0" t="str">
        <f aca="false">IF(N175=1,SUM($N$2:N175),"")</f>
        <v/>
      </c>
      <c r="P175" s="0" t="n">
        <f aca="false">IF(AND(食数記録!$A175=プレビュー!$C$3,食数記録!$B175="昼",食数記録!$F175="男性GH",食数記録!$D175="臨時喫食"),1,0)</f>
        <v>0</v>
      </c>
      <c r="Q175" s="0" t="str">
        <f aca="false">IF(P175=1,SUM($P$2:P175),"")</f>
        <v/>
      </c>
      <c r="R175" s="0" t="n">
        <f aca="false">IF(AND(食数記録!$A175=プレビュー!$C$3,食数記録!$B175="夕",食数記録!$F175="男性GH",食数記録!$D175="臨時喫食"),1,0)</f>
        <v>0</v>
      </c>
      <c r="S175" s="0" t="str">
        <f aca="false">IF(R175=1,SUM($R$2:R175),"")</f>
        <v/>
      </c>
      <c r="T175" s="0" t="n">
        <f aca="false">IF(AND(食数記録!$A175=プレビュー!$C$3,食数記録!$B175="朝",食数記録!$F175="女性GH",食数記録!$D175="臨時喫食"),1,0)</f>
        <v>0</v>
      </c>
      <c r="U175" s="0" t="str">
        <f aca="false">IF(T175=1,SUM($T$2:T175),"")</f>
        <v/>
      </c>
      <c r="V175" s="0" t="n">
        <f aca="false">IF(AND(食数記録!$A175=プレビュー!$C$3,食数記録!$B175="昼",食数記録!$F175="女性GH",食数記録!$D175="臨時喫食"),1,0)</f>
        <v>0</v>
      </c>
      <c r="W175" s="0" t="str">
        <f aca="false">IF(V175=1,SUM($V$2:V175),"")</f>
        <v/>
      </c>
      <c r="X175" s="0" t="n">
        <f aca="false">IF(AND(食数記録!$A175=プレビュー!$C$3,食数記録!$B175="夕",食数記録!$F175="女性GH",食数記録!$D175="臨時喫食"),1,0)</f>
        <v>0</v>
      </c>
      <c r="Y175" s="0" t="str">
        <f aca="false">IF(X175=1,SUM($X$2:X175),"")</f>
        <v/>
      </c>
    </row>
    <row r="176" customFormat="false" ht="15" hidden="false" customHeight="false" outlineLevel="0" collapsed="false">
      <c r="B176" s="0" t="n">
        <f aca="false">IF(AND(食数記録!$A176=プレビュー!$C$3,食数記録!$B176="朝",食数記録!$F176="男性入所",食数記録!$D176="欠食"),1,0)</f>
        <v>0</v>
      </c>
      <c r="C176" s="0" t="str">
        <f aca="false">IF(B176=1,SUM($B$2:B176),"")</f>
        <v/>
      </c>
      <c r="D176" s="0" t="n">
        <f aca="false">IF(AND(食数記録!$A176=プレビュー!$C$3,食数記録!$B176="昼",食数記録!$F176="男性入所",食数記録!$D176="欠食"),1,0)</f>
        <v>0</v>
      </c>
      <c r="E176" s="0" t="str">
        <f aca="false">IF(D176=1,SUM($D$2:D176),"")</f>
        <v/>
      </c>
      <c r="F176" s="0" t="n">
        <f aca="false">IF(AND(食数記録!$A176=プレビュー!$C$3,食数記録!$B176="夕",食数記録!$F176="男性入所",食数記録!$D176="欠食"),1,0)</f>
        <v>0</v>
      </c>
      <c r="G176" s="0" t="str">
        <f aca="false">IF(F176=1,SUM($F$2:F176),"")</f>
        <v/>
      </c>
      <c r="H176" s="0" t="n">
        <f aca="false">IF(AND(食数記録!$A176=プレビュー!$C$3,食数記録!$B176="朝",食数記録!$F176="女性入所",食数記録!$D176="欠食"),1,0)</f>
        <v>0</v>
      </c>
      <c r="I176" s="0" t="str">
        <f aca="false">IF(H176=1,SUM($H$2:H176),"")</f>
        <v/>
      </c>
      <c r="J176" s="0" t="n">
        <f aca="false">IF(AND(食数記録!$A176=プレビュー!$C$3,食数記録!$B176="昼",食数記録!$F176="女性入所",食数記録!$D176="欠食"),1,0)</f>
        <v>0</v>
      </c>
      <c r="K176" s="0" t="str">
        <f aca="false">IF(J176=1,SUM($J$2:J176),"")</f>
        <v/>
      </c>
      <c r="L176" s="0" t="n">
        <f aca="false">IF(AND(食数記録!$A176=プレビュー!$C$3,食数記録!$B176="夕",食数記録!$F176="女性入所",食数記録!$D176="欠食"),1,0)</f>
        <v>0</v>
      </c>
      <c r="M176" s="0" t="str">
        <f aca="false">IF(L176=1,SUM($L$2:L176),"")</f>
        <v/>
      </c>
      <c r="N176" s="0" t="n">
        <f aca="false">IF(AND(食数記録!$A176=プレビュー!$C$3,食数記録!$B176="朝",食数記録!$F176="男性GH",食数記録!$D176="臨時喫食"),1,0)</f>
        <v>0</v>
      </c>
      <c r="O176" s="0" t="str">
        <f aca="false">IF(N176=1,SUM($N$2:N176),"")</f>
        <v/>
      </c>
      <c r="P176" s="0" t="n">
        <f aca="false">IF(AND(食数記録!$A176=プレビュー!$C$3,食数記録!$B176="昼",食数記録!$F176="男性GH",食数記録!$D176="臨時喫食"),1,0)</f>
        <v>0</v>
      </c>
      <c r="Q176" s="0" t="str">
        <f aca="false">IF(P176=1,SUM($P$2:P176),"")</f>
        <v/>
      </c>
      <c r="R176" s="0" t="n">
        <f aca="false">IF(AND(食数記録!$A176=プレビュー!$C$3,食数記録!$B176="夕",食数記録!$F176="男性GH",食数記録!$D176="臨時喫食"),1,0)</f>
        <v>0</v>
      </c>
      <c r="S176" s="0" t="str">
        <f aca="false">IF(R176=1,SUM($R$2:R176),"")</f>
        <v/>
      </c>
      <c r="T176" s="0" t="n">
        <f aca="false">IF(AND(食数記録!$A176=プレビュー!$C$3,食数記録!$B176="朝",食数記録!$F176="女性GH",食数記録!$D176="臨時喫食"),1,0)</f>
        <v>0</v>
      </c>
      <c r="U176" s="0" t="str">
        <f aca="false">IF(T176=1,SUM($T$2:T176),"")</f>
        <v/>
      </c>
      <c r="V176" s="0" t="n">
        <f aca="false">IF(AND(食数記録!$A176=プレビュー!$C$3,食数記録!$B176="昼",食数記録!$F176="女性GH",食数記録!$D176="臨時喫食"),1,0)</f>
        <v>0</v>
      </c>
      <c r="W176" s="0" t="str">
        <f aca="false">IF(V176=1,SUM($V$2:V176),"")</f>
        <v/>
      </c>
      <c r="X176" s="0" t="n">
        <f aca="false">IF(AND(食数記録!$A176=プレビュー!$C$3,食数記録!$B176="夕",食数記録!$F176="女性GH",食数記録!$D176="臨時喫食"),1,0)</f>
        <v>0</v>
      </c>
      <c r="Y176" s="0" t="str">
        <f aca="false">IF(X176=1,SUM($X$2:X176),"")</f>
        <v/>
      </c>
    </row>
    <row r="177" customFormat="false" ht="15" hidden="false" customHeight="false" outlineLevel="0" collapsed="false">
      <c r="B177" s="0" t="n">
        <f aca="false">IF(AND(食数記録!$A177=プレビュー!$C$3,食数記録!$B177="朝",食数記録!$F177="男性入所",食数記録!$D177="欠食"),1,0)</f>
        <v>0</v>
      </c>
      <c r="C177" s="0" t="str">
        <f aca="false">IF(B177=1,SUM($B$2:B177),"")</f>
        <v/>
      </c>
      <c r="D177" s="0" t="n">
        <f aca="false">IF(AND(食数記録!$A177=プレビュー!$C$3,食数記録!$B177="昼",食数記録!$F177="男性入所",食数記録!$D177="欠食"),1,0)</f>
        <v>0</v>
      </c>
      <c r="E177" s="0" t="str">
        <f aca="false">IF(D177=1,SUM($D$2:D177),"")</f>
        <v/>
      </c>
      <c r="F177" s="0" t="n">
        <f aca="false">IF(AND(食数記録!$A177=プレビュー!$C$3,食数記録!$B177="夕",食数記録!$F177="男性入所",食数記録!$D177="欠食"),1,0)</f>
        <v>0</v>
      </c>
      <c r="G177" s="0" t="str">
        <f aca="false">IF(F177=1,SUM($F$2:F177),"")</f>
        <v/>
      </c>
      <c r="H177" s="0" t="n">
        <f aca="false">IF(AND(食数記録!$A177=プレビュー!$C$3,食数記録!$B177="朝",食数記録!$F177="女性入所",食数記録!$D177="欠食"),1,0)</f>
        <v>0</v>
      </c>
      <c r="I177" s="0" t="str">
        <f aca="false">IF(H177=1,SUM($H$2:H177),"")</f>
        <v/>
      </c>
      <c r="J177" s="0" t="n">
        <f aca="false">IF(AND(食数記録!$A177=プレビュー!$C$3,食数記録!$B177="昼",食数記録!$F177="女性入所",食数記録!$D177="欠食"),1,0)</f>
        <v>0</v>
      </c>
      <c r="K177" s="0" t="str">
        <f aca="false">IF(J177=1,SUM($J$2:J177),"")</f>
        <v/>
      </c>
      <c r="L177" s="0" t="n">
        <f aca="false">IF(AND(食数記録!$A177=プレビュー!$C$3,食数記録!$B177="夕",食数記録!$F177="女性入所",食数記録!$D177="欠食"),1,0)</f>
        <v>0</v>
      </c>
      <c r="M177" s="0" t="str">
        <f aca="false">IF(L177=1,SUM($L$2:L177),"")</f>
        <v/>
      </c>
      <c r="N177" s="0" t="n">
        <f aca="false">IF(AND(食数記録!$A177=プレビュー!$C$3,食数記録!$B177="朝",食数記録!$F177="男性GH",食数記録!$D177="臨時喫食"),1,0)</f>
        <v>0</v>
      </c>
      <c r="O177" s="0" t="str">
        <f aca="false">IF(N177=1,SUM($N$2:N177),"")</f>
        <v/>
      </c>
      <c r="P177" s="0" t="n">
        <f aca="false">IF(AND(食数記録!$A177=プレビュー!$C$3,食数記録!$B177="昼",食数記録!$F177="男性GH",食数記録!$D177="臨時喫食"),1,0)</f>
        <v>0</v>
      </c>
      <c r="Q177" s="0" t="str">
        <f aca="false">IF(P177=1,SUM($P$2:P177),"")</f>
        <v/>
      </c>
      <c r="R177" s="0" t="n">
        <f aca="false">IF(AND(食数記録!$A177=プレビュー!$C$3,食数記録!$B177="夕",食数記録!$F177="男性GH",食数記録!$D177="臨時喫食"),1,0)</f>
        <v>0</v>
      </c>
      <c r="S177" s="0" t="str">
        <f aca="false">IF(R177=1,SUM($R$2:R177),"")</f>
        <v/>
      </c>
      <c r="T177" s="0" t="n">
        <f aca="false">IF(AND(食数記録!$A177=プレビュー!$C$3,食数記録!$B177="朝",食数記録!$F177="女性GH",食数記録!$D177="臨時喫食"),1,0)</f>
        <v>0</v>
      </c>
      <c r="U177" s="0" t="str">
        <f aca="false">IF(T177=1,SUM($T$2:T177),"")</f>
        <v/>
      </c>
      <c r="V177" s="0" t="n">
        <f aca="false">IF(AND(食数記録!$A177=プレビュー!$C$3,食数記録!$B177="昼",食数記録!$F177="女性GH",食数記録!$D177="臨時喫食"),1,0)</f>
        <v>0</v>
      </c>
      <c r="W177" s="0" t="str">
        <f aca="false">IF(V177=1,SUM($V$2:V177),"")</f>
        <v/>
      </c>
      <c r="X177" s="0" t="n">
        <f aca="false">IF(AND(食数記録!$A177=プレビュー!$C$3,食数記録!$B177="夕",食数記録!$F177="女性GH",食数記録!$D177="臨時喫食"),1,0)</f>
        <v>0</v>
      </c>
      <c r="Y177" s="0" t="str">
        <f aca="false">IF(X177=1,SUM($X$2:X177),"")</f>
        <v/>
      </c>
    </row>
    <row r="178" customFormat="false" ht="15" hidden="false" customHeight="false" outlineLevel="0" collapsed="false">
      <c r="B178" s="0" t="n">
        <f aca="false">IF(AND(食数記録!$A178=プレビュー!$C$3,食数記録!$B178="朝",食数記録!$F178="男性入所",食数記録!$D178="欠食"),1,0)</f>
        <v>0</v>
      </c>
      <c r="C178" s="0" t="str">
        <f aca="false">IF(B178=1,SUM($B$2:B178),"")</f>
        <v/>
      </c>
      <c r="D178" s="0" t="n">
        <f aca="false">IF(AND(食数記録!$A178=プレビュー!$C$3,食数記録!$B178="昼",食数記録!$F178="男性入所",食数記録!$D178="欠食"),1,0)</f>
        <v>0</v>
      </c>
      <c r="E178" s="0" t="str">
        <f aca="false">IF(D178=1,SUM($D$2:D178),"")</f>
        <v/>
      </c>
      <c r="F178" s="0" t="n">
        <f aca="false">IF(AND(食数記録!$A178=プレビュー!$C$3,食数記録!$B178="夕",食数記録!$F178="男性入所",食数記録!$D178="欠食"),1,0)</f>
        <v>0</v>
      </c>
      <c r="G178" s="0" t="str">
        <f aca="false">IF(F178=1,SUM($F$2:F178),"")</f>
        <v/>
      </c>
      <c r="H178" s="0" t="n">
        <f aca="false">IF(AND(食数記録!$A178=プレビュー!$C$3,食数記録!$B178="朝",食数記録!$F178="女性入所",食数記録!$D178="欠食"),1,0)</f>
        <v>0</v>
      </c>
      <c r="I178" s="0" t="str">
        <f aca="false">IF(H178=1,SUM($H$2:H178),"")</f>
        <v/>
      </c>
      <c r="J178" s="0" t="n">
        <f aca="false">IF(AND(食数記録!$A178=プレビュー!$C$3,食数記録!$B178="昼",食数記録!$F178="女性入所",食数記録!$D178="欠食"),1,0)</f>
        <v>0</v>
      </c>
      <c r="K178" s="0" t="str">
        <f aca="false">IF(J178=1,SUM($J$2:J178),"")</f>
        <v/>
      </c>
      <c r="L178" s="0" t="n">
        <f aca="false">IF(AND(食数記録!$A178=プレビュー!$C$3,食数記録!$B178="夕",食数記録!$F178="女性入所",食数記録!$D178="欠食"),1,0)</f>
        <v>0</v>
      </c>
      <c r="M178" s="0" t="str">
        <f aca="false">IF(L178=1,SUM($L$2:L178),"")</f>
        <v/>
      </c>
      <c r="N178" s="0" t="n">
        <f aca="false">IF(AND(食数記録!$A178=プレビュー!$C$3,食数記録!$B178="朝",食数記録!$F178="男性GH",食数記録!$D178="臨時喫食"),1,0)</f>
        <v>0</v>
      </c>
      <c r="O178" s="0" t="str">
        <f aca="false">IF(N178=1,SUM($N$2:N178),"")</f>
        <v/>
      </c>
      <c r="P178" s="0" t="n">
        <f aca="false">IF(AND(食数記録!$A178=プレビュー!$C$3,食数記録!$B178="昼",食数記録!$F178="男性GH",食数記録!$D178="臨時喫食"),1,0)</f>
        <v>0</v>
      </c>
      <c r="Q178" s="0" t="str">
        <f aca="false">IF(P178=1,SUM($P$2:P178),"")</f>
        <v/>
      </c>
      <c r="R178" s="0" t="n">
        <f aca="false">IF(AND(食数記録!$A178=プレビュー!$C$3,食数記録!$B178="夕",食数記録!$F178="男性GH",食数記録!$D178="臨時喫食"),1,0)</f>
        <v>0</v>
      </c>
      <c r="S178" s="0" t="str">
        <f aca="false">IF(R178=1,SUM($R$2:R178),"")</f>
        <v/>
      </c>
      <c r="T178" s="0" t="n">
        <f aca="false">IF(AND(食数記録!$A178=プレビュー!$C$3,食数記録!$B178="朝",食数記録!$F178="女性GH",食数記録!$D178="臨時喫食"),1,0)</f>
        <v>0</v>
      </c>
      <c r="U178" s="0" t="str">
        <f aca="false">IF(T178=1,SUM($T$2:T178),"")</f>
        <v/>
      </c>
      <c r="V178" s="0" t="n">
        <f aca="false">IF(AND(食数記録!$A178=プレビュー!$C$3,食数記録!$B178="昼",食数記録!$F178="女性GH",食数記録!$D178="臨時喫食"),1,0)</f>
        <v>0</v>
      </c>
      <c r="W178" s="0" t="str">
        <f aca="false">IF(V178=1,SUM($V$2:V178),"")</f>
        <v/>
      </c>
      <c r="X178" s="0" t="n">
        <f aca="false">IF(AND(食数記録!$A178=プレビュー!$C$3,食数記録!$B178="夕",食数記録!$F178="女性GH",食数記録!$D178="臨時喫食"),1,0)</f>
        <v>0</v>
      </c>
      <c r="Y178" s="0" t="str">
        <f aca="false">IF(X178=1,SUM($X$2:X178),"")</f>
        <v/>
      </c>
    </row>
    <row r="179" customFormat="false" ht="15" hidden="false" customHeight="false" outlineLevel="0" collapsed="false">
      <c r="B179" s="0" t="n">
        <f aca="false">IF(AND(食数記録!$A179=プレビュー!$C$3,食数記録!$B179="朝",食数記録!$F179="男性入所",食数記録!$D179="欠食"),1,0)</f>
        <v>0</v>
      </c>
      <c r="C179" s="0" t="str">
        <f aca="false">IF(B179=1,SUM($B$2:B179),"")</f>
        <v/>
      </c>
      <c r="D179" s="0" t="n">
        <f aca="false">IF(AND(食数記録!$A179=プレビュー!$C$3,食数記録!$B179="昼",食数記録!$F179="男性入所",食数記録!$D179="欠食"),1,0)</f>
        <v>0</v>
      </c>
      <c r="E179" s="0" t="str">
        <f aca="false">IF(D179=1,SUM($D$2:D179),"")</f>
        <v/>
      </c>
      <c r="F179" s="0" t="n">
        <f aca="false">IF(AND(食数記録!$A179=プレビュー!$C$3,食数記録!$B179="夕",食数記録!$F179="男性入所",食数記録!$D179="欠食"),1,0)</f>
        <v>0</v>
      </c>
      <c r="G179" s="0" t="str">
        <f aca="false">IF(F179=1,SUM($F$2:F179),"")</f>
        <v/>
      </c>
      <c r="H179" s="0" t="n">
        <f aca="false">IF(AND(食数記録!$A179=プレビュー!$C$3,食数記録!$B179="朝",食数記録!$F179="女性入所",食数記録!$D179="欠食"),1,0)</f>
        <v>0</v>
      </c>
      <c r="I179" s="0" t="str">
        <f aca="false">IF(H179=1,SUM($H$2:H179),"")</f>
        <v/>
      </c>
      <c r="J179" s="0" t="n">
        <f aca="false">IF(AND(食数記録!$A179=プレビュー!$C$3,食数記録!$B179="昼",食数記録!$F179="女性入所",食数記録!$D179="欠食"),1,0)</f>
        <v>0</v>
      </c>
      <c r="K179" s="0" t="str">
        <f aca="false">IF(J179=1,SUM($J$2:J179),"")</f>
        <v/>
      </c>
      <c r="L179" s="0" t="n">
        <f aca="false">IF(AND(食数記録!$A179=プレビュー!$C$3,食数記録!$B179="夕",食数記録!$F179="女性入所",食数記録!$D179="欠食"),1,0)</f>
        <v>0</v>
      </c>
      <c r="M179" s="0" t="str">
        <f aca="false">IF(L179=1,SUM($L$2:L179),"")</f>
        <v/>
      </c>
      <c r="N179" s="0" t="n">
        <f aca="false">IF(AND(食数記録!$A179=プレビュー!$C$3,食数記録!$B179="朝",食数記録!$F179="男性GH",食数記録!$D179="臨時喫食"),1,0)</f>
        <v>0</v>
      </c>
      <c r="O179" s="0" t="str">
        <f aca="false">IF(N179=1,SUM($N$2:N179),"")</f>
        <v/>
      </c>
      <c r="P179" s="0" t="n">
        <f aca="false">IF(AND(食数記録!$A179=プレビュー!$C$3,食数記録!$B179="昼",食数記録!$F179="男性GH",食数記録!$D179="臨時喫食"),1,0)</f>
        <v>0</v>
      </c>
      <c r="Q179" s="0" t="str">
        <f aca="false">IF(P179=1,SUM($P$2:P179),"")</f>
        <v/>
      </c>
      <c r="R179" s="0" t="n">
        <f aca="false">IF(AND(食数記録!$A179=プレビュー!$C$3,食数記録!$B179="夕",食数記録!$F179="男性GH",食数記録!$D179="臨時喫食"),1,0)</f>
        <v>0</v>
      </c>
      <c r="S179" s="0" t="str">
        <f aca="false">IF(R179=1,SUM($R$2:R179),"")</f>
        <v/>
      </c>
      <c r="T179" s="0" t="n">
        <f aca="false">IF(AND(食数記録!$A179=プレビュー!$C$3,食数記録!$B179="朝",食数記録!$F179="女性GH",食数記録!$D179="臨時喫食"),1,0)</f>
        <v>0</v>
      </c>
      <c r="U179" s="0" t="str">
        <f aca="false">IF(T179=1,SUM($T$2:T179),"")</f>
        <v/>
      </c>
      <c r="V179" s="0" t="n">
        <f aca="false">IF(AND(食数記録!$A179=プレビュー!$C$3,食数記録!$B179="昼",食数記録!$F179="女性GH",食数記録!$D179="臨時喫食"),1,0)</f>
        <v>0</v>
      </c>
      <c r="W179" s="0" t="str">
        <f aca="false">IF(V179=1,SUM($V$2:V179),"")</f>
        <v/>
      </c>
      <c r="X179" s="0" t="n">
        <f aca="false">IF(AND(食数記録!$A179=プレビュー!$C$3,食数記録!$B179="夕",食数記録!$F179="女性GH",食数記録!$D179="臨時喫食"),1,0)</f>
        <v>0</v>
      </c>
      <c r="Y179" s="0" t="str">
        <f aca="false">IF(X179=1,SUM($X$2:X179),"")</f>
        <v/>
      </c>
    </row>
    <row r="180" customFormat="false" ht="15" hidden="false" customHeight="false" outlineLevel="0" collapsed="false">
      <c r="B180" s="0" t="n">
        <f aca="false">IF(AND(食数記録!$A180=プレビュー!$C$3,食数記録!$B180="朝",食数記録!$F180="男性入所",食数記録!$D180="欠食"),1,0)</f>
        <v>0</v>
      </c>
      <c r="C180" s="0" t="str">
        <f aca="false">IF(B180=1,SUM($B$2:B180),"")</f>
        <v/>
      </c>
      <c r="D180" s="0" t="n">
        <f aca="false">IF(AND(食数記録!$A180=プレビュー!$C$3,食数記録!$B180="昼",食数記録!$F180="男性入所",食数記録!$D180="欠食"),1,0)</f>
        <v>0</v>
      </c>
      <c r="E180" s="0" t="str">
        <f aca="false">IF(D180=1,SUM($D$2:D180),"")</f>
        <v/>
      </c>
      <c r="F180" s="0" t="n">
        <f aca="false">IF(AND(食数記録!$A180=プレビュー!$C$3,食数記録!$B180="夕",食数記録!$F180="男性入所",食数記録!$D180="欠食"),1,0)</f>
        <v>0</v>
      </c>
      <c r="G180" s="0" t="str">
        <f aca="false">IF(F180=1,SUM($F$2:F180),"")</f>
        <v/>
      </c>
      <c r="H180" s="0" t="n">
        <f aca="false">IF(AND(食数記録!$A180=プレビュー!$C$3,食数記録!$B180="朝",食数記録!$F180="女性入所",食数記録!$D180="欠食"),1,0)</f>
        <v>0</v>
      </c>
      <c r="I180" s="0" t="str">
        <f aca="false">IF(H180=1,SUM($H$2:H180),"")</f>
        <v/>
      </c>
      <c r="J180" s="0" t="n">
        <f aca="false">IF(AND(食数記録!$A180=プレビュー!$C$3,食数記録!$B180="昼",食数記録!$F180="女性入所",食数記録!$D180="欠食"),1,0)</f>
        <v>0</v>
      </c>
      <c r="K180" s="0" t="str">
        <f aca="false">IF(J180=1,SUM($J$2:J180),"")</f>
        <v/>
      </c>
      <c r="L180" s="0" t="n">
        <f aca="false">IF(AND(食数記録!$A180=プレビュー!$C$3,食数記録!$B180="夕",食数記録!$F180="女性入所",食数記録!$D180="欠食"),1,0)</f>
        <v>0</v>
      </c>
      <c r="M180" s="0" t="str">
        <f aca="false">IF(L180=1,SUM($L$2:L180),"")</f>
        <v/>
      </c>
      <c r="N180" s="0" t="n">
        <f aca="false">IF(AND(食数記録!$A180=プレビュー!$C$3,食数記録!$B180="朝",食数記録!$F180="男性GH",食数記録!$D180="臨時喫食"),1,0)</f>
        <v>0</v>
      </c>
      <c r="O180" s="0" t="str">
        <f aca="false">IF(N180=1,SUM($N$2:N180),"")</f>
        <v/>
      </c>
      <c r="P180" s="0" t="n">
        <f aca="false">IF(AND(食数記録!$A180=プレビュー!$C$3,食数記録!$B180="昼",食数記録!$F180="男性GH",食数記録!$D180="臨時喫食"),1,0)</f>
        <v>0</v>
      </c>
      <c r="Q180" s="0" t="str">
        <f aca="false">IF(P180=1,SUM($P$2:P180),"")</f>
        <v/>
      </c>
      <c r="R180" s="0" t="n">
        <f aca="false">IF(AND(食数記録!$A180=プレビュー!$C$3,食数記録!$B180="夕",食数記録!$F180="男性GH",食数記録!$D180="臨時喫食"),1,0)</f>
        <v>0</v>
      </c>
      <c r="S180" s="0" t="str">
        <f aca="false">IF(R180=1,SUM($R$2:R180),"")</f>
        <v/>
      </c>
      <c r="T180" s="0" t="n">
        <f aca="false">IF(AND(食数記録!$A180=プレビュー!$C$3,食数記録!$B180="朝",食数記録!$F180="女性GH",食数記録!$D180="臨時喫食"),1,0)</f>
        <v>0</v>
      </c>
      <c r="U180" s="0" t="str">
        <f aca="false">IF(T180=1,SUM($T$2:T180),"")</f>
        <v/>
      </c>
      <c r="V180" s="0" t="n">
        <f aca="false">IF(AND(食数記録!$A180=プレビュー!$C$3,食数記録!$B180="昼",食数記録!$F180="女性GH",食数記録!$D180="臨時喫食"),1,0)</f>
        <v>0</v>
      </c>
      <c r="W180" s="0" t="str">
        <f aca="false">IF(V180=1,SUM($V$2:V180),"")</f>
        <v/>
      </c>
      <c r="X180" s="0" t="n">
        <f aca="false">IF(AND(食数記録!$A180=プレビュー!$C$3,食数記録!$B180="夕",食数記録!$F180="女性GH",食数記録!$D180="臨時喫食"),1,0)</f>
        <v>0</v>
      </c>
      <c r="Y180" s="0" t="str">
        <f aca="false">IF(X180=1,SUM($X$2:X180),"")</f>
        <v/>
      </c>
    </row>
    <row r="181" customFormat="false" ht="15" hidden="false" customHeight="false" outlineLevel="0" collapsed="false">
      <c r="B181" s="0" t="n">
        <f aca="false">IF(AND(食数記録!$A181=プレビュー!$C$3,食数記録!$B181="朝",食数記録!$F181="男性入所",食数記録!$D181="欠食"),1,0)</f>
        <v>0</v>
      </c>
      <c r="C181" s="0" t="str">
        <f aca="false">IF(B181=1,SUM($B$2:B181),"")</f>
        <v/>
      </c>
      <c r="D181" s="0" t="n">
        <f aca="false">IF(AND(食数記録!$A181=プレビュー!$C$3,食数記録!$B181="昼",食数記録!$F181="男性入所",食数記録!$D181="欠食"),1,0)</f>
        <v>0</v>
      </c>
      <c r="E181" s="0" t="str">
        <f aca="false">IF(D181=1,SUM($D$2:D181),"")</f>
        <v/>
      </c>
      <c r="F181" s="0" t="n">
        <f aca="false">IF(AND(食数記録!$A181=プレビュー!$C$3,食数記録!$B181="夕",食数記録!$F181="男性入所",食数記録!$D181="欠食"),1,0)</f>
        <v>0</v>
      </c>
      <c r="G181" s="0" t="str">
        <f aca="false">IF(F181=1,SUM($F$2:F181),"")</f>
        <v/>
      </c>
      <c r="H181" s="0" t="n">
        <f aca="false">IF(AND(食数記録!$A181=プレビュー!$C$3,食数記録!$B181="朝",食数記録!$F181="女性入所",食数記録!$D181="欠食"),1,0)</f>
        <v>0</v>
      </c>
      <c r="I181" s="0" t="str">
        <f aca="false">IF(H181=1,SUM($H$2:H181),"")</f>
        <v/>
      </c>
      <c r="J181" s="0" t="n">
        <f aca="false">IF(AND(食数記録!$A181=プレビュー!$C$3,食数記録!$B181="昼",食数記録!$F181="女性入所",食数記録!$D181="欠食"),1,0)</f>
        <v>0</v>
      </c>
      <c r="K181" s="0" t="str">
        <f aca="false">IF(J181=1,SUM($J$2:J181),"")</f>
        <v/>
      </c>
      <c r="L181" s="0" t="n">
        <f aca="false">IF(AND(食数記録!$A181=プレビュー!$C$3,食数記録!$B181="夕",食数記録!$F181="女性入所",食数記録!$D181="欠食"),1,0)</f>
        <v>0</v>
      </c>
      <c r="M181" s="0" t="str">
        <f aca="false">IF(L181=1,SUM($L$2:L181),"")</f>
        <v/>
      </c>
      <c r="N181" s="0" t="n">
        <f aca="false">IF(AND(食数記録!$A181=プレビュー!$C$3,食数記録!$B181="朝",食数記録!$F181="男性GH",食数記録!$D181="臨時喫食"),1,0)</f>
        <v>0</v>
      </c>
      <c r="O181" s="0" t="str">
        <f aca="false">IF(N181=1,SUM($N$2:N181),"")</f>
        <v/>
      </c>
      <c r="P181" s="0" t="n">
        <f aca="false">IF(AND(食数記録!$A181=プレビュー!$C$3,食数記録!$B181="昼",食数記録!$F181="男性GH",食数記録!$D181="臨時喫食"),1,0)</f>
        <v>0</v>
      </c>
      <c r="Q181" s="0" t="str">
        <f aca="false">IF(P181=1,SUM($P$2:P181),"")</f>
        <v/>
      </c>
      <c r="R181" s="0" t="n">
        <f aca="false">IF(AND(食数記録!$A181=プレビュー!$C$3,食数記録!$B181="夕",食数記録!$F181="男性GH",食数記録!$D181="臨時喫食"),1,0)</f>
        <v>0</v>
      </c>
      <c r="S181" s="0" t="str">
        <f aca="false">IF(R181=1,SUM($R$2:R181),"")</f>
        <v/>
      </c>
      <c r="T181" s="0" t="n">
        <f aca="false">IF(AND(食数記録!$A181=プレビュー!$C$3,食数記録!$B181="朝",食数記録!$F181="女性GH",食数記録!$D181="臨時喫食"),1,0)</f>
        <v>0</v>
      </c>
      <c r="U181" s="0" t="str">
        <f aca="false">IF(T181=1,SUM($T$2:T181),"")</f>
        <v/>
      </c>
      <c r="V181" s="0" t="n">
        <f aca="false">IF(AND(食数記録!$A181=プレビュー!$C$3,食数記録!$B181="昼",食数記録!$F181="女性GH",食数記録!$D181="臨時喫食"),1,0)</f>
        <v>0</v>
      </c>
      <c r="W181" s="0" t="str">
        <f aca="false">IF(V181=1,SUM($V$2:V181),"")</f>
        <v/>
      </c>
      <c r="X181" s="0" t="n">
        <f aca="false">IF(AND(食数記録!$A181=プレビュー!$C$3,食数記録!$B181="夕",食数記録!$F181="女性GH",食数記録!$D181="臨時喫食"),1,0)</f>
        <v>0</v>
      </c>
      <c r="Y181" s="0" t="str">
        <f aca="false">IF(X181=1,SUM($X$2:X181),"")</f>
        <v/>
      </c>
    </row>
    <row r="182" customFormat="false" ht="15" hidden="false" customHeight="false" outlineLevel="0" collapsed="false">
      <c r="B182" s="0" t="n">
        <f aca="false">IF(AND(食数記録!$A182=プレビュー!$C$3,食数記録!$B182="朝",食数記録!$F182="男性入所",食数記録!$D182="欠食"),1,0)</f>
        <v>0</v>
      </c>
      <c r="C182" s="0" t="str">
        <f aca="false">IF(B182=1,SUM($B$2:B182),"")</f>
        <v/>
      </c>
      <c r="D182" s="0" t="n">
        <f aca="false">IF(AND(食数記録!$A182=プレビュー!$C$3,食数記録!$B182="昼",食数記録!$F182="男性入所",食数記録!$D182="欠食"),1,0)</f>
        <v>0</v>
      </c>
      <c r="E182" s="0" t="str">
        <f aca="false">IF(D182=1,SUM($D$2:D182),"")</f>
        <v/>
      </c>
      <c r="F182" s="0" t="n">
        <f aca="false">IF(AND(食数記録!$A182=プレビュー!$C$3,食数記録!$B182="夕",食数記録!$F182="男性入所",食数記録!$D182="欠食"),1,0)</f>
        <v>0</v>
      </c>
      <c r="G182" s="0" t="str">
        <f aca="false">IF(F182=1,SUM($F$2:F182),"")</f>
        <v/>
      </c>
      <c r="H182" s="0" t="n">
        <f aca="false">IF(AND(食数記録!$A182=プレビュー!$C$3,食数記録!$B182="朝",食数記録!$F182="女性入所",食数記録!$D182="欠食"),1,0)</f>
        <v>0</v>
      </c>
      <c r="I182" s="0" t="str">
        <f aca="false">IF(H182=1,SUM($H$2:H182),"")</f>
        <v/>
      </c>
      <c r="J182" s="0" t="n">
        <f aca="false">IF(AND(食数記録!$A182=プレビュー!$C$3,食数記録!$B182="昼",食数記録!$F182="女性入所",食数記録!$D182="欠食"),1,0)</f>
        <v>0</v>
      </c>
      <c r="K182" s="0" t="str">
        <f aca="false">IF(J182=1,SUM($J$2:J182),"")</f>
        <v/>
      </c>
      <c r="L182" s="0" t="n">
        <f aca="false">IF(AND(食数記録!$A182=プレビュー!$C$3,食数記録!$B182="夕",食数記録!$F182="女性入所",食数記録!$D182="欠食"),1,0)</f>
        <v>0</v>
      </c>
      <c r="M182" s="0" t="str">
        <f aca="false">IF(L182=1,SUM($L$2:L182),"")</f>
        <v/>
      </c>
      <c r="N182" s="0" t="n">
        <f aca="false">IF(AND(食数記録!$A182=プレビュー!$C$3,食数記録!$B182="朝",食数記録!$F182="男性GH",食数記録!$D182="臨時喫食"),1,0)</f>
        <v>0</v>
      </c>
      <c r="O182" s="0" t="str">
        <f aca="false">IF(N182=1,SUM($N$2:N182),"")</f>
        <v/>
      </c>
      <c r="P182" s="0" t="n">
        <f aca="false">IF(AND(食数記録!$A182=プレビュー!$C$3,食数記録!$B182="昼",食数記録!$F182="男性GH",食数記録!$D182="臨時喫食"),1,0)</f>
        <v>0</v>
      </c>
      <c r="Q182" s="0" t="str">
        <f aca="false">IF(P182=1,SUM($P$2:P182),"")</f>
        <v/>
      </c>
      <c r="R182" s="0" t="n">
        <f aca="false">IF(AND(食数記録!$A182=プレビュー!$C$3,食数記録!$B182="夕",食数記録!$F182="男性GH",食数記録!$D182="臨時喫食"),1,0)</f>
        <v>0</v>
      </c>
      <c r="S182" s="0" t="str">
        <f aca="false">IF(R182=1,SUM($R$2:R182),"")</f>
        <v/>
      </c>
      <c r="T182" s="0" t="n">
        <f aca="false">IF(AND(食数記録!$A182=プレビュー!$C$3,食数記録!$B182="朝",食数記録!$F182="女性GH",食数記録!$D182="臨時喫食"),1,0)</f>
        <v>0</v>
      </c>
      <c r="U182" s="0" t="str">
        <f aca="false">IF(T182=1,SUM($T$2:T182),"")</f>
        <v/>
      </c>
      <c r="V182" s="0" t="n">
        <f aca="false">IF(AND(食数記録!$A182=プレビュー!$C$3,食数記録!$B182="昼",食数記録!$F182="女性GH",食数記録!$D182="臨時喫食"),1,0)</f>
        <v>0</v>
      </c>
      <c r="W182" s="0" t="str">
        <f aca="false">IF(V182=1,SUM($V$2:V182),"")</f>
        <v/>
      </c>
      <c r="X182" s="0" t="n">
        <f aca="false">IF(AND(食数記録!$A182=プレビュー!$C$3,食数記録!$B182="夕",食数記録!$F182="女性GH",食数記録!$D182="臨時喫食"),1,0)</f>
        <v>0</v>
      </c>
      <c r="Y182" s="0" t="str">
        <f aca="false">IF(X182=1,SUM($X$2:X182),"")</f>
        <v/>
      </c>
    </row>
    <row r="183" customFormat="false" ht="15" hidden="false" customHeight="false" outlineLevel="0" collapsed="false">
      <c r="B183" s="0" t="n">
        <f aca="false">IF(AND(食数記録!$A183=プレビュー!$C$3,食数記録!$B183="朝",食数記録!$F183="男性入所",食数記録!$D183="欠食"),1,0)</f>
        <v>0</v>
      </c>
      <c r="C183" s="0" t="str">
        <f aca="false">IF(B183=1,SUM($B$2:B183),"")</f>
        <v/>
      </c>
      <c r="D183" s="0" t="n">
        <f aca="false">IF(AND(食数記録!$A183=プレビュー!$C$3,食数記録!$B183="昼",食数記録!$F183="男性入所",食数記録!$D183="欠食"),1,0)</f>
        <v>0</v>
      </c>
      <c r="E183" s="0" t="str">
        <f aca="false">IF(D183=1,SUM($D$2:D183),"")</f>
        <v/>
      </c>
      <c r="F183" s="0" t="n">
        <f aca="false">IF(AND(食数記録!$A183=プレビュー!$C$3,食数記録!$B183="夕",食数記録!$F183="男性入所",食数記録!$D183="欠食"),1,0)</f>
        <v>0</v>
      </c>
      <c r="G183" s="0" t="str">
        <f aca="false">IF(F183=1,SUM($F$2:F183),"")</f>
        <v/>
      </c>
      <c r="H183" s="0" t="n">
        <f aca="false">IF(AND(食数記録!$A183=プレビュー!$C$3,食数記録!$B183="朝",食数記録!$F183="女性入所",食数記録!$D183="欠食"),1,0)</f>
        <v>0</v>
      </c>
      <c r="I183" s="0" t="str">
        <f aca="false">IF(H183=1,SUM($H$2:H183),"")</f>
        <v/>
      </c>
      <c r="J183" s="0" t="n">
        <f aca="false">IF(AND(食数記録!$A183=プレビュー!$C$3,食数記録!$B183="昼",食数記録!$F183="女性入所",食数記録!$D183="欠食"),1,0)</f>
        <v>0</v>
      </c>
      <c r="K183" s="0" t="str">
        <f aca="false">IF(J183=1,SUM($J$2:J183),"")</f>
        <v/>
      </c>
      <c r="L183" s="0" t="n">
        <f aca="false">IF(AND(食数記録!$A183=プレビュー!$C$3,食数記録!$B183="夕",食数記録!$F183="女性入所",食数記録!$D183="欠食"),1,0)</f>
        <v>0</v>
      </c>
      <c r="M183" s="0" t="str">
        <f aca="false">IF(L183=1,SUM($L$2:L183),"")</f>
        <v/>
      </c>
      <c r="N183" s="0" t="n">
        <f aca="false">IF(AND(食数記録!$A183=プレビュー!$C$3,食数記録!$B183="朝",食数記録!$F183="男性GH",食数記録!$D183="臨時喫食"),1,0)</f>
        <v>0</v>
      </c>
      <c r="O183" s="0" t="str">
        <f aca="false">IF(N183=1,SUM($N$2:N183),"")</f>
        <v/>
      </c>
      <c r="P183" s="0" t="n">
        <f aca="false">IF(AND(食数記録!$A183=プレビュー!$C$3,食数記録!$B183="昼",食数記録!$F183="男性GH",食数記録!$D183="臨時喫食"),1,0)</f>
        <v>0</v>
      </c>
      <c r="Q183" s="0" t="str">
        <f aca="false">IF(P183=1,SUM($P$2:P183),"")</f>
        <v/>
      </c>
      <c r="R183" s="0" t="n">
        <f aca="false">IF(AND(食数記録!$A183=プレビュー!$C$3,食数記録!$B183="夕",食数記録!$F183="男性GH",食数記録!$D183="臨時喫食"),1,0)</f>
        <v>0</v>
      </c>
      <c r="S183" s="0" t="str">
        <f aca="false">IF(R183=1,SUM($R$2:R183),"")</f>
        <v/>
      </c>
      <c r="T183" s="0" t="n">
        <f aca="false">IF(AND(食数記録!$A183=プレビュー!$C$3,食数記録!$B183="朝",食数記録!$F183="女性GH",食数記録!$D183="臨時喫食"),1,0)</f>
        <v>0</v>
      </c>
      <c r="U183" s="0" t="str">
        <f aca="false">IF(T183=1,SUM($T$2:T183),"")</f>
        <v/>
      </c>
      <c r="V183" s="0" t="n">
        <f aca="false">IF(AND(食数記録!$A183=プレビュー!$C$3,食数記録!$B183="昼",食数記録!$F183="女性GH",食数記録!$D183="臨時喫食"),1,0)</f>
        <v>0</v>
      </c>
      <c r="W183" s="0" t="str">
        <f aca="false">IF(V183=1,SUM($V$2:V183),"")</f>
        <v/>
      </c>
      <c r="X183" s="0" t="n">
        <f aca="false">IF(AND(食数記録!$A183=プレビュー!$C$3,食数記録!$B183="夕",食数記録!$F183="女性GH",食数記録!$D183="臨時喫食"),1,0)</f>
        <v>0</v>
      </c>
      <c r="Y183" s="0" t="str">
        <f aca="false">IF(X183=1,SUM($X$2:X183),"")</f>
        <v/>
      </c>
    </row>
    <row r="184" customFormat="false" ht="15" hidden="false" customHeight="false" outlineLevel="0" collapsed="false">
      <c r="B184" s="0" t="n">
        <f aca="false">IF(AND(食数記録!$A184=プレビュー!$C$3,食数記録!$B184="朝",食数記録!$F184="男性入所",食数記録!$D184="欠食"),1,0)</f>
        <v>0</v>
      </c>
      <c r="C184" s="0" t="str">
        <f aca="false">IF(B184=1,SUM($B$2:B184),"")</f>
        <v/>
      </c>
      <c r="D184" s="0" t="n">
        <f aca="false">IF(AND(食数記録!$A184=プレビュー!$C$3,食数記録!$B184="昼",食数記録!$F184="男性入所",食数記録!$D184="欠食"),1,0)</f>
        <v>0</v>
      </c>
      <c r="E184" s="0" t="str">
        <f aca="false">IF(D184=1,SUM($D$2:D184),"")</f>
        <v/>
      </c>
      <c r="F184" s="0" t="n">
        <f aca="false">IF(AND(食数記録!$A184=プレビュー!$C$3,食数記録!$B184="夕",食数記録!$F184="男性入所",食数記録!$D184="欠食"),1,0)</f>
        <v>0</v>
      </c>
      <c r="G184" s="0" t="str">
        <f aca="false">IF(F184=1,SUM($F$2:F184),"")</f>
        <v/>
      </c>
      <c r="H184" s="0" t="n">
        <f aca="false">IF(AND(食数記録!$A184=プレビュー!$C$3,食数記録!$B184="朝",食数記録!$F184="女性入所",食数記録!$D184="欠食"),1,0)</f>
        <v>0</v>
      </c>
      <c r="I184" s="0" t="str">
        <f aca="false">IF(H184=1,SUM($H$2:H184),"")</f>
        <v/>
      </c>
      <c r="J184" s="0" t="n">
        <f aca="false">IF(AND(食数記録!$A184=プレビュー!$C$3,食数記録!$B184="昼",食数記録!$F184="女性入所",食数記録!$D184="欠食"),1,0)</f>
        <v>0</v>
      </c>
      <c r="K184" s="0" t="str">
        <f aca="false">IF(J184=1,SUM($J$2:J184),"")</f>
        <v/>
      </c>
      <c r="L184" s="0" t="n">
        <f aca="false">IF(AND(食数記録!$A184=プレビュー!$C$3,食数記録!$B184="夕",食数記録!$F184="女性入所",食数記録!$D184="欠食"),1,0)</f>
        <v>0</v>
      </c>
      <c r="M184" s="0" t="str">
        <f aca="false">IF(L184=1,SUM($L$2:L184),"")</f>
        <v/>
      </c>
      <c r="N184" s="0" t="n">
        <f aca="false">IF(AND(食数記録!$A184=プレビュー!$C$3,食数記録!$B184="朝",食数記録!$F184="男性GH",食数記録!$D184="臨時喫食"),1,0)</f>
        <v>0</v>
      </c>
      <c r="O184" s="0" t="str">
        <f aca="false">IF(N184=1,SUM($N$2:N184),"")</f>
        <v/>
      </c>
      <c r="P184" s="0" t="n">
        <f aca="false">IF(AND(食数記録!$A184=プレビュー!$C$3,食数記録!$B184="昼",食数記録!$F184="男性GH",食数記録!$D184="臨時喫食"),1,0)</f>
        <v>0</v>
      </c>
      <c r="Q184" s="0" t="str">
        <f aca="false">IF(P184=1,SUM($P$2:P184),"")</f>
        <v/>
      </c>
      <c r="R184" s="0" t="n">
        <f aca="false">IF(AND(食数記録!$A184=プレビュー!$C$3,食数記録!$B184="夕",食数記録!$F184="男性GH",食数記録!$D184="臨時喫食"),1,0)</f>
        <v>0</v>
      </c>
      <c r="S184" s="0" t="str">
        <f aca="false">IF(R184=1,SUM($R$2:R184),"")</f>
        <v/>
      </c>
      <c r="T184" s="0" t="n">
        <f aca="false">IF(AND(食数記録!$A184=プレビュー!$C$3,食数記録!$B184="朝",食数記録!$F184="女性GH",食数記録!$D184="臨時喫食"),1,0)</f>
        <v>0</v>
      </c>
      <c r="U184" s="0" t="str">
        <f aca="false">IF(T184=1,SUM($T$2:T184),"")</f>
        <v/>
      </c>
      <c r="V184" s="0" t="n">
        <f aca="false">IF(AND(食数記録!$A184=プレビュー!$C$3,食数記録!$B184="昼",食数記録!$F184="女性GH",食数記録!$D184="臨時喫食"),1,0)</f>
        <v>0</v>
      </c>
      <c r="W184" s="0" t="str">
        <f aca="false">IF(V184=1,SUM($V$2:V184),"")</f>
        <v/>
      </c>
      <c r="X184" s="0" t="n">
        <f aca="false">IF(AND(食数記録!$A184=プレビュー!$C$3,食数記録!$B184="夕",食数記録!$F184="女性GH",食数記録!$D184="臨時喫食"),1,0)</f>
        <v>0</v>
      </c>
      <c r="Y184" s="0" t="str">
        <f aca="false">IF(X184=1,SUM($X$2:X184),"")</f>
        <v/>
      </c>
    </row>
    <row r="185" customFormat="false" ht="15" hidden="false" customHeight="false" outlineLevel="0" collapsed="false">
      <c r="B185" s="0" t="n">
        <f aca="false">IF(AND(食数記録!$A185=プレビュー!$C$3,食数記録!$B185="朝",食数記録!$F185="男性入所",食数記録!$D185="欠食"),1,0)</f>
        <v>0</v>
      </c>
      <c r="C185" s="0" t="str">
        <f aca="false">IF(B185=1,SUM($B$2:B185),"")</f>
        <v/>
      </c>
      <c r="D185" s="0" t="n">
        <f aca="false">IF(AND(食数記録!$A185=プレビュー!$C$3,食数記録!$B185="昼",食数記録!$F185="男性入所",食数記録!$D185="欠食"),1,0)</f>
        <v>0</v>
      </c>
      <c r="E185" s="0" t="str">
        <f aca="false">IF(D185=1,SUM($D$2:D185),"")</f>
        <v/>
      </c>
      <c r="F185" s="0" t="n">
        <f aca="false">IF(AND(食数記録!$A185=プレビュー!$C$3,食数記録!$B185="夕",食数記録!$F185="男性入所",食数記録!$D185="欠食"),1,0)</f>
        <v>0</v>
      </c>
      <c r="G185" s="0" t="str">
        <f aca="false">IF(F185=1,SUM($F$2:F185),"")</f>
        <v/>
      </c>
      <c r="H185" s="0" t="n">
        <f aca="false">IF(AND(食数記録!$A185=プレビュー!$C$3,食数記録!$B185="朝",食数記録!$F185="女性入所",食数記録!$D185="欠食"),1,0)</f>
        <v>0</v>
      </c>
      <c r="I185" s="0" t="str">
        <f aca="false">IF(H185=1,SUM($H$2:H185),"")</f>
        <v/>
      </c>
      <c r="J185" s="0" t="n">
        <f aca="false">IF(AND(食数記録!$A185=プレビュー!$C$3,食数記録!$B185="昼",食数記録!$F185="女性入所",食数記録!$D185="欠食"),1,0)</f>
        <v>0</v>
      </c>
      <c r="K185" s="0" t="str">
        <f aca="false">IF(J185=1,SUM($J$2:J185),"")</f>
        <v/>
      </c>
      <c r="L185" s="0" t="n">
        <f aca="false">IF(AND(食数記録!$A185=プレビュー!$C$3,食数記録!$B185="夕",食数記録!$F185="女性入所",食数記録!$D185="欠食"),1,0)</f>
        <v>0</v>
      </c>
      <c r="M185" s="0" t="str">
        <f aca="false">IF(L185=1,SUM($L$2:L185),"")</f>
        <v/>
      </c>
      <c r="N185" s="0" t="n">
        <f aca="false">IF(AND(食数記録!$A185=プレビュー!$C$3,食数記録!$B185="朝",食数記録!$F185="男性GH",食数記録!$D185="臨時喫食"),1,0)</f>
        <v>0</v>
      </c>
      <c r="O185" s="0" t="str">
        <f aca="false">IF(N185=1,SUM($N$2:N185),"")</f>
        <v/>
      </c>
      <c r="P185" s="0" t="n">
        <f aca="false">IF(AND(食数記録!$A185=プレビュー!$C$3,食数記録!$B185="昼",食数記録!$F185="男性GH",食数記録!$D185="臨時喫食"),1,0)</f>
        <v>0</v>
      </c>
      <c r="Q185" s="0" t="str">
        <f aca="false">IF(P185=1,SUM($P$2:P185),"")</f>
        <v/>
      </c>
      <c r="R185" s="0" t="n">
        <f aca="false">IF(AND(食数記録!$A185=プレビュー!$C$3,食数記録!$B185="夕",食数記録!$F185="男性GH",食数記録!$D185="臨時喫食"),1,0)</f>
        <v>0</v>
      </c>
      <c r="S185" s="0" t="str">
        <f aca="false">IF(R185=1,SUM($R$2:R185),"")</f>
        <v/>
      </c>
      <c r="T185" s="0" t="n">
        <f aca="false">IF(AND(食数記録!$A185=プレビュー!$C$3,食数記録!$B185="朝",食数記録!$F185="女性GH",食数記録!$D185="臨時喫食"),1,0)</f>
        <v>0</v>
      </c>
      <c r="U185" s="0" t="str">
        <f aca="false">IF(T185=1,SUM($T$2:T185),"")</f>
        <v/>
      </c>
      <c r="V185" s="0" t="n">
        <f aca="false">IF(AND(食数記録!$A185=プレビュー!$C$3,食数記録!$B185="昼",食数記録!$F185="女性GH",食数記録!$D185="臨時喫食"),1,0)</f>
        <v>0</v>
      </c>
      <c r="W185" s="0" t="str">
        <f aca="false">IF(V185=1,SUM($V$2:V185),"")</f>
        <v/>
      </c>
      <c r="X185" s="0" t="n">
        <f aca="false">IF(AND(食数記録!$A185=プレビュー!$C$3,食数記録!$B185="夕",食数記録!$F185="女性GH",食数記録!$D185="臨時喫食"),1,0)</f>
        <v>0</v>
      </c>
      <c r="Y185" s="0" t="str">
        <f aca="false">IF(X185=1,SUM($X$2:X185),"")</f>
        <v/>
      </c>
    </row>
    <row r="186" customFormat="false" ht="15" hidden="false" customHeight="false" outlineLevel="0" collapsed="false">
      <c r="B186" s="0" t="n">
        <f aca="false">IF(AND(食数記録!$A186=プレビュー!$C$3,食数記録!$B186="朝",食数記録!$F186="男性入所",食数記録!$D186="欠食"),1,0)</f>
        <v>0</v>
      </c>
      <c r="C186" s="0" t="str">
        <f aca="false">IF(B186=1,SUM($B$2:B186),"")</f>
        <v/>
      </c>
      <c r="D186" s="0" t="n">
        <f aca="false">IF(AND(食数記録!$A186=プレビュー!$C$3,食数記録!$B186="昼",食数記録!$F186="男性入所",食数記録!$D186="欠食"),1,0)</f>
        <v>0</v>
      </c>
      <c r="E186" s="0" t="str">
        <f aca="false">IF(D186=1,SUM($D$2:D186),"")</f>
        <v/>
      </c>
      <c r="F186" s="0" t="n">
        <f aca="false">IF(AND(食数記録!$A186=プレビュー!$C$3,食数記録!$B186="夕",食数記録!$F186="男性入所",食数記録!$D186="欠食"),1,0)</f>
        <v>0</v>
      </c>
      <c r="G186" s="0" t="str">
        <f aca="false">IF(F186=1,SUM($F$2:F186),"")</f>
        <v/>
      </c>
      <c r="H186" s="0" t="n">
        <f aca="false">IF(AND(食数記録!$A186=プレビュー!$C$3,食数記録!$B186="朝",食数記録!$F186="女性入所",食数記録!$D186="欠食"),1,0)</f>
        <v>0</v>
      </c>
      <c r="I186" s="0" t="str">
        <f aca="false">IF(H186=1,SUM($H$2:H186),"")</f>
        <v/>
      </c>
      <c r="J186" s="0" t="n">
        <f aca="false">IF(AND(食数記録!$A186=プレビュー!$C$3,食数記録!$B186="昼",食数記録!$F186="女性入所",食数記録!$D186="欠食"),1,0)</f>
        <v>0</v>
      </c>
      <c r="K186" s="0" t="str">
        <f aca="false">IF(J186=1,SUM($J$2:J186),"")</f>
        <v/>
      </c>
      <c r="L186" s="0" t="n">
        <f aca="false">IF(AND(食数記録!$A186=プレビュー!$C$3,食数記録!$B186="夕",食数記録!$F186="女性入所",食数記録!$D186="欠食"),1,0)</f>
        <v>0</v>
      </c>
      <c r="M186" s="0" t="str">
        <f aca="false">IF(L186=1,SUM($L$2:L186),"")</f>
        <v/>
      </c>
      <c r="N186" s="0" t="n">
        <f aca="false">IF(AND(食数記録!$A186=プレビュー!$C$3,食数記録!$B186="朝",食数記録!$F186="男性GH",食数記録!$D186="臨時喫食"),1,0)</f>
        <v>0</v>
      </c>
      <c r="O186" s="0" t="str">
        <f aca="false">IF(N186=1,SUM($N$2:N186),"")</f>
        <v/>
      </c>
      <c r="P186" s="0" t="n">
        <f aca="false">IF(AND(食数記録!$A186=プレビュー!$C$3,食数記録!$B186="昼",食数記録!$F186="男性GH",食数記録!$D186="臨時喫食"),1,0)</f>
        <v>0</v>
      </c>
      <c r="Q186" s="0" t="str">
        <f aca="false">IF(P186=1,SUM($P$2:P186),"")</f>
        <v/>
      </c>
      <c r="R186" s="0" t="n">
        <f aca="false">IF(AND(食数記録!$A186=プレビュー!$C$3,食数記録!$B186="夕",食数記録!$F186="男性GH",食数記録!$D186="臨時喫食"),1,0)</f>
        <v>0</v>
      </c>
      <c r="S186" s="0" t="str">
        <f aca="false">IF(R186=1,SUM($R$2:R186),"")</f>
        <v/>
      </c>
      <c r="T186" s="0" t="n">
        <f aca="false">IF(AND(食数記録!$A186=プレビュー!$C$3,食数記録!$B186="朝",食数記録!$F186="女性GH",食数記録!$D186="臨時喫食"),1,0)</f>
        <v>0</v>
      </c>
      <c r="U186" s="0" t="str">
        <f aca="false">IF(T186=1,SUM($T$2:T186),"")</f>
        <v/>
      </c>
      <c r="V186" s="0" t="n">
        <f aca="false">IF(AND(食数記録!$A186=プレビュー!$C$3,食数記録!$B186="昼",食数記録!$F186="女性GH",食数記録!$D186="臨時喫食"),1,0)</f>
        <v>0</v>
      </c>
      <c r="W186" s="0" t="str">
        <f aca="false">IF(V186=1,SUM($V$2:V186),"")</f>
        <v/>
      </c>
      <c r="X186" s="0" t="n">
        <f aca="false">IF(AND(食数記録!$A186=プレビュー!$C$3,食数記録!$B186="夕",食数記録!$F186="女性GH",食数記録!$D186="臨時喫食"),1,0)</f>
        <v>0</v>
      </c>
      <c r="Y186" s="0" t="str">
        <f aca="false">IF(X186=1,SUM($X$2:X186),"")</f>
        <v/>
      </c>
    </row>
    <row r="187" customFormat="false" ht="15" hidden="false" customHeight="false" outlineLevel="0" collapsed="false">
      <c r="B187" s="0" t="n">
        <f aca="false">IF(AND(食数記録!$A187=プレビュー!$C$3,食数記録!$B187="朝",食数記録!$F187="男性入所",食数記録!$D187="欠食"),1,0)</f>
        <v>0</v>
      </c>
      <c r="C187" s="0" t="str">
        <f aca="false">IF(B187=1,SUM($B$2:B187),"")</f>
        <v/>
      </c>
      <c r="D187" s="0" t="n">
        <f aca="false">IF(AND(食数記録!$A187=プレビュー!$C$3,食数記録!$B187="昼",食数記録!$F187="男性入所",食数記録!$D187="欠食"),1,0)</f>
        <v>0</v>
      </c>
      <c r="E187" s="0" t="str">
        <f aca="false">IF(D187=1,SUM($D$2:D187),"")</f>
        <v/>
      </c>
      <c r="F187" s="0" t="n">
        <f aca="false">IF(AND(食数記録!$A187=プレビュー!$C$3,食数記録!$B187="夕",食数記録!$F187="男性入所",食数記録!$D187="欠食"),1,0)</f>
        <v>0</v>
      </c>
      <c r="G187" s="0" t="str">
        <f aca="false">IF(F187=1,SUM($F$2:F187),"")</f>
        <v/>
      </c>
      <c r="H187" s="0" t="n">
        <f aca="false">IF(AND(食数記録!$A187=プレビュー!$C$3,食数記録!$B187="朝",食数記録!$F187="女性入所",食数記録!$D187="欠食"),1,0)</f>
        <v>0</v>
      </c>
      <c r="I187" s="0" t="str">
        <f aca="false">IF(H187=1,SUM($H$2:H187),"")</f>
        <v/>
      </c>
      <c r="J187" s="0" t="n">
        <f aca="false">IF(AND(食数記録!$A187=プレビュー!$C$3,食数記録!$B187="昼",食数記録!$F187="女性入所",食数記録!$D187="欠食"),1,0)</f>
        <v>0</v>
      </c>
      <c r="K187" s="0" t="str">
        <f aca="false">IF(J187=1,SUM($J$2:J187),"")</f>
        <v/>
      </c>
      <c r="L187" s="0" t="n">
        <f aca="false">IF(AND(食数記録!$A187=プレビュー!$C$3,食数記録!$B187="夕",食数記録!$F187="女性入所",食数記録!$D187="欠食"),1,0)</f>
        <v>0</v>
      </c>
      <c r="M187" s="0" t="str">
        <f aca="false">IF(L187=1,SUM($L$2:L187),"")</f>
        <v/>
      </c>
      <c r="N187" s="0" t="n">
        <f aca="false">IF(AND(食数記録!$A187=プレビュー!$C$3,食数記録!$B187="朝",食数記録!$F187="男性GH",食数記録!$D187="臨時喫食"),1,0)</f>
        <v>0</v>
      </c>
      <c r="O187" s="0" t="str">
        <f aca="false">IF(N187=1,SUM($N$2:N187),"")</f>
        <v/>
      </c>
      <c r="P187" s="0" t="n">
        <f aca="false">IF(AND(食数記録!$A187=プレビュー!$C$3,食数記録!$B187="昼",食数記録!$F187="男性GH",食数記録!$D187="臨時喫食"),1,0)</f>
        <v>0</v>
      </c>
      <c r="Q187" s="0" t="str">
        <f aca="false">IF(P187=1,SUM($P$2:P187),"")</f>
        <v/>
      </c>
      <c r="R187" s="0" t="n">
        <f aca="false">IF(AND(食数記録!$A187=プレビュー!$C$3,食数記録!$B187="夕",食数記録!$F187="男性GH",食数記録!$D187="臨時喫食"),1,0)</f>
        <v>0</v>
      </c>
      <c r="S187" s="0" t="str">
        <f aca="false">IF(R187=1,SUM($R$2:R187),"")</f>
        <v/>
      </c>
      <c r="T187" s="0" t="n">
        <f aca="false">IF(AND(食数記録!$A187=プレビュー!$C$3,食数記録!$B187="朝",食数記録!$F187="女性GH",食数記録!$D187="臨時喫食"),1,0)</f>
        <v>0</v>
      </c>
      <c r="U187" s="0" t="str">
        <f aca="false">IF(T187=1,SUM($T$2:T187),"")</f>
        <v/>
      </c>
      <c r="V187" s="0" t="n">
        <f aca="false">IF(AND(食数記録!$A187=プレビュー!$C$3,食数記録!$B187="昼",食数記録!$F187="女性GH",食数記録!$D187="臨時喫食"),1,0)</f>
        <v>0</v>
      </c>
      <c r="W187" s="0" t="str">
        <f aca="false">IF(V187=1,SUM($V$2:V187),"")</f>
        <v/>
      </c>
      <c r="X187" s="0" t="n">
        <f aca="false">IF(AND(食数記録!$A187=プレビュー!$C$3,食数記録!$B187="夕",食数記録!$F187="女性GH",食数記録!$D187="臨時喫食"),1,0)</f>
        <v>0</v>
      </c>
      <c r="Y187" s="0" t="str">
        <f aca="false">IF(X187=1,SUM($X$2:X187),"")</f>
        <v/>
      </c>
    </row>
    <row r="188" customFormat="false" ht="15" hidden="false" customHeight="false" outlineLevel="0" collapsed="false">
      <c r="B188" s="0" t="n">
        <f aca="false">IF(AND(食数記録!$A188=プレビュー!$C$3,食数記録!$B188="朝",食数記録!$F188="男性入所",食数記録!$D188="欠食"),1,0)</f>
        <v>0</v>
      </c>
      <c r="C188" s="0" t="str">
        <f aca="false">IF(B188=1,SUM($B$2:B188),"")</f>
        <v/>
      </c>
      <c r="D188" s="0" t="n">
        <f aca="false">IF(AND(食数記録!$A188=プレビュー!$C$3,食数記録!$B188="昼",食数記録!$F188="男性入所",食数記録!$D188="欠食"),1,0)</f>
        <v>0</v>
      </c>
      <c r="E188" s="0" t="str">
        <f aca="false">IF(D188=1,SUM($D$2:D188),"")</f>
        <v/>
      </c>
      <c r="F188" s="0" t="n">
        <f aca="false">IF(AND(食数記録!$A188=プレビュー!$C$3,食数記録!$B188="夕",食数記録!$F188="男性入所",食数記録!$D188="欠食"),1,0)</f>
        <v>0</v>
      </c>
      <c r="G188" s="0" t="str">
        <f aca="false">IF(F188=1,SUM($F$2:F188),"")</f>
        <v/>
      </c>
      <c r="H188" s="0" t="n">
        <f aca="false">IF(AND(食数記録!$A188=プレビュー!$C$3,食数記録!$B188="朝",食数記録!$F188="女性入所",食数記録!$D188="欠食"),1,0)</f>
        <v>0</v>
      </c>
      <c r="I188" s="0" t="str">
        <f aca="false">IF(H188=1,SUM($H$2:H188),"")</f>
        <v/>
      </c>
      <c r="J188" s="0" t="n">
        <f aca="false">IF(AND(食数記録!$A188=プレビュー!$C$3,食数記録!$B188="昼",食数記録!$F188="女性入所",食数記録!$D188="欠食"),1,0)</f>
        <v>0</v>
      </c>
      <c r="K188" s="0" t="str">
        <f aca="false">IF(J188=1,SUM($J$2:J188),"")</f>
        <v/>
      </c>
      <c r="L188" s="0" t="n">
        <f aca="false">IF(AND(食数記録!$A188=プレビュー!$C$3,食数記録!$B188="夕",食数記録!$F188="女性入所",食数記録!$D188="欠食"),1,0)</f>
        <v>0</v>
      </c>
      <c r="M188" s="0" t="str">
        <f aca="false">IF(L188=1,SUM($L$2:L188),"")</f>
        <v/>
      </c>
      <c r="N188" s="0" t="n">
        <f aca="false">IF(AND(食数記録!$A188=プレビュー!$C$3,食数記録!$B188="朝",食数記録!$F188="男性GH",食数記録!$D188="臨時喫食"),1,0)</f>
        <v>0</v>
      </c>
      <c r="O188" s="0" t="str">
        <f aca="false">IF(N188=1,SUM($N$2:N188),"")</f>
        <v/>
      </c>
      <c r="P188" s="0" t="n">
        <f aca="false">IF(AND(食数記録!$A188=プレビュー!$C$3,食数記録!$B188="昼",食数記録!$F188="男性GH",食数記録!$D188="臨時喫食"),1,0)</f>
        <v>0</v>
      </c>
      <c r="Q188" s="0" t="str">
        <f aca="false">IF(P188=1,SUM($P$2:P188),"")</f>
        <v/>
      </c>
      <c r="R188" s="0" t="n">
        <f aca="false">IF(AND(食数記録!$A188=プレビュー!$C$3,食数記録!$B188="夕",食数記録!$F188="男性GH",食数記録!$D188="臨時喫食"),1,0)</f>
        <v>0</v>
      </c>
      <c r="S188" s="0" t="str">
        <f aca="false">IF(R188=1,SUM($R$2:R188),"")</f>
        <v/>
      </c>
      <c r="T188" s="0" t="n">
        <f aca="false">IF(AND(食数記録!$A188=プレビュー!$C$3,食数記録!$B188="朝",食数記録!$F188="女性GH",食数記録!$D188="臨時喫食"),1,0)</f>
        <v>0</v>
      </c>
      <c r="U188" s="0" t="str">
        <f aca="false">IF(T188=1,SUM($T$2:T188),"")</f>
        <v/>
      </c>
      <c r="V188" s="0" t="n">
        <f aca="false">IF(AND(食数記録!$A188=プレビュー!$C$3,食数記録!$B188="昼",食数記録!$F188="女性GH",食数記録!$D188="臨時喫食"),1,0)</f>
        <v>0</v>
      </c>
      <c r="W188" s="0" t="str">
        <f aca="false">IF(V188=1,SUM($V$2:V188),"")</f>
        <v/>
      </c>
      <c r="X188" s="0" t="n">
        <f aca="false">IF(AND(食数記録!$A188=プレビュー!$C$3,食数記録!$B188="夕",食数記録!$F188="女性GH",食数記録!$D188="臨時喫食"),1,0)</f>
        <v>0</v>
      </c>
      <c r="Y188" s="0" t="str">
        <f aca="false">IF(X188=1,SUM($X$2:X188),"")</f>
        <v/>
      </c>
    </row>
    <row r="189" customFormat="false" ht="15" hidden="false" customHeight="false" outlineLevel="0" collapsed="false">
      <c r="B189" s="0" t="n">
        <f aca="false">IF(AND(食数記録!$A189=プレビュー!$C$3,食数記録!$B189="朝",食数記録!$F189="男性入所",食数記録!$D189="欠食"),1,0)</f>
        <v>0</v>
      </c>
      <c r="C189" s="0" t="str">
        <f aca="false">IF(B189=1,SUM($B$2:B189),"")</f>
        <v/>
      </c>
      <c r="D189" s="0" t="n">
        <f aca="false">IF(AND(食数記録!$A189=プレビュー!$C$3,食数記録!$B189="昼",食数記録!$F189="男性入所",食数記録!$D189="欠食"),1,0)</f>
        <v>0</v>
      </c>
      <c r="E189" s="0" t="str">
        <f aca="false">IF(D189=1,SUM($D$2:D189),"")</f>
        <v/>
      </c>
      <c r="F189" s="0" t="n">
        <f aca="false">IF(AND(食数記録!$A189=プレビュー!$C$3,食数記録!$B189="夕",食数記録!$F189="男性入所",食数記録!$D189="欠食"),1,0)</f>
        <v>0</v>
      </c>
      <c r="G189" s="0" t="str">
        <f aca="false">IF(F189=1,SUM($F$2:F189),"")</f>
        <v/>
      </c>
      <c r="H189" s="0" t="n">
        <f aca="false">IF(AND(食数記録!$A189=プレビュー!$C$3,食数記録!$B189="朝",食数記録!$F189="女性入所",食数記録!$D189="欠食"),1,0)</f>
        <v>0</v>
      </c>
      <c r="I189" s="0" t="str">
        <f aca="false">IF(H189=1,SUM($H$2:H189),"")</f>
        <v/>
      </c>
      <c r="J189" s="0" t="n">
        <f aca="false">IF(AND(食数記録!$A189=プレビュー!$C$3,食数記録!$B189="昼",食数記録!$F189="女性入所",食数記録!$D189="欠食"),1,0)</f>
        <v>0</v>
      </c>
      <c r="K189" s="0" t="str">
        <f aca="false">IF(J189=1,SUM($J$2:J189),"")</f>
        <v/>
      </c>
      <c r="L189" s="0" t="n">
        <f aca="false">IF(AND(食数記録!$A189=プレビュー!$C$3,食数記録!$B189="夕",食数記録!$F189="女性入所",食数記録!$D189="欠食"),1,0)</f>
        <v>0</v>
      </c>
      <c r="M189" s="0" t="str">
        <f aca="false">IF(L189=1,SUM($L$2:L189),"")</f>
        <v/>
      </c>
      <c r="N189" s="0" t="n">
        <f aca="false">IF(AND(食数記録!$A189=プレビュー!$C$3,食数記録!$B189="朝",食数記録!$F189="男性GH",食数記録!$D189="臨時喫食"),1,0)</f>
        <v>0</v>
      </c>
      <c r="O189" s="0" t="str">
        <f aca="false">IF(N189=1,SUM($N$2:N189),"")</f>
        <v/>
      </c>
      <c r="P189" s="0" t="n">
        <f aca="false">IF(AND(食数記録!$A189=プレビュー!$C$3,食数記録!$B189="昼",食数記録!$F189="男性GH",食数記録!$D189="臨時喫食"),1,0)</f>
        <v>0</v>
      </c>
      <c r="Q189" s="0" t="str">
        <f aca="false">IF(P189=1,SUM($P$2:P189),"")</f>
        <v/>
      </c>
      <c r="R189" s="0" t="n">
        <f aca="false">IF(AND(食数記録!$A189=プレビュー!$C$3,食数記録!$B189="夕",食数記録!$F189="男性GH",食数記録!$D189="臨時喫食"),1,0)</f>
        <v>0</v>
      </c>
      <c r="S189" s="0" t="str">
        <f aca="false">IF(R189=1,SUM($R$2:R189),"")</f>
        <v/>
      </c>
      <c r="T189" s="0" t="n">
        <f aca="false">IF(AND(食数記録!$A189=プレビュー!$C$3,食数記録!$B189="朝",食数記録!$F189="女性GH",食数記録!$D189="臨時喫食"),1,0)</f>
        <v>0</v>
      </c>
      <c r="U189" s="0" t="str">
        <f aca="false">IF(T189=1,SUM($T$2:T189),"")</f>
        <v/>
      </c>
      <c r="V189" s="0" t="n">
        <f aca="false">IF(AND(食数記録!$A189=プレビュー!$C$3,食数記録!$B189="昼",食数記録!$F189="女性GH",食数記録!$D189="臨時喫食"),1,0)</f>
        <v>0</v>
      </c>
      <c r="W189" s="0" t="str">
        <f aca="false">IF(V189=1,SUM($V$2:V189),"")</f>
        <v/>
      </c>
      <c r="X189" s="0" t="n">
        <f aca="false">IF(AND(食数記録!$A189=プレビュー!$C$3,食数記録!$B189="夕",食数記録!$F189="女性GH",食数記録!$D189="臨時喫食"),1,0)</f>
        <v>0</v>
      </c>
      <c r="Y189" s="0" t="str">
        <f aca="false">IF(X189=1,SUM($X$2:X189),"")</f>
        <v/>
      </c>
    </row>
    <row r="190" customFormat="false" ht="15" hidden="false" customHeight="false" outlineLevel="0" collapsed="false">
      <c r="B190" s="0" t="n">
        <f aca="false">IF(AND(食数記録!$A190=プレビュー!$C$3,食数記録!$B190="朝",食数記録!$F190="男性入所",食数記録!$D190="欠食"),1,0)</f>
        <v>0</v>
      </c>
      <c r="C190" s="0" t="str">
        <f aca="false">IF(B190=1,SUM($B$2:B190),"")</f>
        <v/>
      </c>
      <c r="D190" s="0" t="n">
        <f aca="false">IF(AND(食数記録!$A190=プレビュー!$C$3,食数記録!$B190="昼",食数記録!$F190="男性入所",食数記録!$D190="欠食"),1,0)</f>
        <v>0</v>
      </c>
      <c r="E190" s="0" t="str">
        <f aca="false">IF(D190=1,SUM($D$2:D190),"")</f>
        <v/>
      </c>
      <c r="F190" s="0" t="n">
        <f aca="false">IF(AND(食数記録!$A190=プレビュー!$C$3,食数記録!$B190="夕",食数記録!$F190="男性入所",食数記録!$D190="欠食"),1,0)</f>
        <v>0</v>
      </c>
      <c r="G190" s="0" t="str">
        <f aca="false">IF(F190=1,SUM($F$2:F190),"")</f>
        <v/>
      </c>
      <c r="H190" s="0" t="n">
        <f aca="false">IF(AND(食数記録!$A190=プレビュー!$C$3,食数記録!$B190="朝",食数記録!$F190="女性入所",食数記録!$D190="欠食"),1,0)</f>
        <v>0</v>
      </c>
      <c r="I190" s="0" t="str">
        <f aca="false">IF(H190=1,SUM($H$2:H190),"")</f>
        <v/>
      </c>
      <c r="J190" s="0" t="n">
        <f aca="false">IF(AND(食数記録!$A190=プレビュー!$C$3,食数記録!$B190="昼",食数記録!$F190="女性入所",食数記録!$D190="欠食"),1,0)</f>
        <v>0</v>
      </c>
      <c r="K190" s="0" t="str">
        <f aca="false">IF(J190=1,SUM($J$2:J190),"")</f>
        <v/>
      </c>
      <c r="L190" s="0" t="n">
        <f aca="false">IF(AND(食数記録!$A190=プレビュー!$C$3,食数記録!$B190="夕",食数記録!$F190="女性入所",食数記録!$D190="欠食"),1,0)</f>
        <v>0</v>
      </c>
      <c r="M190" s="0" t="str">
        <f aca="false">IF(L190=1,SUM($L$2:L190),"")</f>
        <v/>
      </c>
      <c r="N190" s="0" t="n">
        <f aca="false">IF(AND(食数記録!$A190=プレビュー!$C$3,食数記録!$B190="朝",食数記録!$F190="男性GH",食数記録!$D190="臨時喫食"),1,0)</f>
        <v>0</v>
      </c>
      <c r="O190" s="0" t="str">
        <f aca="false">IF(N190=1,SUM($N$2:N190),"")</f>
        <v/>
      </c>
      <c r="P190" s="0" t="n">
        <f aca="false">IF(AND(食数記録!$A190=プレビュー!$C$3,食数記録!$B190="昼",食数記録!$F190="男性GH",食数記録!$D190="臨時喫食"),1,0)</f>
        <v>0</v>
      </c>
      <c r="Q190" s="0" t="str">
        <f aca="false">IF(P190=1,SUM($P$2:P190),"")</f>
        <v/>
      </c>
      <c r="R190" s="0" t="n">
        <f aca="false">IF(AND(食数記録!$A190=プレビュー!$C$3,食数記録!$B190="夕",食数記録!$F190="男性GH",食数記録!$D190="臨時喫食"),1,0)</f>
        <v>0</v>
      </c>
      <c r="S190" s="0" t="str">
        <f aca="false">IF(R190=1,SUM($R$2:R190),"")</f>
        <v/>
      </c>
      <c r="T190" s="0" t="n">
        <f aca="false">IF(AND(食数記録!$A190=プレビュー!$C$3,食数記録!$B190="朝",食数記録!$F190="女性GH",食数記録!$D190="臨時喫食"),1,0)</f>
        <v>0</v>
      </c>
      <c r="U190" s="0" t="str">
        <f aca="false">IF(T190=1,SUM($T$2:T190),"")</f>
        <v/>
      </c>
      <c r="V190" s="0" t="n">
        <f aca="false">IF(AND(食数記録!$A190=プレビュー!$C$3,食数記録!$B190="昼",食数記録!$F190="女性GH",食数記録!$D190="臨時喫食"),1,0)</f>
        <v>0</v>
      </c>
      <c r="W190" s="0" t="str">
        <f aca="false">IF(V190=1,SUM($V$2:V190),"")</f>
        <v/>
      </c>
      <c r="X190" s="0" t="n">
        <f aca="false">IF(AND(食数記録!$A190=プレビュー!$C$3,食数記録!$B190="夕",食数記録!$F190="女性GH",食数記録!$D190="臨時喫食"),1,0)</f>
        <v>0</v>
      </c>
      <c r="Y190" s="0" t="str">
        <f aca="false">IF(X190=1,SUM($X$2:X190),"")</f>
        <v/>
      </c>
    </row>
    <row r="191" customFormat="false" ht="15" hidden="false" customHeight="false" outlineLevel="0" collapsed="false">
      <c r="B191" s="0" t="n">
        <f aca="false">IF(AND(食数記録!$A191=プレビュー!$C$3,食数記録!$B191="朝",食数記録!$F191="男性入所",食数記録!$D191="欠食"),1,0)</f>
        <v>0</v>
      </c>
      <c r="C191" s="0" t="str">
        <f aca="false">IF(B191=1,SUM($B$2:B191),"")</f>
        <v/>
      </c>
      <c r="D191" s="0" t="n">
        <f aca="false">IF(AND(食数記録!$A191=プレビュー!$C$3,食数記録!$B191="昼",食数記録!$F191="男性入所",食数記録!$D191="欠食"),1,0)</f>
        <v>0</v>
      </c>
      <c r="E191" s="0" t="str">
        <f aca="false">IF(D191=1,SUM($D$2:D191),"")</f>
        <v/>
      </c>
      <c r="F191" s="0" t="n">
        <f aca="false">IF(AND(食数記録!$A191=プレビュー!$C$3,食数記録!$B191="夕",食数記録!$F191="男性入所",食数記録!$D191="欠食"),1,0)</f>
        <v>0</v>
      </c>
      <c r="G191" s="0" t="str">
        <f aca="false">IF(F191=1,SUM($F$2:F191),"")</f>
        <v/>
      </c>
      <c r="H191" s="0" t="n">
        <f aca="false">IF(AND(食数記録!$A191=プレビュー!$C$3,食数記録!$B191="朝",食数記録!$F191="女性入所",食数記録!$D191="欠食"),1,0)</f>
        <v>0</v>
      </c>
      <c r="I191" s="0" t="str">
        <f aca="false">IF(H191=1,SUM($H$2:H191),"")</f>
        <v/>
      </c>
      <c r="J191" s="0" t="n">
        <f aca="false">IF(AND(食数記録!$A191=プレビュー!$C$3,食数記録!$B191="昼",食数記録!$F191="女性入所",食数記録!$D191="欠食"),1,0)</f>
        <v>0</v>
      </c>
      <c r="K191" s="0" t="str">
        <f aca="false">IF(J191=1,SUM($J$2:J191),"")</f>
        <v/>
      </c>
      <c r="L191" s="0" t="n">
        <f aca="false">IF(AND(食数記録!$A191=プレビュー!$C$3,食数記録!$B191="夕",食数記録!$F191="女性入所",食数記録!$D191="欠食"),1,0)</f>
        <v>0</v>
      </c>
      <c r="M191" s="0" t="str">
        <f aca="false">IF(L191=1,SUM($L$2:L191),"")</f>
        <v/>
      </c>
      <c r="N191" s="0" t="n">
        <f aca="false">IF(AND(食数記録!$A191=プレビュー!$C$3,食数記録!$B191="朝",食数記録!$F191="男性GH",食数記録!$D191="臨時喫食"),1,0)</f>
        <v>0</v>
      </c>
      <c r="O191" s="0" t="str">
        <f aca="false">IF(N191=1,SUM($N$2:N191),"")</f>
        <v/>
      </c>
      <c r="P191" s="0" t="n">
        <f aca="false">IF(AND(食数記録!$A191=プレビュー!$C$3,食数記録!$B191="昼",食数記録!$F191="男性GH",食数記録!$D191="臨時喫食"),1,0)</f>
        <v>0</v>
      </c>
      <c r="Q191" s="0" t="str">
        <f aca="false">IF(P191=1,SUM($P$2:P191),"")</f>
        <v/>
      </c>
      <c r="R191" s="0" t="n">
        <f aca="false">IF(AND(食数記録!$A191=プレビュー!$C$3,食数記録!$B191="夕",食数記録!$F191="男性GH",食数記録!$D191="臨時喫食"),1,0)</f>
        <v>0</v>
      </c>
      <c r="S191" s="0" t="str">
        <f aca="false">IF(R191=1,SUM($R$2:R191),"")</f>
        <v/>
      </c>
      <c r="T191" s="0" t="n">
        <f aca="false">IF(AND(食数記録!$A191=プレビュー!$C$3,食数記録!$B191="朝",食数記録!$F191="女性GH",食数記録!$D191="臨時喫食"),1,0)</f>
        <v>0</v>
      </c>
      <c r="U191" s="0" t="str">
        <f aca="false">IF(T191=1,SUM($T$2:T191),"")</f>
        <v/>
      </c>
      <c r="V191" s="0" t="n">
        <f aca="false">IF(AND(食数記録!$A191=プレビュー!$C$3,食数記録!$B191="昼",食数記録!$F191="女性GH",食数記録!$D191="臨時喫食"),1,0)</f>
        <v>0</v>
      </c>
      <c r="W191" s="0" t="str">
        <f aca="false">IF(V191=1,SUM($V$2:V191),"")</f>
        <v/>
      </c>
      <c r="X191" s="0" t="n">
        <f aca="false">IF(AND(食数記録!$A191=プレビュー!$C$3,食数記録!$B191="夕",食数記録!$F191="女性GH",食数記録!$D191="臨時喫食"),1,0)</f>
        <v>0</v>
      </c>
      <c r="Y191" s="0" t="str">
        <f aca="false">IF(X191=1,SUM($X$2:X191),"")</f>
        <v/>
      </c>
    </row>
    <row r="192" customFormat="false" ht="15" hidden="false" customHeight="false" outlineLevel="0" collapsed="false">
      <c r="B192" s="0" t="n">
        <f aca="false">IF(AND(食数記録!$A192=プレビュー!$C$3,食数記録!$B192="朝",食数記録!$F192="男性入所",食数記録!$D192="欠食"),1,0)</f>
        <v>0</v>
      </c>
      <c r="C192" s="0" t="str">
        <f aca="false">IF(B192=1,SUM($B$2:B192),"")</f>
        <v/>
      </c>
      <c r="D192" s="0" t="n">
        <f aca="false">IF(AND(食数記録!$A192=プレビュー!$C$3,食数記録!$B192="昼",食数記録!$F192="男性入所",食数記録!$D192="欠食"),1,0)</f>
        <v>0</v>
      </c>
      <c r="E192" s="0" t="str">
        <f aca="false">IF(D192=1,SUM($D$2:D192),"")</f>
        <v/>
      </c>
      <c r="F192" s="0" t="n">
        <f aca="false">IF(AND(食数記録!$A192=プレビュー!$C$3,食数記録!$B192="夕",食数記録!$F192="男性入所",食数記録!$D192="欠食"),1,0)</f>
        <v>0</v>
      </c>
      <c r="G192" s="0" t="str">
        <f aca="false">IF(F192=1,SUM($F$2:F192),"")</f>
        <v/>
      </c>
      <c r="H192" s="0" t="n">
        <f aca="false">IF(AND(食数記録!$A192=プレビュー!$C$3,食数記録!$B192="朝",食数記録!$F192="女性入所",食数記録!$D192="欠食"),1,0)</f>
        <v>0</v>
      </c>
      <c r="I192" s="0" t="str">
        <f aca="false">IF(H192=1,SUM($H$2:H192),"")</f>
        <v/>
      </c>
      <c r="J192" s="0" t="n">
        <f aca="false">IF(AND(食数記録!$A192=プレビュー!$C$3,食数記録!$B192="昼",食数記録!$F192="女性入所",食数記録!$D192="欠食"),1,0)</f>
        <v>0</v>
      </c>
      <c r="K192" s="0" t="str">
        <f aca="false">IF(J192=1,SUM($J$2:J192),"")</f>
        <v/>
      </c>
      <c r="L192" s="0" t="n">
        <f aca="false">IF(AND(食数記録!$A192=プレビュー!$C$3,食数記録!$B192="夕",食数記録!$F192="女性入所",食数記録!$D192="欠食"),1,0)</f>
        <v>0</v>
      </c>
      <c r="M192" s="0" t="str">
        <f aca="false">IF(L192=1,SUM($L$2:L192),"")</f>
        <v/>
      </c>
      <c r="N192" s="0" t="n">
        <f aca="false">IF(AND(食数記録!$A192=プレビュー!$C$3,食数記録!$B192="朝",食数記録!$F192="男性GH",食数記録!$D192="臨時喫食"),1,0)</f>
        <v>0</v>
      </c>
      <c r="O192" s="0" t="str">
        <f aca="false">IF(N192=1,SUM($N$2:N192),"")</f>
        <v/>
      </c>
      <c r="P192" s="0" t="n">
        <f aca="false">IF(AND(食数記録!$A192=プレビュー!$C$3,食数記録!$B192="昼",食数記録!$F192="男性GH",食数記録!$D192="臨時喫食"),1,0)</f>
        <v>0</v>
      </c>
      <c r="Q192" s="0" t="str">
        <f aca="false">IF(P192=1,SUM($P$2:P192),"")</f>
        <v/>
      </c>
      <c r="R192" s="0" t="n">
        <f aca="false">IF(AND(食数記録!$A192=プレビュー!$C$3,食数記録!$B192="夕",食数記録!$F192="男性GH",食数記録!$D192="臨時喫食"),1,0)</f>
        <v>0</v>
      </c>
      <c r="S192" s="0" t="str">
        <f aca="false">IF(R192=1,SUM($R$2:R192),"")</f>
        <v/>
      </c>
      <c r="T192" s="0" t="n">
        <f aca="false">IF(AND(食数記録!$A192=プレビュー!$C$3,食数記録!$B192="朝",食数記録!$F192="女性GH",食数記録!$D192="臨時喫食"),1,0)</f>
        <v>0</v>
      </c>
      <c r="U192" s="0" t="str">
        <f aca="false">IF(T192=1,SUM($T$2:T192),"")</f>
        <v/>
      </c>
      <c r="V192" s="0" t="n">
        <f aca="false">IF(AND(食数記録!$A192=プレビュー!$C$3,食数記録!$B192="昼",食数記録!$F192="女性GH",食数記録!$D192="臨時喫食"),1,0)</f>
        <v>0</v>
      </c>
      <c r="W192" s="0" t="str">
        <f aca="false">IF(V192=1,SUM($V$2:V192),"")</f>
        <v/>
      </c>
      <c r="X192" s="0" t="n">
        <f aca="false">IF(AND(食数記録!$A192=プレビュー!$C$3,食数記録!$B192="夕",食数記録!$F192="女性GH",食数記録!$D192="臨時喫食"),1,0)</f>
        <v>0</v>
      </c>
      <c r="Y192" s="0" t="str">
        <f aca="false">IF(X192=1,SUM($X$2:X192),"")</f>
        <v/>
      </c>
    </row>
    <row r="193" customFormat="false" ht="15" hidden="false" customHeight="false" outlineLevel="0" collapsed="false">
      <c r="B193" s="0" t="n">
        <f aca="false">IF(AND(食数記録!$A193=プレビュー!$C$3,食数記録!$B193="朝",食数記録!$F193="男性入所",食数記録!$D193="欠食"),1,0)</f>
        <v>0</v>
      </c>
      <c r="C193" s="0" t="str">
        <f aca="false">IF(B193=1,SUM($B$2:B193),"")</f>
        <v/>
      </c>
      <c r="D193" s="0" t="n">
        <f aca="false">IF(AND(食数記録!$A193=プレビュー!$C$3,食数記録!$B193="昼",食数記録!$F193="男性入所",食数記録!$D193="欠食"),1,0)</f>
        <v>0</v>
      </c>
      <c r="E193" s="0" t="str">
        <f aca="false">IF(D193=1,SUM($D$2:D193),"")</f>
        <v/>
      </c>
      <c r="F193" s="0" t="n">
        <f aca="false">IF(AND(食数記録!$A193=プレビュー!$C$3,食数記録!$B193="夕",食数記録!$F193="男性入所",食数記録!$D193="欠食"),1,0)</f>
        <v>0</v>
      </c>
      <c r="G193" s="0" t="str">
        <f aca="false">IF(F193=1,SUM($F$2:F193),"")</f>
        <v/>
      </c>
      <c r="H193" s="0" t="n">
        <f aca="false">IF(AND(食数記録!$A193=プレビュー!$C$3,食数記録!$B193="朝",食数記録!$F193="女性入所",食数記録!$D193="欠食"),1,0)</f>
        <v>0</v>
      </c>
      <c r="I193" s="0" t="str">
        <f aca="false">IF(H193=1,SUM($H$2:H193),"")</f>
        <v/>
      </c>
      <c r="J193" s="0" t="n">
        <f aca="false">IF(AND(食数記録!$A193=プレビュー!$C$3,食数記録!$B193="昼",食数記録!$F193="女性入所",食数記録!$D193="欠食"),1,0)</f>
        <v>0</v>
      </c>
      <c r="K193" s="0" t="str">
        <f aca="false">IF(J193=1,SUM($J$2:J193),"")</f>
        <v/>
      </c>
      <c r="L193" s="0" t="n">
        <f aca="false">IF(AND(食数記録!$A193=プレビュー!$C$3,食数記録!$B193="夕",食数記録!$F193="女性入所",食数記録!$D193="欠食"),1,0)</f>
        <v>0</v>
      </c>
      <c r="M193" s="0" t="str">
        <f aca="false">IF(L193=1,SUM($L$2:L193),"")</f>
        <v/>
      </c>
      <c r="N193" s="0" t="n">
        <f aca="false">IF(AND(食数記録!$A193=プレビュー!$C$3,食数記録!$B193="朝",食数記録!$F193="男性GH",食数記録!$D193="臨時喫食"),1,0)</f>
        <v>0</v>
      </c>
      <c r="O193" s="0" t="str">
        <f aca="false">IF(N193=1,SUM($N$2:N193),"")</f>
        <v/>
      </c>
      <c r="P193" s="0" t="n">
        <f aca="false">IF(AND(食数記録!$A193=プレビュー!$C$3,食数記録!$B193="昼",食数記録!$F193="男性GH",食数記録!$D193="臨時喫食"),1,0)</f>
        <v>0</v>
      </c>
      <c r="Q193" s="0" t="str">
        <f aca="false">IF(P193=1,SUM($P$2:P193),"")</f>
        <v/>
      </c>
      <c r="R193" s="0" t="n">
        <f aca="false">IF(AND(食数記録!$A193=プレビュー!$C$3,食数記録!$B193="夕",食数記録!$F193="男性GH",食数記録!$D193="臨時喫食"),1,0)</f>
        <v>0</v>
      </c>
      <c r="S193" s="0" t="str">
        <f aca="false">IF(R193=1,SUM($R$2:R193),"")</f>
        <v/>
      </c>
      <c r="T193" s="0" t="n">
        <f aca="false">IF(AND(食数記録!$A193=プレビュー!$C$3,食数記録!$B193="朝",食数記録!$F193="女性GH",食数記録!$D193="臨時喫食"),1,0)</f>
        <v>0</v>
      </c>
      <c r="U193" s="0" t="str">
        <f aca="false">IF(T193=1,SUM($T$2:T193),"")</f>
        <v/>
      </c>
      <c r="V193" s="0" t="n">
        <f aca="false">IF(AND(食数記録!$A193=プレビュー!$C$3,食数記録!$B193="昼",食数記録!$F193="女性GH",食数記録!$D193="臨時喫食"),1,0)</f>
        <v>0</v>
      </c>
      <c r="W193" s="0" t="str">
        <f aca="false">IF(V193=1,SUM($V$2:V193),"")</f>
        <v/>
      </c>
      <c r="X193" s="0" t="n">
        <f aca="false">IF(AND(食数記録!$A193=プレビュー!$C$3,食数記録!$B193="夕",食数記録!$F193="女性GH",食数記録!$D193="臨時喫食"),1,0)</f>
        <v>0</v>
      </c>
      <c r="Y193" s="0" t="str">
        <f aca="false">IF(X193=1,SUM($X$2:X193),"")</f>
        <v/>
      </c>
    </row>
    <row r="194" customFormat="false" ht="15" hidden="false" customHeight="false" outlineLevel="0" collapsed="false">
      <c r="B194" s="0" t="n">
        <f aca="false">IF(AND(食数記録!$A194=プレビュー!$C$3,食数記録!$B194="朝",食数記録!$F194="男性入所",食数記録!$D194="欠食"),1,0)</f>
        <v>0</v>
      </c>
      <c r="C194" s="0" t="str">
        <f aca="false">IF(B194=1,SUM($B$2:B194),"")</f>
        <v/>
      </c>
      <c r="D194" s="0" t="n">
        <f aca="false">IF(AND(食数記録!$A194=プレビュー!$C$3,食数記録!$B194="昼",食数記録!$F194="男性入所",食数記録!$D194="欠食"),1,0)</f>
        <v>0</v>
      </c>
      <c r="E194" s="0" t="str">
        <f aca="false">IF(D194=1,SUM($D$2:D194),"")</f>
        <v/>
      </c>
      <c r="F194" s="0" t="n">
        <f aca="false">IF(AND(食数記録!$A194=プレビュー!$C$3,食数記録!$B194="夕",食数記録!$F194="男性入所",食数記録!$D194="欠食"),1,0)</f>
        <v>0</v>
      </c>
      <c r="G194" s="0" t="str">
        <f aca="false">IF(F194=1,SUM($F$2:F194),"")</f>
        <v/>
      </c>
      <c r="H194" s="0" t="n">
        <f aca="false">IF(AND(食数記録!$A194=プレビュー!$C$3,食数記録!$B194="朝",食数記録!$F194="女性入所",食数記録!$D194="欠食"),1,0)</f>
        <v>0</v>
      </c>
      <c r="I194" s="0" t="str">
        <f aca="false">IF(H194=1,SUM($H$2:H194),"")</f>
        <v/>
      </c>
      <c r="J194" s="0" t="n">
        <f aca="false">IF(AND(食数記録!$A194=プレビュー!$C$3,食数記録!$B194="昼",食数記録!$F194="女性入所",食数記録!$D194="欠食"),1,0)</f>
        <v>0</v>
      </c>
      <c r="K194" s="0" t="str">
        <f aca="false">IF(J194=1,SUM($J$2:J194),"")</f>
        <v/>
      </c>
      <c r="L194" s="0" t="n">
        <f aca="false">IF(AND(食数記録!$A194=プレビュー!$C$3,食数記録!$B194="夕",食数記録!$F194="女性入所",食数記録!$D194="欠食"),1,0)</f>
        <v>0</v>
      </c>
      <c r="M194" s="0" t="str">
        <f aca="false">IF(L194=1,SUM($L$2:L194),"")</f>
        <v/>
      </c>
      <c r="N194" s="0" t="n">
        <f aca="false">IF(AND(食数記録!$A194=プレビュー!$C$3,食数記録!$B194="朝",食数記録!$F194="男性GH",食数記録!$D194="臨時喫食"),1,0)</f>
        <v>0</v>
      </c>
      <c r="O194" s="0" t="str">
        <f aca="false">IF(N194=1,SUM($N$2:N194),"")</f>
        <v/>
      </c>
      <c r="P194" s="0" t="n">
        <f aca="false">IF(AND(食数記録!$A194=プレビュー!$C$3,食数記録!$B194="昼",食数記録!$F194="男性GH",食数記録!$D194="臨時喫食"),1,0)</f>
        <v>0</v>
      </c>
      <c r="Q194" s="0" t="str">
        <f aca="false">IF(P194=1,SUM($P$2:P194),"")</f>
        <v/>
      </c>
      <c r="R194" s="0" t="n">
        <f aca="false">IF(AND(食数記録!$A194=プレビュー!$C$3,食数記録!$B194="夕",食数記録!$F194="男性GH",食数記録!$D194="臨時喫食"),1,0)</f>
        <v>0</v>
      </c>
      <c r="S194" s="0" t="str">
        <f aca="false">IF(R194=1,SUM($R$2:R194),"")</f>
        <v/>
      </c>
      <c r="T194" s="0" t="n">
        <f aca="false">IF(AND(食数記録!$A194=プレビュー!$C$3,食数記録!$B194="朝",食数記録!$F194="女性GH",食数記録!$D194="臨時喫食"),1,0)</f>
        <v>0</v>
      </c>
      <c r="U194" s="0" t="str">
        <f aca="false">IF(T194=1,SUM($T$2:T194),"")</f>
        <v/>
      </c>
      <c r="V194" s="0" t="n">
        <f aca="false">IF(AND(食数記録!$A194=プレビュー!$C$3,食数記録!$B194="昼",食数記録!$F194="女性GH",食数記録!$D194="臨時喫食"),1,0)</f>
        <v>0</v>
      </c>
      <c r="W194" s="0" t="str">
        <f aca="false">IF(V194=1,SUM($V$2:V194),"")</f>
        <v/>
      </c>
      <c r="X194" s="0" t="n">
        <f aca="false">IF(AND(食数記録!$A194=プレビュー!$C$3,食数記録!$B194="夕",食数記録!$F194="女性GH",食数記録!$D194="臨時喫食"),1,0)</f>
        <v>0</v>
      </c>
      <c r="Y194" s="0" t="str">
        <f aca="false">IF(X194=1,SUM($X$2:X194),"")</f>
        <v/>
      </c>
    </row>
    <row r="195" customFormat="false" ht="15" hidden="false" customHeight="false" outlineLevel="0" collapsed="false">
      <c r="B195" s="0" t="n">
        <f aca="false">IF(AND(食数記録!$A195=プレビュー!$C$3,食数記録!$B195="朝",食数記録!$F195="男性入所",食数記録!$D195="欠食"),1,0)</f>
        <v>0</v>
      </c>
      <c r="C195" s="0" t="str">
        <f aca="false">IF(B195=1,SUM($B$2:B195),"")</f>
        <v/>
      </c>
      <c r="D195" s="0" t="n">
        <f aca="false">IF(AND(食数記録!$A195=プレビュー!$C$3,食数記録!$B195="昼",食数記録!$F195="男性入所",食数記録!$D195="欠食"),1,0)</f>
        <v>0</v>
      </c>
      <c r="E195" s="0" t="str">
        <f aca="false">IF(D195=1,SUM($D$2:D195),"")</f>
        <v/>
      </c>
      <c r="F195" s="0" t="n">
        <f aca="false">IF(AND(食数記録!$A195=プレビュー!$C$3,食数記録!$B195="夕",食数記録!$F195="男性入所",食数記録!$D195="欠食"),1,0)</f>
        <v>0</v>
      </c>
      <c r="G195" s="0" t="str">
        <f aca="false">IF(F195=1,SUM($F$2:F195),"")</f>
        <v/>
      </c>
      <c r="H195" s="0" t="n">
        <f aca="false">IF(AND(食数記録!$A195=プレビュー!$C$3,食数記録!$B195="朝",食数記録!$F195="女性入所",食数記録!$D195="欠食"),1,0)</f>
        <v>0</v>
      </c>
      <c r="I195" s="0" t="str">
        <f aca="false">IF(H195=1,SUM($H$2:H195),"")</f>
        <v/>
      </c>
      <c r="J195" s="0" t="n">
        <f aca="false">IF(AND(食数記録!$A195=プレビュー!$C$3,食数記録!$B195="昼",食数記録!$F195="女性入所",食数記録!$D195="欠食"),1,0)</f>
        <v>0</v>
      </c>
      <c r="K195" s="0" t="str">
        <f aca="false">IF(J195=1,SUM($J$2:J195),"")</f>
        <v/>
      </c>
      <c r="L195" s="0" t="n">
        <f aca="false">IF(AND(食数記録!$A195=プレビュー!$C$3,食数記録!$B195="夕",食数記録!$F195="女性入所",食数記録!$D195="欠食"),1,0)</f>
        <v>0</v>
      </c>
      <c r="M195" s="0" t="str">
        <f aca="false">IF(L195=1,SUM($L$2:L195),"")</f>
        <v/>
      </c>
      <c r="N195" s="0" t="n">
        <f aca="false">IF(AND(食数記録!$A195=プレビュー!$C$3,食数記録!$B195="朝",食数記録!$F195="男性GH",食数記録!$D195="臨時喫食"),1,0)</f>
        <v>0</v>
      </c>
      <c r="O195" s="0" t="str">
        <f aca="false">IF(N195=1,SUM($N$2:N195),"")</f>
        <v/>
      </c>
      <c r="P195" s="0" t="n">
        <f aca="false">IF(AND(食数記録!$A195=プレビュー!$C$3,食数記録!$B195="昼",食数記録!$F195="男性GH",食数記録!$D195="臨時喫食"),1,0)</f>
        <v>0</v>
      </c>
      <c r="Q195" s="0" t="str">
        <f aca="false">IF(P195=1,SUM($P$2:P195),"")</f>
        <v/>
      </c>
      <c r="R195" s="0" t="n">
        <f aca="false">IF(AND(食数記録!$A195=プレビュー!$C$3,食数記録!$B195="夕",食数記録!$F195="男性GH",食数記録!$D195="臨時喫食"),1,0)</f>
        <v>0</v>
      </c>
      <c r="S195" s="0" t="str">
        <f aca="false">IF(R195=1,SUM($R$2:R195),"")</f>
        <v/>
      </c>
      <c r="T195" s="0" t="n">
        <f aca="false">IF(AND(食数記録!$A195=プレビュー!$C$3,食数記録!$B195="朝",食数記録!$F195="女性GH",食数記録!$D195="臨時喫食"),1,0)</f>
        <v>0</v>
      </c>
      <c r="U195" s="0" t="str">
        <f aca="false">IF(T195=1,SUM($T$2:T195),"")</f>
        <v/>
      </c>
      <c r="V195" s="0" t="n">
        <f aca="false">IF(AND(食数記録!$A195=プレビュー!$C$3,食数記録!$B195="昼",食数記録!$F195="女性GH",食数記録!$D195="臨時喫食"),1,0)</f>
        <v>0</v>
      </c>
      <c r="W195" s="0" t="str">
        <f aca="false">IF(V195=1,SUM($V$2:V195),"")</f>
        <v/>
      </c>
      <c r="X195" s="0" t="n">
        <f aca="false">IF(AND(食数記録!$A195=プレビュー!$C$3,食数記録!$B195="夕",食数記録!$F195="女性GH",食数記録!$D195="臨時喫食"),1,0)</f>
        <v>0</v>
      </c>
      <c r="Y195" s="0" t="str">
        <f aca="false">IF(X195=1,SUM($X$2:X195),"")</f>
        <v/>
      </c>
    </row>
    <row r="196" customFormat="false" ht="15" hidden="false" customHeight="false" outlineLevel="0" collapsed="false">
      <c r="B196" s="0" t="n">
        <f aca="false">IF(AND(食数記録!$A196=プレビュー!$C$3,食数記録!$B196="朝",食数記録!$F196="男性入所",食数記録!$D196="欠食"),1,0)</f>
        <v>0</v>
      </c>
      <c r="C196" s="0" t="str">
        <f aca="false">IF(B196=1,SUM($B$2:B196),"")</f>
        <v/>
      </c>
      <c r="D196" s="0" t="n">
        <f aca="false">IF(AND(食数記録!$A196=プレビュー!$C$3,食数記録!$B196="昼",食数記録!$F196="男性入所",食数記録!$D196="欠食"),1,0)</f>
        <v>0</v>
      </c>
      <c r="E196" s="0" t="str">
        <f aca="false">IF(D196=1,SUM($D$2:D196),"")</f>
        <v/>
      </c>
      <c r="F196" s="0" t="n">
        <f aca="false">IF(AND(食数記録!$A196=プレビュー!$C$3,食数記録!$B196="夕",食数記録!$F196="男性入所",食数記録!$D196="欠食"),1,0)</f>
        <v>0</v>
      </c>
      <c r="G196" s="0" t="str">
        <f aca="false">IF(F196=1,SUM($F$2:F196),"")</f>
        <v/>
      </c>
      <c r="H196" s="0" t="n">
        <f aca="false">IF(AND(食数記録!$A196=プレビュー!$C$3,食数記録!$B196="朝",食数記録!$F196="女性入所",食数記録!$D196="欠食"),1,0)</f>
        <v>0</v>
      </c>
      <c r="I196" s="0" t="str">
        <f aca="false">IF(H196=1,SUM($H$2:H196),"")</f>
        <v/>
      </c>
      <c r="J196" s="0" t="n">
        <f aca="false">IF(AND(食数記録!$A196=プレビュー!$C$3,食数記録!$B196="昼",食数記録!$F196="女性入所",食数記録!$D196="欠食"),1,0)</f>
        <v>0</v>
      </c>
      <c r="K196" s="0" t="str">
        <f aca="false">IF(J196=1,SUM($J$2:J196),"")</f>
        <v/>
      </c>
      <c r="L196" s="0" t="n">
        <f aca="false">IF(AND(食数記録!$A196=プレビュー!$C$3,食数記録!$B196="夕",食数記録!$F196="女性入所",食数記録!$D196="欠食"),1,0)</f>
        <v>0</v>
      </c>
      <c r="M196" s="0" t="str">
        <f aca="false">IF(L196=1,SUM($L$2:L196),"")</f>
        <v/>
      </c>
      <c r="N196" s="0" t="n">
        <f aca="false">IF(AND(食数記録!$A196=プレビュー!$C$3,食数記録!$B196="朝",食数記録!$F196="男性GH",食数記録!$D196="臨時喫食"),1,0)</f>
        <v>0</v>
      </c>
      <c r="O196" s="0" t="str">
        <f aca="false">IF(N196=1,SUM($N$2:N196),"")</f>
        <v/>
      </c>
      <c r="P196" s="0" t="n">
        <f aca="false">IF(AND(食数記録!$A196=プレビュー!$C$3,食数記録!$B196="昼",食数記録!$F196="男性GH",食数記録!$D196="臨時喫食"),1,0)</f>
        <v>0</v>
      </c>
      <c r="Q196" s="0" t="str">
        <f aca="false">IF(P196=1,SUM($P$2:P196),"")</f>
        <v/>
      </c>
      <c r="R196" s="0" t="n">
        <f aca="false">IF(AND(食数記録!$A196=プレビュー!$C$3,食数記録!$B196="夕",食数記録!$F196="男性GH",食数記録!$D196="臨時喫食"),1,0)</f>
        <v>0</v>
      </c>
      <c r="S196" s="0" t="str">
        <f aca="false">IF(R196=1,SUM($R$2:R196),"")</f>
        <v/>
      </c>
      <c r="T196" s="0" t="n">
        <f aca="false">IF(AND(食数記録!$A196=プレビュー!$C$3,食数記録!$B196="朝",食数記録!$F196="女性GH",食数記録!$D196="臨時喫食"),1,0)</f>
        <v>0</v>
      </c>
      <c r="U196" s="0" t="str">
        <f aca="false">IF(T196=1,SUM($T$2:T196),"")</f>
        <v/>
      </c>
      <c r="V196" s="0" t="n">
        <f aca="false">IF(AND(食数記録!$A196=プレビュー!$C$3,食数記録!$B196="昼",食数記録!$F196="女性GH",食数記録!$D196="臨時喫食"),1,0)</f>
        <v>0</v>
      </c>
      <c r="W196" s="0" t="str">
        <f aca="false">IF(V196=1,SUM($V$2:V196),"")</f>
        <v/>
      </c>
      <c r="X196" s="0" t="n">
        <f aca="false">IF(AND(食数記録!$A196=プレビュー!$C$3,食数記録!$B196="夕",食数記録!$F196="女性GH",食数記録!$D196="臨時喫食"),1,0)</f>
        <v>0</v>
      </c>
      <c r="Y196" s="0" t="str">
        <f aca="false">IF(X196=1,SUM($X$2:X196),"")</f>
        <v/>
      </c>
    </row>
    <row r="197" customFormat="false" ht="15" hidden="false" customHeight="false" outlineLevel="0" collapsed="false">
      <c r="B197" s="0" t="n">
        <f aca="false">IF(AND(食数記録!$A197=プレビュー!$C$3,食数記録!$B197="朝",食数記録!$F197="男性入所",食数記録!$D197="欠食"),1,0)</f>
        <v>0</v>
      </c>
      <c r="C197" s="0" t="str">
        <f aca="false">IF(B197=1,SUM($B$2:B197),"")</f>
        <v/>
      </c>
      <c r="D197" s="0" t="n">
        <f aca="false">IF(AND(食数記録!$A197=プレビュー!$C$3,食数記録!$B197="昼",食数記録!$F197="男性入所",食数記録!$D197="欠食"),1,0)</f>
        <v>0</v>
      </c>
      <c r="E197" s="0" t="str">
        <f aca="false">IF(D197=1,SUM($D$2:D197),"")</f>
        <v/>
      </c>
      <c r="F197" s="0" t="n">
        <f aca="false">IF(AND(食数記録!$A197=プレビュー!$C$3,食数記録!$B197="夕",食数記録!$F197="男性入所",食数記録!$D197="欠食"),1,0)</f>
        <v>0</v>
      </c>
      <c r="G197" s="0" t="str">
        <f aca="false">IF(F197=1,SUM($F$2:F197),"")</f>
        <v/>
      </c>
      <c r="H197" s="0" t="n">
        <f aca="false">IF(AND(食数記録!$A197=プレビュー!$C$3,食数記録!$B197="朝",食数記録!$F197="女性入所",食数記録!$D197="欠食"),1,0)</f>
        <v>0</v>
      </c>
      <c r="I197" s="0" t="str">
        <f aca="false">IF(H197=1,SUM($H$2:H197),"")</f>
        <v/>
      </c>
      <c r="J197" s="0" t="n">
        <f aca="false">IF(AND(食数記録!$A197=プレビュー!$C$3,食数記録!$B197="昼",食数記録!$F197="女性入所",食数記録!$D197="欠食"),1,0)</f>
        <v>0</v>
      </c>
      <c r="K197" s="0" t="str">
        <f aca="false">IF(J197=1,SUM($J$2:J197),"")</f>
        <v/>
      </c>
      <c r="L197" s="0" t="n">
        <f aca="false">IF(AND(食数記録!$A197=プレビュー!$C$3,食数記録!$B197="夕",食数記録!$F197="女性入所",食数記録!$D197="欠食"),1,0)</f>
        <v>0</v>
      </c>
      <c r="M197" s="0" t="str">
        <f aca="false">IF(L197=1,SUM($L$2:L197),"")</f>
        <v/>
      </c>
      <c r="N197" s="0" t="n">
        <f aca="false">IF(AND(食数記録!$A197=プレビュー!$C$3,食数記録!$B197="朝",食数記録!$F197="男性GH",食数記録!$D197="臨時喫食"),1,0)</f>
        <v>0</v>
      </c>
      <c r="O197" s="0" t="str">
        <f aca="false">IF(N197=1,SUM($N$2:N197),"")</f>
        <v/>
      </c>
      <c r="P197" s="0" t="n">
        <f aca="false">IF(AND(食数記録!$A197=プレビュー!$C$3,食数記録!$B197="昼",食数記録!$F197="男性GH",食数記録!$D197="臨時喫食"),1,0)</f>
        <v>0</v>
      </c>
      <c r="Q197" s="0" t="str">
        <f aca="false">IF(P197=1,SUM($P$2:P197),"")</f>
        <v/>
      </c>
      <c r="R197" s="0" t="n">
        <f aca="false">IF(AND(食数記録!$A197=プレビュー!$C$3,食数記録!$B197="夕",食数記録!$F197="男性GH",食数記録!$D197="臨時喫食"),1,0)</f>
        <v>0</v>
      </c>
      <c r="S197" s="0" t="str">
        <f aca="false">IF(R197=1,SUM($R$2:R197),"")</f>
        <v/>
      </c>
      <c r="T197" s="0" t="n">
        <f aca="false">IF(AND(食数記録!$A197=プレビュー!$C$3,食数記録!$B197="朝",食数記録!$F197="女性GH",食数記録!$D197="臨時喫食"),1,0)</f>
        <v>0</v>
      </c>
      <c r="U197" s="0" t="str">
        <f aca="false">IF(T197=1,SUM($T$2:T197),"")</f>
        <v/>
      </c>
      <c r="V197" s="0" t="n">
        <f aca="false">IF(AND(食数記録!$A197=プレビュー!$C$3,食数記録!$B197="昼",食数記録!$F197="女性GH",食数記録!$D197="臨時喫食"),1,0)</f>
        <v>0</v>
      </c>
      <c r="W197" s="0" t="str">
        <f aca="false">IF(V197=1,SUM($V$2:V197),"")</f>
        <v/>
      </c>
      <c r="X197" s="0" t="n">
        <f aca="false">IF(AND(食数記録!$A197=プレビュー!$C$3,食数記録!$B197="夕",食数記録!$F197="女性GH",食数記録!$D197="臨時喫食"),1,0)</f>
        <v>0</v>
      </c>
      <c r="Y197" s="0" t="str">
        <f aca="false">IF(X197=1,SUM($X$2:X197),"")</f>
        <v/>
      </c>
    </row>
    <row r="198" customFormat="false" ht="15" hidden="false" customHeight="false" outlineLevel="0" collapsed="false">
      <c r="B198" s="0" t="n">
        <f aca="false">IF(AND(食数記録!$A198=プレビュー!$C$3,食数記録!$B198="朝",食数記録!$F198="男性入所",食数記録!$D198="欠食"),1,0)</f>
        <v>0</v>
      </c>
      <c r="C198" s="0" t="str">
        <f aca="false">IF(B198=1,SUM($B$2:B198),"")</f>
        <v/>
      </c>
      <c r="D198" s="0" t="n">
        <f aca="false">IF(AND(食数記録!$A198=プレビュー!$C$3,食数記録!$B198="昼",食数記録!$F198="男性入所",食数記録!$D198="欠食"),1,0)</f>
        <v>0</v>
      </c>
      <c r="E198" s="0" t="str">
        <f aca="false">IF(D198=1,SUM($D$2:D198),"")</f>
        <v/>
      </c>
      <c r="F198" s="0" t="n">
        <f aca="false">IF(AND(食数記録!$A198=プレビュー!$C$3,食数記録!$B198="夕",食数記録!$F198="男性入所",食数記録!$D198="欠食"),1,0)</f>
        <v>0</v>
      </c>
      <c r="G198" s="0" t="str">
        <f aca="false">IF(F198=1,SUM($F$2:F198),"")</f>
        <v/>
      </c>
      <c r="H198" s="0" t="n">
        <f aca="false">IF(AND(食数記録!$A198=プレビュー!$C$3,食数記録!$B198="朝",食数記録!$F198="女性入所",食数記録!$D198="欠食"),1,0)</f>
        <v>0</v>
      </c>
      <c r="I198" s="0" t="str">
        <f aca="false">IF(H198=1,SUM($H$2:H198),"")</f>
        <v/>
      </c>
      <c r="J198" s="0" t="n">
        <f aca="false">IF(AND(食数記録!$A198=プレビュー!$C$3,食数記録!$B198="昼",食数記録!$F198="女性入所",食数記録!$D198="欠食"),1,0)</f>
        <v>0</v>
      </c>
      <c r="K198" s="0" t="str">
        <f aca="false">IF(J198=1,SUM($J$2:J198),"")</f>
        <v/>
      </c>
      <c r="L198" s="0" t="n">
        <f aca="false">IF(AND(食数記録!$A198=プレビュー!$C$3,食数記録!$B198="夕",食数記録!$F198="女性入所",食数記録!$D198="欠食"),1,0)</f>
        <v>0</v>
      </c>
      <c r="M198" s="0" t="str">
        <f aca="false">IF(L198=1,SUM($L$2:L198),"")</f>
        <v/>
      </c>
      <c r="N198" s="0" t="n">
        <f aca="false">IF(AND(食数記録!$A198=プレビュー!$C$3,食数記録!$B198="朝",食数記録!$F198="男性GH",食数記録!$D198="臨時喫食"),1,0)</f>
        <v>0</v>
      </c>
      <c r="O198" s="0" t="str">
        <f aca="false">IF(N198=1,SUM($N$2:N198),"")</f>
        <v/>
      </c>
      <c r="P198" s="0" t="n">
        <f aca="false">IF(AND(食数記録!$A198=プレビュー!$C$3,食数記録!$B198="昼",食数記録!$F198="男性GH",食数記録!$D198="臨時喫食"),1,0)</f>
        <v>0</v>
      </c>
      <c r="Q198" s="0" t="str">
        <f aca="false">IF(P198=1,SUM($P$2:P198),"")</f>
        <v/>
      </c>
      <c r="R198" s="0" t="n">
        <f aca="false">IF(AND(食数記録!$A198=プレビュー!$C$3,食数記録!$B198="夕",食数記録!$F198="男性GH",食数記録!$D198="臨時喫食"),1,0)</f>
        <v>0</v>
      </c>
      <c r="S198" s="0" t="str">
        <f aca="false">IF(R198=1,SUM($R$2:R198),"")</f>
        <v/>
      </c>
      <c r="T198" s="0" t="n">
        <f aca="false">IF(AND(食数記録!$A198=プレビュー!$C$3,食数記録!$B198="朝",食数記録!$F198="女性GH",食数記録!$D198="臨時喫食"),1,0)</f>
        <v>0</v>
      </c>
      <c r="U198" s="0" t="str">
        <f aca="false">IF(T198=1,SUM($T$2:T198),"")</f>
        <v/>
      </c>
      <c r="V198" s="0" t="n">
        <f aca="false">IF(AND(食数記録!$A198=プレビュー!$C$3,食数記録!$B198="昼",食数記録!$F198="女性GH",食数記録!$D198="臨時喫食"),1,0)</f>
        <v>0</v>
      </c>
      <c r="W198" s="0" t="str">
        <f aca="false">IF(V198=1,SUM($V$2:V198),"")</f>
        <v/>
      </c>
      <c r="X198" s="0" t="n">
        <f aca="false">IF(AND(食数記録!$A198=プレビュー!$C$3,食数記録!$B198="夕",食数記録!$F198="女性GH",食数記録!$D198="臨時喫食"),1,0)</f>
        <v>0</v>
      </c>
      <c r="Y198" s="0" t="str">
        <f aca="false">IF(X198=1,SUM($X$2:X198),"")</f>
        <v/>
      </c>
    </row>
    <row r="199" customFormat="false" ht="15" hidden="false" customHeight="false" outlineLevel="0" collapsed="false">
      <c r="B199" s="0" t="n">
        <f aca="false">IF(AND(食数記録!$A199=プレビュー!$C$3,食数記録!$B199="朝",食数記録!$F199="男性入所",食数記録!$D199="欠食"),1,0)</f>
        <v>0</v>
      </c>
      <c r="C199" s="0" t="str">
        <f aca="false">IF(B199=1,SUM($B$2:B199),"")</f>
        <v/>
      </c>
      <c r="D199" s="0" t="n">
        <f aca="false">IF(AND(食数記録!$A199=プレビュー!$C$3,食数記録!$B199="昼",食数記録!$F199="男性入所",食数記録!$D199="欠食"),1,0)</f>
        <v>0</v>
      </c>
      <c r="E199" s="0" t="str">
        <f aca="false">IF(D199=1,SUM($D$2:D199),"")</f>
        <v/>
      </c>
      <c r="F199" s="0" t="n">
        <f aca="false">IF(AND(食数記録!$A199=プレビュー!$C$3,食数記録!$B199="夕",食数記録!$F199="男性入所",食数記録!$D199="欠食"),1,0)</f>
        <v>0</v>
      </c>
      <c r="G199" s="0" t="str">
        <f aca="false">IF(F199=1,SUM($F$2:F199),"")</f>
        <v/>
      </c>
      <c r="H199" s="0" t="n">
        <f aca="false">IF(AND(食数記録!$A199=プレビュー!$C$3,食数記録!$B199="朝",食数記録!$F199="女性入所",食数記録!$D199="欠食"),1,0)</f>
        <v>0</v>
      </c>
      <c r="I199" s="0" t="str">
        <f aca="false">IF(H199=1,SUM($H$2:H199),"")</f>
        <v/>
      </c>
      <c r="J199" s="0" t="n">
        <f aca="false">IF(AND(食数記録!$A199=プレビュー!$C$3,食数記録!$B199="昼",食数記録!$F199="女性入所",食数記録!$D199="欠食"),1,0)</f>
        <v>0</v>
      </c>
      <c r="K199" s="0" t="str">
        <f aca="false">IF(J199=1,SUM($J$2:J199),"")</f>
        <v/>
      </c>
      <c r="L199" s="0" t="n">
        <f aca="false">IF(AND(食数記録!$A199=プレビュー!$C$3,食数記録!$B199="夕",食数記録!$F199="女性入所",食数記録!$D199="欠食"),1,0)</f>
        <v>0</v>
      </c>
      <c r="M199" s="0" t="str">
        <f aca="false">IF(L199=1,SUM($L$2:L199),"")</f>
        <v/>
      </c>
      <c r="N199" s="0" t="n">
        <f aca="false">IF(AND(食数記録!$A199=プレビュー!$C$3,食数記録!$B199="朝",食数記録!$F199="男性GH",食数記録!$D199="臨時喫食"),1,0)</f>
        <v>0</v>
      </c>
      <c r="O199" s="0" t="str">
        <f aca="false">IF(N199=1,SUM($N$2:N199),"")</f>
        <v/>
      </c>
      <c r="P199" s="0" t="n">
        <f aca="false">IF(AND(食数記録!$A199=プレビュー!$C$3,食数記録!$B199="昼",食数記録!$F199="男性GH",食数記録!$D199="臨時喫食"),1,0)</f>
        <v>0</v>
      </c>
      <c r="Q199" s="0" t="str">
        <f aca="false">IF(P199=1,SUM($P$2:P199),"")</f>
        <v/>
      </c>
      <c r="R199" s="0" t="n">
        <f aca="false">IF(AND(食数記録!$A199=プレビュー!$C$3,食数記録!$B199="夕",食数記録!$F199="男性GH",食数記録!$D199="臨時喫食"),1,0)</f>
        <v>0</v>
      </c>
      <c r="S199" s="0" t="str">
        <f aca="false">IF(R199=1,SUM($R$2:R199),"")</f>
        <v/>
      </c>
      <c r="T199" s="0" t="n">
        <f aca="false">IF(AND(食数記録!$A199=プレビュー!$C$3,食数記録!$B199="朝",食数記録!$F199="女性GH",食数記録!$D199="臨時喫食"),1,0)</f>
        <v>0</v>
      </c>
      <c r="U199" s="0" t="str">
        <f aca="false">IF(T199=1,SUM($T$2:T199),"")</f>
        <v/>
      </c>
      <c r="V199" s="0" t="n">
        <f aca="false">IF(AND(食数記録!$A199=プレビュー!$C$3,食数記録!$B199="昼",食数記録!$F199="女性GH",食数記録!$D199="臨時喫食"),1,0)</f>
        <v>0</v>
      </c>
      <c r="W199" s="0" t="str">
        <f aca="false">IF(V199=1,SUM($V$2:V199),"")</f>
        <v/>
      </c>
      <c r="X199" s="0" t="n">
        <f aca="false">IF(AND(食数記録!$A199=プレビュー!$C$3,食数記録!$B199="夕",食数記録!$F199="女性GH",食数記録!$D199="臨時喫食"),1,0)</f>
        <v>0</v>
      </c>
      <c r="Y199" s="0" t="str">
        <f aca="false">IF(X199=1,SUM($X$2:X199),"")</f>
        <v/>
      </c>
    </row>
    <row r="200" customFormat="false" ht="15" hidden="false" customHeight="false" outlineLevel="0" collapsed="false">
      <c r="B200" s="0" t="n">
        <f aca="false">IF(AND(食数記録!$A200=プレビュー!$C$3,食数記録!$B200="朝",食数記録!$F200="男性入所",食数記録!$D200="欠食"),1,0)</f>
        <v>0</v>
      </c>
      <c r="C200" s="0" t="str">
        <f aca="false">IF(B200=1,SUM($B$2:B200),"")</f>
        <v/>
      </c>
      <c r="D200" s="0" t="n">
        <f aca="false">IF(AND(食数記録!$A200=プレビュー!$C$3,食数記録!$B200="昼",食数記録!$F200="男性入所",食数記録!$D200="欠食"),1,0)</f>
        <v>0</v>
      </c>
      <c r="E200" s="0" t="str">
        <f aca="false">IF(D200=1,SUM($D$2:D200),"")</f>
        <v/>
      </c>
      <c r="F200" s="0" t="n">
        <f aca="false">IF(AND(食数記録!$A200=プレビュー!$C$3,食数記録!$B200="夕",食数記録!$F200="男性入所",食数記録!$D200="欠食"),1,0)</f>
        <v>0</v>
      </c>
      <c r="G200" s="0" t="str">
        <f aca="false">IF(F200=1,SUM($F$2:F200),"")</f>
        <v/>
      </c>
      <c r="H200" s="0" t="n">
        <f aca="false">IF(AND(食数記録!$A200=プレビュー!$C$3,食数記録!$B200="朝",食数記録!$F200="女性入所",食数記録!$D200="欠食"),1,0)</f>
        <v>0</v>
      </c>
      <c r="I200" s="0" t="str">
        <f aca="false">IF(H200=1,SUM($H$2:H200),"")</f>
        <v/>
      </c>
      <c r="J200" s="0" t="n">
        <f aca="false">IF(AND(食数記録!$A200=プレビュー!$C$3,食数記録!$B200="昼",食数記録!$F200="女性入所",食数記録!$D200="欠食"),1,0)</f>
        <v>0</v>
      </c>
      <c r="K200" s="0" t="str">
        <f aca="false">IF(J200=1,SUM($J$2:J200),"")</f>
        <v/>
      </c>
      <c r="L200" s="0" t="n">
        <f aca="false">IF(AND(食数記録!$A200=プレビュー!$C$3,食数記録!$B200="夕",食数記録!$F200="女性入所",食数記録!$D200="欠食"),1,0)</f>
        <v>0</v>
      </c>
      <c r="M200" s="0" t="str">
        <f aca="false">IF(L200=1,SUM($L$2:L200),"")</f>
        <v/>
      </c>
      <c r="N200" s="0" t="n">
        <f aca="false">IF(AND(食数記録!$A200=プレビュー!$C$3,食数記録!$B200="朝",食数記録!$F200="男性GH",食数記録!$D200="臨時喫食"),1,0)</f>
        <v>0</v>
      </c>
      <c r="O200" s="0" t="str">
        <f aca="false">IF(N200=1,SUM($N$2:N200),"")</f>
        <v/>
      </c>
      <c r="P200" s="0" t="n">
        <f aca="false">IF(AND(食数記録!$A200=プレビュー!$C$3,食数記録!$B200="昼",食数記録!$F200="男性GH",食数記録!$D200="臨時喫食"),1,0)</f>
        <v>0</v>
      </c>
      <c r="Q200" s="0" t="str">
        <f aca="false">IF(P200=1,SUM($P$2:P200),"")</f>
        <v/>
      </c>
      <c r="R200" s="0" t="n">
        <f aca="false">IF(AND(食数記録!$A200=プレビュー!$C$3,食数記録!$B200="夕",食数記録!$F200="男性GH",食数記録!$D200="臨時喫食"),1,0)</f>
        <v>0</v>
      </c>
      <c r="S200" s="0" t="str">
        <f aca="false">IF(R200=1,SUM($R$2:R200),"")</f>
        <v/>
      </c>
      <c r="T200" s="0" t="n">
        <f aca="false">IF(AND(食数記録!$A200=プレビュー!$C$3,食数記録!$B200="朝",食数記録!$F200="女性GH",食数記録!$D200="臨時喫食"),1,0)</f>
        <v>0</v>
      </c>
      <c r="U200" s="0" t="str">
        <f aca="false">IF(T200=1,SUM($T$2:T200),"")</f>
        <v/>
      </c>
      <c r="V200" s="0" t="n">
        <f aca="false">IF(AND(食数記録!$A200=プレビュー!$C$3,食数記録!$B200="昼",食数記録!$F200="女性GH",食数記録!$D200="臨時喫食"),1,0)</f>
        <v>0</v>
      </c>
      <c r="W200" s="0" t="str">
        <f aca="false">IF(V200=1,SUM($V$2:V200),"")</f>
        <v/>
      </c>
      <c r="X200" s="0" t="n">
        <f aca="false">IF(AND(食数記録!$A200=プレビュー!$C$3,食数記録!$B200="夕",食数記録!$F200="女性GH",食数記録!$D200="臨時喫食"),1,0)</f>
        <v>0</v>
      </c>
      <c r="Y200" s="0" t="str">
        <f aca="false">IF(X200=1,SUM($X$2:X200),"")</f>
        <v/>
      </c>
    </row>
    <row r="201" customFormat="false" ht="15" hidden="false" customHeight="false" outlineLevel="0" collapsed="false">
      <c r="B201" s="0" t="n">
        <f aca="false">IF(AND(食数記録!$A201=プレビュー!$C$3,食数記録!$B201="朝",食数記録!$F201="男性入所",食数記録!$D201="欠食"),1,0)</f>
        <v>0</v>
      </c>
      <c r="C201" s="0" t="str">
        <f aca="false">IF(B201=1,SUM($B$2:B201),"")</f>
        <v/>
      </c>
      <c r="D201" s="0" t="n">
        <f aca="false">IF(AND(食数記録!$A201=プレビュー!$C$3,食数記録!$B201="昼",食数記録!$F201="男性入所",食数記録!$D201="欠食"),1,0)</f>
        <v>0</v>
      </c>
      <c r="E201" s="0" t="str">
        <f aca="false">IF(D201=1,SUM($D$2:D201),"")</f>
        <v/>
      </c>
      <c r="F201" s="0" t="n">
        <f aca="false">IF(AND(食数記録!$A201=プレビュー!$C$3,食数記録!$B201="夕",食数記録!$F201="男性入所",食数記録!$D201="欠食"),1,0)</f>
        <v>0</v>
      </c>
      <c r="G201" s="0" t="str">
        <f aca="false">IF(F201=1,SUM($F$2:F201),"")</f>
        <v/>
      </c>
      <c r="H201" s="0" t="n">
        <f aca="false">IF(AND(食数記録!$A201=プレビュー!$C$3,食数記録!$B201="朝",食数記録!$F201="女性入所",食数記録!$D201="欠食"),1,0)</f>
        <v>0</v>
      </c>
      <c r="I201" s="0" t="str">
        <f aca="false">IF(H201=1,SUM($H$2:H201),"")</f>
        <v/>
      </c>
      <c r="J201" s="0" t="n">
        <f aca="false">IF(AND(食数記録!$A201=プレビュー!$C$3,食数記録!$B201="昼",食数記録!$F201="女性入所",食数記録!$D201="欠食"),1,0)</f>
        <v>0</v>
      </c>
      <c r="K201" s="0" t="str">
        <f aca="false">IF(J201=1,SUM($J$2:J201),"")</f>
        <v/>
      </c>
      <c r="L201" s="0" t="n">
        <f aca="false">IF(AND(食数記録!$A201=プレビュー!$C$3,食数記録!$B201="夕",食数記録!$F201="女性入所",食数記録!$D201="欠食"),1,0)</f>
        <v>0</v>
      </c>
      <c r="M201" s="0" t="str">
        <f aca="false">IF(L201=1,SUM($L$2:L201),"")</f>
        <v/>
      </c>
      <c r="N201" s="0" t="n">
        <f aca="false">IF(AND(食数記録!$A201=プレビュー!$C$3,食数記録!$B201="朝",食数記録!$F201="男性GH",食数記録!$D201="臨時喫食"),1,0)</f>
        <v>0</v>
      </c>
      <c r="O201" s="0" t="str">
        <f aca="false">IF(N201=1,SUM($N$2:N201),"")</f>
        <v/>
      </c>
      <c r="P201" s="0" t="n">
        <f aca="false">IF(AND(食数記録!$A201=プレビュー!$C$3,食数記録!$B201="昼",食数記録!$F201="男性GH",食数記録!$D201="臨時喫食"),1,0)</f>
        <v>0</v>
      </c>
      <c r="Q201" s="0" t="str">
        <f aca="false">IF(P201=1,SUM($P$2:P201),"")</f>
        <v/>
      </c>
      <c r="R201" s="0" t="n">
        <f aca="false">IF(AND(食数記録!$A201=プレビュー!$C$3,食数記録!$B201="夕",食数記録!$F201="男性GH",食数記録!$D201="臨時喫食"),1,0)</f>
        <v>0</v>
      </c>
      <c r="S201" s="0" t="str">
        <f aca="false">IF(R201=1,SUM($R$2:R201),"")</f>
        <v/>
      </c>
      <c r="T201" s="0" t="n">
        <f aca="false">IF(AND(食数記録!$A201=プレビュー!$C$3,食数記録!$B201="朝",食数記録!$F201="女性GH",食数記録!$D201="臨時喫食"),1,0)</f>
        <v>0</v>
      </c>
      <c r="U201" s="0" t="str">
        <f aca="false">IF(T201=1,SUM($T$2:T201),"")</f>
        <v/>
      </c>
      <c r="V201" s="0" t="n">
        <f aca="false">IF(AND(食数記録!$A201=プレビュー!$C$3,食数記録!$B201="昼",食数記録!$F201="女性GH",食数記録!$D201="臨時喫食"),1,0)</f>
        <v>0</v>
      </c>
      <c r="W201" s="0" t="str">
        <f aca="false">IF(V201=1,SUM($V$2:V201),"")</f>
        <v/>
      </c>
      <c r="X201" s="0" t="n">
        <f aca="false">IF(AND(食数記録!$A201=プレビュー!$C$3,食数記録!$B201="夕",食数記録!$F201="女性GH",食数記録!$D201="臨時喫食"),1,0)</f>
        <v>0</v>
      </c>
      <c r="Y201" s="0" t="str">
        <f aca="false">IF(X201=1,SUM($X$2:X201),"")</f>
        <v/>
      </c>
    </row>
    <row r="202" customFormat="false" ht="15" hidden="false" customHeight="false" outlineLevel="0" collapsed="false">
      <c r="B202" s="0" t="n">
        <f aca="false">IF(AND(食数記録!$A202=プレビュー!$C$3,食数記録!$B202="朝",食数記録!$F202="男性入所",食数記録!$D202="欠食"),1,0)</f>
        <v>0</v>
      </c>
      <c r="C202" s="0" t="str">
        <f aca="false">IF(B202=1,SUM($B$2:B202),"")</f>
        <v/>
      </c>
      <c r="D202" s="0" t="n">
        <f aca="false">IF(AND(食数記録!$A202=プレビュー!$C$3,食数記録!$B202="昼",食数記録!$F202="男性入所",食数記録!$D202="欠食"),1,0)</f>
        <v>0</v>
      </c>
      <c r="E202" s="0" t="str">
        <f aca="false">IF(D202=1,SUM($D$2:D202),"")</f>
        <v/>
      </c>
      <c r="F202" s="0" t="n">
        <f aca="false">IF(AND(食数記録!$A202=プレビュー!$C$3,食数記録!$B202="夕",食数記録!$F202="男性入所",食数記録!$D202="欠食"),1,0)</f>
        <v>0</v>
      </c>
      <c r="G202" s="0" t="str">
        <f aca="false">IF(F202=1,SUM($F$2:F202),"")</f>
        <v/>
      </c>
      <c r="H202" s="0" t="n">
        <f aca="false">IF(AND(食数記録!$A202=プレビュー!$C$3,食数記録!$B202="朝",食数記録!$F202="女性入所",食数記録!$D202="欠食"),1,0)</f>
        <v>0</v>
      </c>
      <c r="I202" s="0" t="str">
        <f aca="false">IF(H202=1,SUM($H$2:H202),"")</f>
        <v/>
      </c>
      <c r="J202" s="0" t="n">
        <f aca="false">IF(AND(食数記録!$A202=プレビュー!$C$3,食数記録!$B202="昼",食数記録!$F202="女性入所",食数記録!$D202="欠食"),1,0)</f>
        <v>0</v>
      </c>
      <c r="K202" s="0" t="str">
        <f aca="false">IF(J202=1,SUM($J$2:J202),"")</f>
        <v/>
      </c>
      <c r="L202" s="0" t="n">
        <f aca="false">IF(AND(食数記録!$A202=プレビュー!$C$3,食数記録!$B202="夕",食数記録!$F202="女性入所",食数記録!$D202="欠食"),1,0)</f>
        <v>0</v>
      </c>
      <c r="M202" s="0" t="str">
        <f aca="false">IF(L202=1,SUM($L$2:L202),"")</f>
        <v/>
      </c>
      <c r="N202" s="0" t="n">
        <f aca="false">IF(AND(食数記録!$A202=プレビュー!$C$3,食数記録!$B202="朝",食数記録!$F202="男性GH",食数記録!$D202="臨時喫食"),1,0)</f>
        <v>0</v>
      </c>
      <c r="O202" s="0" t="str">
        <f aca="false">IF(N202=1,SUM($N$2:N202),"")</f>
        <v/>
      </c>
      <c r="P202" s="0" t="n">
        <f aca="false">IF(AND(食数記録!$A202=プレビュー!$C$3,食数記録!$B202="昼",食数記録!$F202="男性GH",食数記録!$D202="臨時喫食"),1,0)</f>
        <v>0</v>
      </c>
      <c r="Q202" s="0" t="str">
        <f aca="false">IF(P202=1,SUM($P$2:P202),"")</f>
        <v/>
      </c>
      <c r="R202" s="0" t="n">
        <f aca="false">IF(AND(食数記録!$A202=プレビュー!$C$3,食数記録!$B202="夕",食数記録!$F202="男性GH",食数記録!$D202="臨時喫食"),1,0)</f>
        <v>0</v>
      </c>
      <c r="S202" s="0" t="str">
        <f aca="false">IF(R202=1,SUM($R$2:R202),"")</f>
        <v/>
      </c>
      <c r="T202" s="0" t="n">
        <f aca="false">IF(AND(食数記録!$A202=プレビュー!$C$3,食数記録!$B202="朝",食数記録!$F202="女性GH",食数記録!$D202="臨時喫食"),1,0)</f>
        <v>0</v>
      </c>
      <c r="U202" s="0" t="str">
        <f aca="false">IF(T202=1,SUM($T$2:T202),"")</f>
        <v/>
      </c>
      <c r="V202" s="0" t="n">
        <f aca="false">IF(AND(食数記録!$A202=プレビュー!$C$3,食数記録!$B202="昼",食数記録!$F202="女性GH",食数記録!$D202="臨時喫食"),1,0)</f>
        <v>0</v>
      </c>
      <c r="W202" s="0" t="str">
        <f aca="false">IF(V202=1,SUM($V$2:V202),"")</f>
        <v/>
      </c>
      <c r="X202" s="0" t="n">
        <f aca="false">IF(AND(食数記録!$A202=プレビュー!$C$3,食数記録!$B202="夕",食数記録!$F202="女性GH",食数記録!$D202="臨時喫食"),1,0)</f>
        <v>0</v>
      </c>
      <c r="Y202" s="0" t="str">
        <f aca="false">IF(X202=1,SUM($X$2:X202),"")</f>
        <v/>
      </c>
    </row>
    <row r="203" customFormat="false" ht="15" hidden="false" customHeight="false" outlineLevel="0" collapsed="false">
      <c r="B203" s="0" t="n">
        <f aca="false">IF(AND(食数記録!$A203=プレビュー!$C$3,食数記録!$B203="朝",食数記録!$F203="男性入所",食数記録!$D203="欠食"),1,0)</f>
        <v>0</v>
      </c>
      <c r="C203" s="0" t="str">
        <f aca="false">IF(B203=1,SUM($B$2:B203),"")</f>
        <v/>
      </c>
      <c r="D203" s="0" t="n">
        <f aca="false">IF(AND(食数記録!$A203=プレビュー!$C$3,食数記録!$B203="昼",食数記録!$F203="男性入所",食数記録!$D203="欠食"),1,0)</f>
        <v>0</v>
      </c>
      <c r="E203" s="0" t="str">
        <f aca="false">IF(D203=1,SUM($D$2:D203),"")</f>
        <v/>
      </c>
      <c r="F203" s="0" t="n">
        <f aca="false">IF(AND(食数記録!$A203=プレビュー!$C$3,食数記録!$B203="夕",食数記録!$F203="男性入所",食数記録!$D203="欠食"),1,0)</f>
        <v>0</v>
      </c>
      <c r="G203" s="0" t="str">
        <f aca="false">IF(F203=1,SUM($F$2:F203),"")</f>
        <v/>
      </c>
      <c r="H203" s="0" t="n">
        <f aca="false">IF(AND(食数記録!$A203=プレビュー!$C$3,食数記録!$B203="朝",食数記録!$F203="女性入所",食数記録!$D203="欠食"),1,0)</f>
        <v>0</v>
      </c>
      <c r="I203" s="0" t="str">
        <f aca="false">IF(H203=1,SUM($H$2:H203),"")</f>
        <v/>
      </c>
      <c r="J203" s="0" t="n">
        <f aca="false">IF(AND(食数記録!$A203=プレビュー!$C$3,食数記録!$B203="昼",食数記録!$F203="女性入所",食数記録!$D203="欠食"),1,0)</f>
        <v>0</v>
      </c>
      <c r="K203" s="0" t="str">
        <f aca="false">IF(J203=1,SUM($J$2:J203),"")</f>
        <v/>
      </c>
      <c r="L203" s="0" t="n">
        <f aca="false">IF(AND(食数記録!$A203=プレビュー!$C$3,食数記録!$B203="夕",食数記録!$F203="女性入所",食数記録!$D203="欠食"),1,0)</f>
        <v>0</v>
      </c>
      <c r="M203" s="0" t="str">
        <f aca="false">IF(L203=1,SUM($L$2:L203),"")</f>
        <v/>
      </c>
      <c r="N203" s="0" t="n">
        <f aca="false">IF(AND(食数記録!$A203=プレビュー!$C$3,食数記録!$B203="朝",食数記録!$F203="男性GH",食数記録!$D203="臨時喫食"),1,0)</f>
        <v>0</v>
      </c>
      <c r="O203" s="0" t="str">
        <f aca="false">IF(N203=1,SUM($N$2:N203),"")</f>
        <v/>
      </c>
      <c r="P203" s="0" t="n">
        <f aca="false">IF(AND(食数記録!$A203=プレビュー!$C$3,食数記録!$B203="昼",食数記録!$F203="男性GH",食数記録!$D203="臨時喫食"),1,0)</f>
        <v>0</v>
      </c>
      <c r="Q203" s="0" t="str">
        <f aca="false">IF(P203=1,SUM($P$2:P203),"")</f>
        <v/>
      </c>
      <c r="R203" s="0" t="n">
        <f aca="false">IF(AND(食数記録!$A203=プレビュー!$C$3,食数記録!$B203="夕",食数記録!$F203="男性GH",食数記録!$D203="臨時喫食"),1,0)</f>
        <v>0</v>
      </c>
      <c r="S203" s="0" t="str">
        <f aca="false">IF(R203=1,SUM($R$2:R203),"")</f>
        <v/>
      </c>
      <c r="T203" s="0" t="n">
        <f aca="false">IF(AND(食数記録!$A203=プレビュー!$C$3,食数記録!$B203="朝",食数記録!$F203="女性GH",食数記録!$D203="臨時喫食"),1,0)</f>
        <v>0</v>
      </c>
      <c r="U203" s="0" t="str">
        <f aca="false">IF(T203=1,SUM($T$2:T203),"")</f>
        <v/>
      </c>
      <c r="V203" s="0" t="n">
        <f aca="false">IF(AND(食数記録!$A203=プレビュー!$C$3,食数記録!$B203="昼",食数記録!$F203="女性GH",食数記録!$D203="臨時喫食"),1,0)</f>
        <v>0</v>
      </c>
      <c r="W203" s="0" t="str">
        <f aca="false">IF(V203=1,SUM($V$2:V203),"")</f>
        <v/>
      </c>
      <c r="X203" s="0" t="n">
        <f aca="false">IF(AND(食数記録!$A203=プレビュー!$C$3,食数記録!$B203="夕",食数記録!$F203="女性GH",食数記録!$D203="臨時喫食"),1,0)</f>
        <v>0</v>
      </c>
      <c r="Y203" s="0" t="str">
        <f aca="false">IF(X203=1,SUM($X$2:X203),"")</f>
        <v/>
      </c>
    </row>
    <row r="204" customFormat="false" ht="15" hidden="false" customHeight="false" outlineLevel="0" collapsed="false">
      <c r="B204" s="0" t="n">
        <f aca="false">IF(AND(食数記録!$A204=プレビュー!$C$3,食数記録!$B204="朝",食数記録!$F204="男性入所",食数記録!$D204="欠食"),1,0)</f>
        <v>0</v>
      </c>
      <c r="C204" s="0" t="str">
        <f aca="false">IF(B204=1,SUM($B$2:B204),"")</f>
        <v/>
      </c>
      <c r="D204" s="0" t="n">
        <f aca="false">IF(AND(食数記録!$A204=プレビュー!$C$3,食数記録!$B204="昼",食数記録!$F204="男性入所",食数記録!$D204="欠食"),1,0)</f>
        <v>0</v>
      </c>
      <c r="E204" s="0" t="str">
        <f aca="false">IF(D204=1,SUM($D$2:D204),"")</f>
        <v/>
      </c>
      <c r="F204" s="0" t="n">
        <f aca="false">IF(AND(食数記録!$A204=プレビュー!$C$3,食数記録!$B204="夕",食数記録!$F204="男性入所",食数記録!$D204="欠食"),1,0)</f>
        <v>0</v>
      </c>
      <c r="G204" s="0" t="str">
        <f aca="false">IF(F204=1,SUM($F$2:F204),"")</f>
        <v/>
      </c>
      <c r="H204" s="0" t="n">
        <f aca="false">IF(AND(食数記録!$A204=プレビュー!$C$3,食数記録!$B204="朝",食数記録!$F204="女性入所",食数記録!$D204="欠食"),1,0)</f>
        <v>0</v>
      </c>
      <c r="I204" s="0" t="str">
        <f aca="false">IF(H204=1,SUM($H$2:H204),"")</f>
        <v/>
      </c>
      <c r="J204" s="0" t="n">
        <f aca="false">IF(AND(食数記録!$A204=プレビュー!$C$3,食数記録!$B204="昼",食数記録!$F204="女性入所",食数記録!$D204="欠食"),1,0)</f>
        <v>0</v>
      </c>
      <c r="K204" s="0" t="str">
        <f aca="false">IF(J204=1,SUM($J$2:J204),"")</f>
        <v/>
      </c>
      <c r="L204" s="0" t="n">
        <f aca="false">IF(AND(食数記録!$A204=プレビュー!$C$3,食数記録!$B204="夕",食数記録!$F204="女性入所",食数記録!$D204="欠食"),1,0)</f>
        <v>0</v>
      </c>
      <c r="M204" s="0" t="str">
        <f aca="false">IF(L204=1,SUM($L$2:L204),"")</f>
        <v/>
      </c>
      <c r="N204" s="0" t="n">
        <f aca="false">IF(AND(食数記録!$A204=プレビュー!$C$3,食数記録!$B204="朝",食数記録!$F204="男性GH",食数記録!$D204="臨時喫食"),1,0)</f>
        <v>0</v>
      </c>
      <c r="O204" s="0" t="str">
        <f aca="false">IF(N204=1,SUM($N$2:N204),"")</f>
        <v/>
      </c>
      <c r="P204" s="0" t="n">
        <f aca="false">IF(AND(食数記録!$A204=プレビュー!$C$3,食数記録!$B204="昼",食数記録!$F204="男性GH",食数記録!$D204="臨時喫食"),1,0)</f>
        <v>0</v>
      </c>
      <c r="Q204" s="0" t="str">
        <f aca="false">IF(P204=1,SUM($P$2:P204),"")</f>
        <v/>
      </c>
      <c r="R204" s="0" t="n">
        <f aca="false">IF(AND(食数記録!$A204=プレビュー!$C$3,食数記録!$B204="夕",食数記録!$F204="男性GH",食数記録!$D204="臨時喫食"),1,0)</f>
        <v>0</v>
      </c>
      <c r="S204" s="0" t="str">
        <f aca="false">IF(R204=1,SUM($R$2:R204),"")</f>
        <v/>
      </c>
      <c r="T204" s="0" t="n">
        <f aca="false">IF(AND(食数記録!$A204=プレビュー!$C$3,食数記録!$B204="朝",食数記録!$F204="女性GH",食数記録!$D204="臨時喫食"),1,0)</f>
        <v>0</v>
      </c>
      <c r="U204" s="0" t="str">
        <f aca="false">IF(T204=1,SUM($T$2:T204),"")</f>
        <v/>
      </c>
      <c r="V204" s="0" t="n">
        <f aca="false">IF(AND(食数記録!$A204=プレビュー!$C$3,食数記録!$B204="昼",食数記録!$F204="女性GH",食数記録!$D204="臨時喫食"),1,0)</f>
        <v>0</v>
      </c>
      <c r="W204" s="0" t="str">
        <f aca="false">IF(V204=1,SUM($V$2:V204),"")</f>
        <v/>
      </c>
      <c r="X204" s="0" t="n">
        <f aca="false">IF(AND(食数記録!$A204=プレビュー!$C$3,食数記録!$B204="夕",食数記録!$F204="女性GH",食数記録!$D204="臨時喫食"),1,0)</f>
        <v>0</v>
      </c>
      <c r="Y204" s="0" t="str">
        <f aca="false">IF(X204=1,SUM($X$2:X204),"")</f>
        <v/>
      </c>
    </row>
    <row r="205" customFormat="false" ht="15" hidden="false" customHeight="false" outlineLevel="0" collapsed="false">
      <c r="B205" s="0" t="n">
        <f aca="false">IF(AND(食数記録!$A205=プレビュー!$C$3,食数記録!$B205="朝",食数記録!$F205="男性入所",食数記録!$D205="欠食"),1,0)</f>
        <v>0</v>
      </c>
      <c r="C205" s="0" t="str">
        <f aca="false">IF(B205=1,SUM($B$2:B205),"")</f>
        <v/>
      </c>
      <c r="D205" s="0" t="n">
        <f aca="false">IF(AND(食数記録!$A205=プレビュー!$C$3,食数記録!$B205="昼",食数記録!$F205="男性入所",食数記録!$D205="欠食"),1,0)</f>
        <v>0</v>
      </c>
      <c r="E205" s="0" t="str">
        <f aca="false">IF(D205=1,SUM($D$2:D205),"")</f>
        <v/>
      </c>
      <c r="F205" s="0" t="n">
        <f aca="false">IF(AND(食数記録!$A205=プレビュー!$C$3,食数記録!$B205="夕",食数記録!$F205="男性入所",食数記録!$D205="欠食"),1,0)</f>
        <v>0</v>
      </c>
      <c r="G205" s="0" t="str">
        <f aca="false">IF(F205=1,SUM($F$2:F205),"")</f>
        <v/>
      </c>
      <c r="H205" s="0" t="n">
        <f aca="false">IF(AND(食数記録!$A205=プレビュー!$C$3,食数記録!$B205="朝",食数記録!$F205="女性入所",食数記録!$D205="欠食"),1,0)</f>
        <v>0</v>
      </c>
      <c r="I205" s="0" t="str">
        <f aca="false">IF(H205=1,SUM($H$2:H205),"")</f>
        <v/>
      </c>
      <c r="J205" s="0" t="n">
        <f aca="false">IF(AND(食数記録!$A205=プレビュー!$C$3,食数記録!$B205="昼",食数記録!$F205="女性入所",食数記録!$D205="欠食"),1,0)</f>
        <v>0</v>
      </c>
      <c r="K205" s="0" t="str">
        <f aca="false">IF(J205=1,SUM($J$2:J205),"")</f>
        <v/>
      </c>
      <c r="L205" s="0" t="n">
        <f aca="false">IF(AND(食数記録!$A205=プレビュー!$C$3,食数記録!$B205="夕",食数記録!$F205="女性入所",食数記録!$D205="欠食"),1,0)</f>
        <v>0</v>
      </c>
      <c r="M205" s="0" t="str">
        <f aca="false">IF(L205=1,SUM($L$2:L205),"")</f>
        <v/>
      </c>
      <c r="N205" s="0" t="n">
        <f aca="false">IF(AND(食数記録!$A205=プレビュー!$C$3,食数記録!$B205="朝",食数記録!$F205="男性GH",食数記録!$D205="臨時喫食"),1,0)</f>
        <v>0</v>
      </c>
      <c r="O205" s="0" t="str">
        <f aca="false">IF(N205=1,SUM($N$2:N205),"")</f>
        <v/>
      </c>
      <c r="P205" s="0" t="n">
        <f aca="false">IF(AND(食数記録!$A205=プレビュー!$C$3,食数記録!$B205="昼",食数記録!$F205="男性GH",食数記録!$D205="臨時喫食"),1,0)</f>
        <v>0</v>
      </c>
      <c r="Q205" s="0" t="str">
        <f aca="false">IF(P205=1,SUM($P$2:P205),"")</f>
        <v/>
      </c>
      <c r="R205" s="0" t="n">
        <f aca="false">IF(AND(食数記録!$A205=プレビュー!$C$3,食数記録!$B205="夕",食数記録!$F205="男性GH",食数記録!$D205="臨時喫食"),1,0)</f>
        <v>0</v>
      </c>
      <c r="S205" s="0" t="str">
        <f aca="false">IF(R205=1,SUM($R$2:R205),"")</f>
        <v/>
      </c>
      <c r="T205" s="0" t="n">
        <f aca="false">IF(AND(食数記録!$A205=プレビュー!$C$3,食数記録!$B205="朝",食数記録!$F205="女性GH",食数記録!$D205="臨時喫食"),1,0)</f>
        <v>0</v>
      </c>
      <c r="U205" s="0" t="str">
        <f aca="false">IF(T205=1,SUM($T$2:T205),"")</f>
        <v/>
      </c>
      <c r="V205" s="0" t="n">
        <f aca="false">IF(AND(食数記録!$A205=プレビュー!$C$3,食数記録!$B205="昼",食数記録!$F205="女性GH",食数記録!$D205="臨時喫食"),1,0)</f>
        <v>0</v>
      </c>
      <c r="W205" s="0" t="str">
        <f aca="false">IF(V205=1,SUM($V$2:V205),"")</f>
        <v/>
      </c>
      <c r="X205" s="0" t="n">
        <f aca="false">IF(AND(食数記録!$A205=プレビュー!$C$3,食数記録!$B205="夕",食数記録!$F205="女性GH",食数記録!$D205="臨時喫食"),1,0)</f>
        <v>0</v>
      </c>
      <c r="Y205" s="0" t="str">
        <f aca="false">IF(X205=1,SUM($X$2:X205),"")</f>
        <v/>
      </c>
    </row>
    <row r="206" customFormat="false" ht="15" hidden="false" customHeight="false" outlineLevel="0" collapsed="false">
      <c r="B206" s="0" t="n">
        <f aca="false">IF(AND(食数記録!$A206=プレビュー!$C$3,食数記録!$B206="朝",食数記録!$F206="男性入所",食数記録!$D206="欠食"),1,0)</f>
        <v>0</v>
      </c>
      <c r="C206" s="0" t="str">
        <f aca="false">IF(B206=1,SUM($B$2:B206),"")</f>
        <v/>
      </c>
      <c r="D206" s="0" t="n">
        <f aca="false">IF(AND(食数記録!$A206=プレビュー!$C$3,食数記録!$B206="昼",食数記録!$F206="男性入所",食数記録!$D206="欠食"),1,0)</f>
        <v>0</v>
      </c>
      <c r="E206" s="0" t="str">
        <f aca="false">IF(D206=1,SUM($D$2:D206),"")</f>
        <v/>
      </c>
      <c r="F206" s="0" t="n">
        <f aca="false">IF(AND(食数記録!$A206=プレビュー!$C$3,食数記録!$B206="夕",食数記録!$F206="男性入所",食数記録!$D206="欠食"),1,0)</f>
        <v>0</v>
      </c>
      <c r="G206" s="0" t="str">
        <f aca="false">IF(F206=1,SUM($F$2:F206),"")</f>
        <v/>
      </c>
      <c r="H206" s="0" t="n">
        <f aca="false">IF(AND(食数記録!$A206=プレビュー!$C$3,食数記録!$B206="朝",食数記録!$F206="女性入所",食数記録!$D206="欠食"),1,0)</f>
        <v>0</v>
      </c>
      <c r="I206" s="0" t="str">
        <f aca="false">IF(H206=1,SUM($H$2:H206),"")</f>
        <v/>
      </c>
      <c r="J206" s="0" t="n">
        <f aca="false">IF(AND(食数記録!$A206=プレビュー!$C$3,食数記録!$B206="昼",食数記録!$F206="女性入所",食数記録!$D206="欠食"),1,0)</f>
        <v>0</v>
      </c>
      <c r="K206" s="0" t="str">
        <f aca="false">IF(J206=1,SUM($J$2:J206),"")</f>
        <v/>
      </c>
      <c r="L206" s="0" t="n">
        <f aca="false">IF(AND(食数記録!$A206=プレビュー!$C$3,食数記録!$B206="夕",食数記録!$F206="女性入所",食数記録!$D206="欠食"),1,0)</f>
        <v>0</v>
      </c>
      <c r="M206" s="0" t="str">
        <f aca="false">IF(L206=1,SUM($L$2:L206),"")</f>
        <v/>
      </c>
      <c r="N206" s="0" t="n">
        <f aca="false">IF(AND(食数記録!$A206=プレビュー!$C$3,食数記録!$B206="朝",食数記録!$F206="男性GH",食数記録!$D206="臨時喫食"),1,0)</f>
        <v>0</v>
      </c>
      <c r="O206" s="0" t="str">
        <f aca="false">IF(N206=1,SUM($N$2:N206),"")</f>
        <v/>
      </c>
      <c r="P206" s="0" t="n">
        <f aca="false">IF(AND(食数記録!$A206=プレビュー!$C$3,食数記録!$B206="昼",食数記録!$F206="男性GH",食数記録!$D206="臨時喫食"),1,0)</f>
        <v>0</v>
      </c>
      <c r="Q206" s="0" t="str">
        <f aca="false">IF(P206=1,SUM($P$2:P206),"")</f>
        <v/>
      </c>
      <c r="R206" s="0" t="n">
        <f aca="false">IF(AND(食数記録!$A206=プレビュー!$C$3,食数記録!$B206="夕",食数記録!$F206="男性GH",食数記録!$D206="臨時喫食"),1,0)</f>
        <v>0</v>
      </c>
      <c r="S206" s="0" t="str">
        <f aca="false">IF(R206=1,SUM($R$2:R206),"")</f>
        <v/>
      </c>
      <c r="T206" s="0" t="n">
        <f aca="false">IF(AND(食数記録!$A206=プレビュー!$C$3,食数記録!$B206="朝",食数記録!$F206="女性GH",食数記録!$D206="臨時喫食"),1,0)</f>
        <v>0</v>
      </c>
      <c r="U206" s="0" t="str">
        <f aca="false">IF(T206=1,SUM($T$2:T206),"")</f>
        <v/>
      </c>
      <c r="V206" s="0" t="n">
        <f aca="false">IF(AND(食数記録!$A206=プレビュー!$C$3,食数記録!$B206="昼",食数記録!$F206="女性GH",食数記録!$D206="臨時喫食"),1,0)</f>
        <v>0</v>
      </c>
      <c r="W206" s="0" t="str">
        <f aca="false">IF(V206=1,SUM($V$2:V206),"")</f>
        <v/>
      </c>
      <c r="X206" s="0" t="n">
        <f aca="false">IF(AND(食数記録!$A206=プレビュー!$C$3,食数記録!$B206="夕",食数記録!$F206="女性GH",食数記録!$D206="臨時喫食"),1,0)</f>
        <v>0</v>
      </c>
      <c r="Y206" s="0" t="str">
        <f aca="false">IF(X206=1,SUM($X$2:X206),"")</f>
        <v/>
      </c>
    </row>
    <row r="207" customFormat="false" ht="15" hidden="false" customHeight="false" outlineLevel="0" collapsed="false">
      <c r="B207" s="0" t="n">
        <f aca="false">IF(AND(食数記録!$A207=プレビュー!$C$3,食数記録!$B207="朝",食数記録!$F207="男性入所",食数記録!$D207="欠食"),1,0)</f>
        <v>0</v>
      </c>
      <c r="C207" s="0" t="str">
        <f aca="false">IF(B207=1,SUM($B$2:B207),"")</f>
        <v/>
      </c>
      <c r="D207" s="0" t="n">
        <f aca="false">IF(AND(食数記録!$A207=プレビュー!$C$3,食数記録!$B207="昼",食数記録!$F207="男性入所",食数記録!$D207="欠食"),1,0)</f>
        <v>0</v>
      </c>
      <c r="E207" s="0" t="str">
        <f aca="false">IF(D207=1,SUM($D$2:D207),"")</f>
        <v/>
      </c>
      <c r="F207" s="0" t="n">
        <f aca="false">IF(AND(食数記録!$A207=プレビュー!$C$3,食数記録!$B207="夕",食数記録!$F207="男性入所",食数記録!$D207="欠食"),1,0)</f>
        <v>0</v>
      </c>
      <c r="G207" s="0" t="str">
        <f aca="false">IF(F207=1,SUM($F$2:F207),"")</f>
        <v/>
      </c>
      <c r="H207" s="0" t="n">
        <f aca="false">IF(AND(食数記録!$A207=プレビュー!$C$3,食数記録!$B207="朝",食数記録!$F207="女性入所",食数記録!$D207="欠食"),1,0)</f>
        <v>0</v>
      </c>
      <c r="I207" s="0" t="str">
        <f aca="false">IF(H207=1,SUM($H$2:H207),"")</f>
        <v/>
      </c>
      <c r="J207" s="0" t="n">
        <f aca="false">IF(AND(食数記録!$A207=プレビュー!$C$3,食数記録!$B207="昼",食数記録!$F207="女性入所",食数記録!$D207="欠食"),1,0)</f>
        <v>0</v>
      </c>
      <c r="K207" s="0" t="str">
        <f aca="false">IF(J207=1,SUM($J$2:J207),"")</f>
        <v/>
      </c>
      <c r="L207" s="0" t="n">
        <f aca="false">IF(AND(食数記録!$A207=プレビュー!$C$3,食数記録!$B207="夕",食数記録!$F207="女性入所",食数記録!$D207="欠食"),1,0)</f>
        <v>0</v>
      </c>
      <c r="M207" s="0" t="str">
        <f aca="false">IF(L207=1,SUM($L$2:L207),"")</f>
        <v/>
      </c>
      <c r="N207" s="0" t="n">
        <f aca="false">IF(AND(食数記録!$A207=プレビュー!$C$3,食数記録!$B207="朝",食数記録!$F207="男性GH",食数記録!$D207="臨時喫食"),1,0)</f>
        <v>0</v>
      </c>
      <c r="O207" s="0" t="str">
        <f aca="false">IF(N207=1,SUM($N$2:N207),"")</f>
        <v/>
      </c>
      <c r="P207" s="0" t="n">
        <f aca="false">IF(AND(食数記録!$A207=プレビュー!$C$3,食数記録!$B207="昼",食数記録!$F207="男性GH",食数記録!$D207="臨時喫食"),1,0)</f>
        <v>0</v>
      </c>
      <c r="Q207" s="0" t="str">
        <f aca="false">IF(P207=1,SUM($P$2:P207),"")</f>
        <v/>
      </c>
      <c r="R207" s="0" t="n">
        <f aca="false">IF(AND(食数記録!$A207=プレビュー!$C$3,食数記録!$B207="夕",食数記録!$F207="男性GH",食数記録!$D207="臨時喫食"),1,0)</f>
        <v>0</v>
      </c>
      <c r="S207" s="0" t="str">
        <f aca="false">IF(R207=1,SUM($R$2:R207),"")</f>
        <v/>
      </c>
      <c r="T207" s="0" t="n">
        <f aca="false">IF(AND(食数記録!$A207=プレビュー!$C$3,食数記録!$B207="朝",食数記録!$F207="女性GH",食数記録!$D207="臨時喫食"),1,0)</f>
        <v>0</v>
      </c>
      <c r="U207" s="0" t="str">
        <f aca="false">IF(T207=1,SUM($T$2:T207),"")</f>
        <v/>
      </c>
      <c r="V207" s="0" t="n">
        <f aca="false">IF(AND(食数記録!$A207=プレビュー!$C$3,食数記録!$B207="昼",食数記録!$F207="女性GH",食数記録!$D207="臨時喫食"),1,0)</f>
        <v>0</v>
      </c>
      <c r="W207" s="0" t="str">
        <f aca="false">IF(V207=1,SUM($V$2:V207),"")</f>
        <v/>
      </c>
      <c r="X207" s="0" t="n">
        <f aca="false">IF(AND(食数記録!$A207=プレビュー!$C$3,食数記録!$B207="夕",食数記録!$F207="女性GH",食数記録!$D207="臨時喫食"),1,0)</f>
        <v>0</v>
      </c>
      <c r="Y207" s="0" t="str">
        <f aca="false">IF(X207=1,SUM($X$2:X207),"")</f>
        <v/>
      </c>
    </row>
    <row r="208" customFormat="false" ht="15" hidden="false" customHeight="false" outlineLevel="0" collapsed="false">
      <c r="B208" s="0" t="n">
        <f aca="false">IF(AND(食数記録!$A208=プレビュー!$C$3,食数記録!$B208="朝",食数記録!$F208="男性入所",食数記録!$D208="欠食"),1,0)</f>
        <v>0</v>
      </c>
      <c r="C208" s="0" t="str">
        <f aca="false">IF(B208=1,SUM($B$2:B208),"")</f>
        <v/>
      </c>
      <c r="D208" s="0" t="n">
        <f aca="false">IF(AND(食数記録!$A208=プレビュー!$C$3,食数記録!$B208="昼",食数記録!$F208="男性入所",食数記録!$D208="欠食"),1,0)</f>
        <v>0</v>
      </c>
      <c r="E208" s="0" t="str">
        <f aca="false">IF(D208=1,SUM($D$2:D208),"")</f>
        <v/>
      </c>
      <c r="F208" s="0" t="n">
        <f aca="false">IF(AND(食数記録!$A208=プレビュー!$C$3,食数記録!$B208="夕",食数記録!$F208="男性入所",食数記録!$D208="欠食"),1,0)</f>
        <v>0</v>
      </c>
      <c r="G208" s="0" t="str">
        <f aca="false">IF(F208=1,SUM($F$2:F208),"")</f>
        <v/>
      </c>
      <c r="H208" s="0" t="n">
        <f aca="false">IF(AND(食数記録!$A208=プレビュー!$C$3,食数記録!$B208="朝",食数記録!$F208="女性入所",食数記録!$D208="欠食"),1,0)</f>
        <v>0</v>
      </c>
      <c r="I208" s="0" t="str">
        <f aca="false">IF(H208=1,SUM($H$2:H208),"")</f>
        <v/>
      </c>
      <c r="J208" s="0" t="n">
        <f aca="false">IF(AND(食数記録!$A208=プレビュー!$C$3,食数記録!$B208="昼",食数記録!$F208="女性入所",食数記録!$D208="欠食"),1,0)</f>
        <v>0</v>
      </c>
      <c r="K208" s="0" t="str">
        <f aca="false">IF(J208=1,SUM($J$2:J208),"")</f>
        <v/>
      </c>
      <c r="L208" s="0" t="n">
        <f aca="false">IF(AND(食数記録!$A208=プレビュー!$C$3,食数記録!$B208="夕",食数記録!$F208="女性入所",食数記録!$D208="欠食"),1,0)</f>
        <v>0</v>
      </c>
      <c r="M208" s="0" t="str">
        <f aca="false">IF(L208=1,SUM($L$2:L208),"")</f>
        <v/>
      </c>
      <c r="N208" s="0" t="n">
        <f aca="false">IF(AND(食数記録!$A208=プレビュー!$C$3,食数記録!$B208="朝",食数記録!$F208="男性GH",食数記録!$D208="臨時喫食"),1,0)</f>
        <v>0</v>
      </c>
      <c r="O208" s="0" t="str">
        <f aca="false">IF(N208=1,SUM($N$2:N208),"")</f>
        <v/>
      </c>
      <c r="P208" s="0" t="n">
        <f aca="false">IF(AND(食数記録!$A208=プレビュー!$C$3,食数記録!$B208="昼",食数記録!$F208="男性GH",食数記録!$D208="臨時喫食"),1,0)</f>
        <v>0</v>
      </c>
      <c r="Q208" s="0" t="str">
        <f aca="false">IF(P208=1,SUM($P$2:P208),"")</f>
        <v/>
      </c>
      <c r="R208" s="0" t="n">
        <f aca="false">IF(AND(食数記録!$A208=プレビュー!$C$3,食数記録!$B208="夕",食数記録!$F208="男性GH",食数記録!$D208="臨時喫食"),1,0)</f>
        <v>0</v>
      </c>
      <c r="S208" s="0" t="str">
        <f aca="false">IF(R208=1,SUM($R$2:R208),"")</f>
        <v/>
      </c>
      <c r="T208" s="0" t="n">
        <f aca="false">IF(AND(食数記録!$A208=プレビュー!$C$3,食数記録!$B208="朝",食数記録!$F208="女性GH",食数記録!$D208="臨時喫食"),1,0)</f>
        <v>0</v>
      </c>
      <c r="U208" s="0" t="str">
        <f aca="false">IF(T208=1,SUM($T$2:T208),"")</f>
        <v/>
      </c>
      <c r="V208" s="0" t="n">
        <f aca="false">IF(AND(食数記録!$A208=プレビュー!$C$3,食数記録!$B208="昼",食数記録!$F208="女性GH",食数記録!$D208="臨時喫食"),1,0)</f>
        <v>0</v>
      </c>
      <c r="W208" s="0" t="str">
        <f aca="false">IF(V208=1,SUM($V$2:V208),"")</f>
        <v/>
      </c>
      <c r="X208" s="0" t="n">
        <f aca="false">IF(AND(食数記録!$A208=プレビュー!$C$3,食数記録!$B208="夕",食数記録!$F208="女性GH",食数記録!$D208="臨時喫食"),1,0)</f>
        <v>0</v>
      </c>
      <c r="Y208" s="0" t="str">
        <f aca="false">IF(X208=1,SUM($X$2:X208),"")</f>
        <v/>
      </c>
    </row>
    <row r="209" customFormat="false" ht="15" hidden="false" customHeight="false" outlineLevel="0" collapsed="false">
      <c r="B209" s="0" t="n">
        <f aca="false">IF(AND(食数記録!$A209=プレビュー!$C$3,食数記録!$B209="朝",食数記録!$F209="男性入所",食数記録!$D209="欠食"),1,0)</f>
        <v>0</v>
      </c>
      <c r="C209" s="0" t="str">
        <f aca="false">IF(B209=1,SUM($B$2:B209),"")</f>
        <v/>
      </c>
      <c r="D209" s="0" t="n">
        <f aca="false">IF(AND(食数記録!$A209=プレビュー!$C$3,食数記録!$B209="昼",食数記録!$F209="男性入所",食数記録!$D209="欠食"),1,0)</f>
        <v>0</v>
      </c>
      <c r="E209" s="0" t="str">
        <f aca="false">IF(D209=1,SUM($D$2:D209),"")</f>
        <v/>
      </c>
      <c r="F209" s="0" t="n">
        <f aca="false">IF(AND(食数記録!$A209=プレビュー!$C$3,食数記録!$B209="夕",食数記録!$F209="男性入所",食数記録!$D209="欠食"),1,0)</f>
        <v>0</v>
      </c>
      <c r="G209" s="0" t="str">
        <f aca="false">IF(F209=1,SUM($F$2:F209),"")</f>
        <v/>
      </c>
      <c r="H209" s="0" t="n">
        <f aca="false">IF(AND(食数記録!$A209=プレビュー!$C$3,食数記録!$B209="朝",食数記録!$F209="女性入所",食数記録!$D209="欠食"),1,0)</f>
        <v>0</v>
      </c>
      <c r="I209" s="0" t="str">
        <f aca="false">IF(H209=1,SUM($H$2:H209),"")</f>
        <v/>
      </c>
      <c r="J209" s="0" t="n">
        <f aca="false">IF(AND(食数記録!$A209=プレビュー!$C$3,食数記録!$B209="昼",食数記録!$F209="女性入所",食数記録!$D209="欠食"),1,0)</f>
        <v>0</v>
      </c>
      <c r="K209" s="0" t="str">
        <f aca="false">IF(J209=1,SUM($J$2:J209),"")</f>
        <v/>
      </c>
      <c r="L209" s="0" t="n">
        <f aca="false">IF(AND(食数記録!$A209=プレビュー!$C$3,食数記録!$B209="夕",食数記録!$F209="女性入所",食数記録!$D209="欠食"),1,0)</f>
        <v>0</v>
      </c>
      <c r="M209" s="0" t="str">
        <f aca="false">IF(L209=1,SUM($L$2:L209),"")</f>
        <v/>
      </c>
      <c r="N209" s="0" t="n">
        <f aca="false">IF(AND(食数記録!$A209=プレビュー!$C$3,食数記録!$B209="朝",食数記録!$F209="男性GH",食数記録!$D209="臨時喫食"),1,0)</f>
        <v>0</v>
      </c>
      <c r="O209" s="0" t="str">
        <f aca="false">IF(N209=1,SUM($N$2:N209),"")</f>
        <v/>
      </c>
      <c r="P209" s="0" t="n">
        <f aca="false">IF(AND(食数記録!$A209=プレビュー!$C$3,食数記録!$B209="昼",食数記録!$F209="男性GH",食数記録!$D209="臨時喫食"),1,0)</f>
        <v>0</v>
      </c>
      <c r="Q209" s="0" t="str">
        <f aca="false">IF(P209=1,SUM($P$2:P209),"")</f>
        <v/>
      </c>
      <c r="R209" s="0" t="n">
        <f aca="false">IF(AND(食数記録!$A209=プレビュー!$C$3,食数記録!$B209="夕",食数記録!$F209="男性GH",食数記録!$D209="臨時喫食"),1,0)</f>
        <v>0</v>
      </c>
      <c r="S209" s="0" t="str">
        <f aca="false">IF(R209=1,SUM($R$2:R209),"")</f>
        <v/>
      </c>
      <c r="T209" s="0" t="n">
        <f aca="false">IF(AND(食数記録!$A209=プレビュー!$C$3,食数記録!$B209="朝",食数記録!$F209="女性GH",食数記録!$D209="臨時喫食"),1,0)</f>
        <v>0</v>
      </c>
      <c r="U209" s="0" t="str">
        <f aca="false">IF(T209=1,SUM($T$2:T209),"")</f>
        <v/>
      </c>
      <c r="V209" s="0" t="n">
        <f aca="false">IF(AND(食数記録!$A209=プレビュー!$C$3,食数記録!$B209="昼",食数記録!$F209="女性GH",食数記録!$D209="臨時喫食"),1,0)</f>
        <v>0</v>
      </c>
      <c r="W209" s="0" t="str">
        <f aca="false">IF(V209=1,SUM($V$2:V209),"")</f>
        <v/>
      </c>
      <c r="X209" s="0" t="n">
        <f aca="false">IF(AND(食数記録!$A209=プレビュー!$C$3,食数記録!$B209="夕",食数記録!$F209="女性GH",食数記録!$D209="臨時喫食"),1,0)</f>
        <v>0</v>
      </c>
      <c r="Y209" s="0" t="str">
        <f aca="false">IF(X209=1,SUM($X$2:X209),"")</f>
        <v/>
      </c>
    </row>
    <row r="210" customFormat="false" ht="15" hidden="false" customHeight="false" outlineLevel="0" collapsed="false">
      <c r="B210" s="0" t="n">
        <f aca="false">IF(AND(食数記録!$A210=プレビュー!$C$3,食数記録!$B210="朝",食数記録!$F210="男性入所",食数記録!$D210="欠食"),1,0)</f>
        <v>0</v>
      </c>
      <c r="C210" s="0" t="str">
        <f aca="false">IF(B210=1,SUM($B$2:B210),"")</f>
        <v/>
      </c>
      <c r="D210" s="0" t="n">
        <f aca="false">IF(AND(食数記録!$A210=プレビュー!$C$3,食数記録!$B210="昼",食数記録!$F210="男性入所",食数記録!$D210="欠食"),1,0)</f>
        <v>0</v>
      </c>
      <c r="E210" s="0" t="str">
        <f aca="false">IF(D210=1,SUM($D$2:D210),"")</f>
        <v/>
      </c>
      <c r="F210" s="0" t="n">
        <f aca="false">IF(AND(食数記録!$A210=プレビュー!$C$3,食数記録!$B210="夕",食数記録!$F210="男性入所",食数記録!$D210="欠食"),1,0)</f>
        <v>0</v>
      </c>
      <c r="G210" s="0" t="str">
        <f aca="false">IF(F210=1,SUM($F$2:F210),"")</f>
        <v/>
      </c>
      <c r="H210" s="0" t="n">
        <f aca="false">IF(AND(食数記録!$A210=プレビュー!$C$3,食数記録!$B210="朝",食数記録!$F210="女性入所",食数記録!$D210="欠食"),1,0)</f>
        <v>0</v>
      </c>
      <c r="I210" s="0" t="str">
        <f aca="false">IF(H210=1,SUM($H$2:H210),"")</f>
        <v/>
      </c>
      <c r="J210" s="0" t="n">
        <f aca="false">IF(AND(食数記録!$A210=プレビュー!$C$3,食数記録!$B210="昼",食数記録!$F210="女性入所",食数記録!$D210="欠食"),1,0)</f>
        <v>0</v>
      </c>
      <c r="K210" s="0" t="str">
        <f aca="false">IF(J210=1,SUM($J$2:J210),"")</f>
        <v/>
      </c>
      <c r="L210" s="0" t="n">
        <f aca="false">IF(AND(食数記録!$A210=プレビュー!$C$3,食数記録!$B210="夕",食数記録!$F210="女性入所",食数記録!$D210="欠食"),1,0)</f>
        <v>0</v>
      </c>
      <c r="M210" s="0" t="str">
        <f aca="false">IF(L210=1,SUM($L$2:L210),"")</f>
        <v/>
      </c>
      <c r="N210" s="0" t="n">
        <f aca="false">IF(AND(食数記録!$A210=プレビュー!$C$3,食数記録!$B210="朝",食数記録!$F210="男性GH",食数記録!$D210="臨時喫食"),1,0)</f>
        <v>0</v>
      </c>
      <c r="O210" s="0" t="str">
        <f aca="false">IF(N210=1,SUM($N$2:N210),"")</f>
        <v/>
      </c>
      <c r="P210" s="0" t="n">
        <f aca="false">IF(AND(食数記録!$A210=プレビュー!$C$3,食数記録!$B210="昼",食数記録!$F210="男性GH",食数記録!$D210="臨時喫食"),1,0)</f>
        <v>0</v>
      </c>
      <c r="Q210" s="0" t="str">
        <f aca="false">IF(P210=1,SUM($P$2:P210),"")</f>
        <v/>
      </c>
      <c r="R210" s="0" t="n">
        <f aca="false">IF(AND(食数記録!$A210=プレビュー!$C$3,食数記録!$B210="夕",食数記録!$F210="男性GH",食数記録!$D210="臨時喫食"),1,0)</f>
        <v>0</v>
      </c>
      <c r="S210" s="0" t="str">
        <f aca="false">IF(R210=1,SUM($R$2:R210),"")</f>
        <v/>
      </c>
      <c r="T210" s="0" t="n">
        <f aca="false">IF(AND(食数記録!$A210=プレビュー!$C$3,食数記録!$B210="朝",食数記録!$F210="女性GH",食数記録!$D210="臨時喫食"),1,0)</f>
        <v>0</v>
      </c>
      <c r="U210" s="0" t="str">
        <f aca="false">IF(T210=1,SUM($T$2:T210),"")</f>
        <v/>
      </c>
      <c r="V210" s="0" t="n">
        <f aca="false">IF(AND(食数記録!$A210=プレビュー!$C$3,食数記録!$B210="昼",食数記録!$F210="女性GH",食数記録!$D210="臨時喫食"),1,0)</f>
        <v>0</v>
      </c>
      <c r="W210" s="0" t="str">
        <f aca="false">IF(V210=1,SUM($V$2:V210),"")</f>
        <v/>
      </c>
      <c r="X210" s="0" t="n">
        <f aca="false">IF(AND(食数記録!$A210=プレビュー!$C$3,食数記録!$B210="夕",食数記録!$F210="女性GH",食数記録!$D210="臨時喫食"),1,0)</f>
        <v>0</v>
      </c>
      <c r="Y210" s="0" t="str">
        <f aca="false">IF(X210=1,SUM($X$2:X210),"")</f>
        <v/>
      </c>
    </row>
    <row r="211" customFormat="false" ht="15" hidden="false" customHeight="false" outlineLevel="0" collapsed="false">
      <c r="B211" s="0" t="n">
        <f aca="false">IF(AND(食数記録!$A211=プレビュー!$C$3,食数記録!$B211="朝",食数記録!$F211="男性入所",食数記録!$D211="欠食"),1,0)</f>
        <v>0</v>
      </c>
      <c r="C211" s="0" t="str">
        <f aca="false">IF(B211=1,SUM($B$2:B211),"")</f>
        <v/>
      </c>
      <c r="D211" s="0" t="n">
        <f aca="false">IF(AND(食数記録!$A211=プレビュー!$C$3,食数記録!$B211="昼",食数記録!$F211="男性入所",食数記録!$D211="欠食"),1,0)</f>
        <v>0</v>
      </c>
      <c r="E211" s="0" t="str">
        <f aca="false">IF(D211=1,SUM($D$2:D211),"")</f>
        <v/>
      </c>
      <c r="F211" s="0" t="n">
        <f aca="false">IF(AND(食数記録!$A211=プレビュー!$C$3,食数記録!$B211="夕",食数記録!$F211="男性入所",食数記録!$D211="欠食"),1,0)</f>
        <v>0</v>
      </c>
      <c r="G211" s="0" t="str">
        <f aca="false">IF(F211=1,SUM($F$2:F211),"")</f>
        <v/>
      </c>
      <c r="H211" s="0" t="n">
        <f aca="false">IF(AND(食数記録!$A211=プレビュー!$C$3,食数記録!$B211="朝",食数記録!$F211="女性入所",食数記録!$D211="欠食"),1,0)</f>
        <v>0</v>
      </c>
      <c r="I211" s="0" t="str">
        <f aca="false">IF(H211=1,SUM($H$2:H211),"")</f>
        <v/>
      </c>
      <c r="J211" s="0" t="n">
        <f aca="false">IF(AND(食数記録!$A211=プレビュー!$C$3,食数記録!$B211="昼",食数記録!$F211="女性入所",食数記録!$D211="欠食"),1,0)</f>
        <v>0</v>
      </c>
      <c r="K211" s="0" t="str">
        <f aca="false">IF(J211=1,SUM($J$2:J211),"")</f>
        <v/>
      </c>
      <c r="L211" s="0" t="n">
        <f aca="false">IF(AND(食数記録!$A211=プレビュー!$C$3,食数記録!$B211="夕",食数記録!$F211="女性入所",食数記録!$D211="欠食"),1,0)</f>
        <v>0</v>
      </c>
      <c r="M211" s="0" t="str">
        <f aca="false">IF(L211=1,SUM($L$2:L211),"")</f>
        <v/>
      </c>
      <c r="N211" s="0" t="n">
        <f aca="false">IF(AND(食数記録!$A211=プレビュー!$C$3,食数記録!$B211="朝",食数記録!$F211="男性GH",食数記録!$D211="臨時喫食"),1,0)</f>
        <v>0</v>
      </c>
      <c r="O211" s="0" t="str">
        <f aca="false">IF(N211=1,SUM($N$2:N211),"")</f>
        <v/>
      </c>
      <c r="P211" s="0" t="n">
        <f aca="false">IF(AND(食数記録!$A211=プレビュー!$C$3,食数記録!$B211="昼",食数記録!$F211="男性GH",食数記録!$D211="臨時喫食"),1,0)</f>
        <v>0</v>
      </c>
      <c r="Q211" s="0" t="str">
        <f aca="false">IF(P211=1,SUM($P$2:P211),"")</f>
        <v/>
      </c>
      <c r="R211" s="0" t="n">
        <f aca="false">IF(AND(食数記録!$A211=プレビュー!$C$3,食数記録!$B211="夕",食数記録!$F211="男性GH",食数記録!$D211="臨時喫食"),1,0)</f>
        <v>0</v>
      </c>
      <c r="S211" s="0" t="str">
        <f aca="false">IF(R211=1,SUM($R$2:R211),"")</f>
        <v/>
      </c>
      <c r="T211" s="0" t="n">
        <f aca="false">IF(AND(食数記録!$A211=プレビュー!$C$3,食数記録!$B211="朝",食数記録!$F211="女性GH",食数記録!$D211="臨時喫食"),1,0)</f>
        <v>0</v>
      </c>
      <c r="U211" s="0" t="str">
        <f aca="false">IF(T211=1,SUM($T$2:T211),"")</f>
        <v/>
      </c>
      <c r="V211" s="0" t="n">
        <f aca="false">IF(AND(食数記録!$A211=プレビュー!$C$3,食数記録!$B211="昼",食数記録!$F211="女性GH",食数記録!$D211="臨時喫食"),1,0)</f>
        <v>0</v>
      </c>
      <c r="W211" s="0" t="str">
        <f aca="false">IF(V211=1,SUM($V$2:V211),"")</f>
        <v/>
      </c>
      <c r="X211" s="0" t="n">
        <f aca="false">IF(AND(食数記録!$A211=プレビュー!$C$3,食数記録!$B211="夕",食数記録!$F211="女性GH",食数記録!$D211="臨時喫食"),1,0)</f>
        <v>0</v>
      </c>
      <c r="Y211" s="0" t="str">
        <f aca="false">IF(X211=1,SUM($X$2:X211),"")</f>
        <v/>
      </c>
    </row>
    <row r="212" customFormat="false" ht="15" hidden="false" customHeight="false" outlineLevel="0" collapsed="false">
      <c r="B212" s="0" t="n">
        <f aca="false">IF(AND(食数記録!$A212=プレビュー!$C$3,食数記録!$B212="朝",食数記録!$F212="男性入所",食数記録!$D212="欠食"),1,0)</f>
        <v>0</v>
      </c>
      <c r="C212" s="0" t="str">
        <f aca="false">IF(B212=1,SUM($B$2:B212),"")</f>
        <v/>
      </c>
      <c r="D212" s="0" t="n">
        <f aca="false">IF(AND(食数記録!$A212=プレビュー!$C$3,食数記録!$B212="昼",食数記録!$F212="男性入所",食数記録!$D212="欠食"),1,0)</f>
        <v>0</v>
      </c>
      <c r="E212" s="0" t="str">
        <f aca="false">IF(D212=1,SUM($D$2:D212),"")</f>
        <v/>
      </c>
      <c r="F212" s="0" t="n">
        <f aca="false">IF(AND(食数記録!$A212=プレビュー!$C$3,食数記録!$B212="夕",食数記録!$F212="男性入所",食数記録!$D212="欠食"),1,0)</f>
        <v>0</v>
      </c>
      <c r="G212" s="0" t="str">
        <f aca="false">IF(F212=1,SUM($F$2:F212),"")</f>
        <v/>
      </c>
      <c r="H212" s="0" t="n">
        <f aca="false">IF(AND(食数記録!$A212=プレビュー!$C$3,食数記録!$B212="朝",食数記録!$F212="女性入所",食数記録!$D212="欠食"),1,0)</f>
        <v>0</v>
      </c>
      <c r="I212" s="0" t="str">
        <f aca="false">IF(H212=1,SUM($H$2:H212),"")</f>
        <v/>
      </c>
      <c r="J212" s="0" t="n">
        <f aca="false">IF(AND(食数記録!$A212=プレビュー!$C$3,食数記録!$B212="昼",食数記録!$F212="女性入所",食数記録!$D212="欠食"),1,0)</f>
        <v>0</v>
      </c>
      <c r="K212" s="0" t="str">
        <f aca="false">IF(J212=1,SUM($J$2:J212),"")</f>
        <v/>
      </c>
      <c r="L212" s="0" t="n">
        <f aca="false">IF(AND(食数記録!$A212=プレビュー!$C$3,食数記録!$B212="夕",食数記録!$F212="女性入所",食数記録!$D212="欠食"),1,0)</f>
        <v>0</v>
      </c>
      <c r="M212" s="0" t="str">
        <f aca="false">IF(L212=1,SUM($L$2:L212),"")</f>
        <v/>
      </c>
      <c r="N212" s="0" t="n">
        <f aca="false">IF(AND(食数記録!$A212=プレビュー!$C$3,食数記録!$B212="朝",食数記録!$F212="男性GH",食数記録!$D212="臨時喫食"),1,0)</f>
        <v>0</v>
      </c>
      <c r="O212" s="0" t="str">
        <f aca="false">IF(N212=1,SUM($N$2:N212),"")</f>
        <v/>
      </c>
      <c r="P212" s="0" t="n">
        <f aca="false">IF(AND(食数記録!$A212=プレビュー!$C$3,食数記録!$B212="昼",食数記録!$F212="男性GH",食数記録!$D212="臨時喫食"),1,0)</f>
        <v>0</v>
      </c>
      <c r="Q212" s="0" t="str">
        <f aca="false">IF(P212=1,SUM($P$2:P212),"")</f>
        <v/>
      </c>
      <c r="R212" s="0" t="n">
        <f aca="false">IF(AND(食数記録!$A212=プレビュー!$C$3,食数記録!$B212="夕",食数記録!$F212="男性GH",食数記録!$D212="臨時喫食"),1,0)</f>
        <v>0</v>
      </c>
      <c r="S212" s="0" t="str">
        <f aca="false">IF(R212=1,SUM($R$2:R212),"")</f>
        <v/>
      </c>
      <c r="T212" s="0" t="n">
        <f aca="false">IF(AND(食数記録!$A212=プレビュー!$C$3,食数記録!$B212="朝",食数記録!$F212="女性GH",食数記録!$D212="臨時喫食"),1,0)</f>
        <v>0</v>
      </c>
      <c r="U212" s="0" t="str">
        <f aca="false">IF(T212=1,SUM($T$2:T212),"")</f>
        <v/>
      </c>
      <c r="V212" s="0" t="n">
        <f aca="false">IF(AND(食数記録!$A212=プレビュー!$C$3,食数記録!$B212="昼",食数記録!$F212="女性GH",食数記録!$D212="臨時喫食"),1,0)</f>
        <v>0</v>
      </c>
      <c r="W212" s="0" t="str">
        <f aca="false">IF(V212=1,SUM($V$2:V212),"")</f>
        <v/>
      </c>
      <c r="X212" s="0" t="n">
        <f aca="false">IF(AND(食数記録!$A212=プレビュー!$C$3,食数記録!$B212="夕",食数記録!$F212="女性GH",食数記録!$D212="臨時喫食"),1,0)</f>
        <v>0</v>
      </c>
      <c r="Y212" s="0" t="str">
        <f aca="false">IF(X212=1,SUM($X$2:X212),"")</f>
        <v/>
      </c>
    </row>
    <row r="213" customFormat="false" ht="15" hidden="false" customHeight="false" outlineLevel="0" collapsed="false">
      <c r="B213" s="0" t="n">
        <f aca="false">IF(AND(食数記録!$A213=プレビュー!$C$3,食数記録!$B213="朝",食数記録!$F213="男性入所",食数記録!$D213="欠食"),1,0)</f>
        <v>0</v>
      </c>
      <c r="C213" s="0" t="str">
        <f aca="false">IF(B213=1,SUM($B$2:B213),"")</f>
        <v/>
      </c>
      <c r="D213" s="0" t="n">
        <f aca="false">IF(AND(食数記録!$A213=プレビュー!$C$3,食数記録!$B213="昼",食数記録!$F213="男性入所",食数記録!$D213="欠食"),1,0)</f>
        <v>0</v>
      </c>
      <c r="E213" s="0" t="str">
        <f aca="false">IF(D213=1,SUM($D$2:D213),"")</f>
        <v/>
      </c>
      <c r="F213" s="0" t="n">
        <f aca="false">IF(AND(食数記録!$A213=プレビュー!$C$3,食数記録!$B213="夕",食数記録!$F213="男性入所",食数記録!$D213="欠食"),1,0)</f>
        <v>0</v>
      </c>
      <c r="G213" s="0" t="str">
        <f aca="false">IF(F213=1,SUM($F$2:F213),"")</f>
        <v/>
      </c>
      <c r="H213" s="0" t="n">
        <f aca="false">IF(AND(食数記録!$A213=プレビュー!$C$3,食数記録!$B213="朝",食数記録!$F213="女性入所",食数記録!$D213="欠食"),1,0)</f>
        <v>0</v>
      </c>
      <c r="I213" s="0" t="str">
        <f aca="false">IF(H213=1,SUM($H$2:H213),"")</f>
        <v/>
      </c>
      <c r="J213" s="0" t="n">
        <f aca="false">IF(AND(食数記録!$A213=プレビュー!$C$3,食数記録!$B213="昼",食数記録!$F213="女性入所",食数記録!$D213="欠食"),1,0)</f>
        <v>0</v>
      </c>
      <c r="K213" s="0" t="str">
        <f aca="false">IF(J213=1,SUM($J$2:J213),"")</f>
        <v/>
      </c>
      <c r="L213" s="0" t="n">
        <f aca="false">IF(AND(食数記録!$A213=プレビュー!$C$3,食数記録!$B213="夕",食数記録!$F213="女性入所",食数記録!$D213="欠食"),1,0)</f>
        <v>0</v>
      </c>
      <c r="M213" s="0" t="str">
        <f aca="false">IF(L213=1,SUM($L$2:L213),"")</f>
        <v/>
      </c>
      <c r="N213" s="0" t="n">
        <f aca="false">IF(AND(食数記録!$A213=プレビュー!$C$3,食数記録!$B213="朝",食数記録!$F213="男性GH",食数記録!$D213="臨時喫食"),1,0)</f>
        <v>0</v>
      </c>
      <c r="O213" s="0" t="str">
        <f aca="false">IF(N213=1,SUM($N$2:N213),"")</f>
        <v/>
      </c>
      <c r="P213" s="0" t="n">
        <f aca="false">IF(AND(食数記録!$A213=プレビュー!$C$3,食数記録!$B213="昼",食数記録!$F213="男性GH",食数記録!$D213="臨時喫食"),1,0)</f>
        <v>0</v>
      </c>
      <c r="Q213" s="0" t="str">
        <f aca="false">IF(P213=1,SUM($P$2:P213),"")</f>
        <v/>
      </c>
      <c r="R213" s="0" t="n">
        <f aca="false">IF(AND(食数記録!$A213=プレビュー!$C$3,食数記録!$B213="夕",食数記録!$F213="男性GH",食数記録!$D213="臨時喫食"),1,0)</f>
        <v>0</v>
      </c>
      <c r="S213" s="0" t="str">
        <f aca="false">IF(R213=1,SUM($R$2:R213),"")</f>
        <v/>
      </c>
      <c r="T213" s="0" t="n">
        <f aca="false">IF(AND(食数記録!$A213=プレビュー!$C$3,食数記録!$B213="朝",食数記録!$F213="女性GH",食数記録!$D213="臨時喫食"),1,0)</f>
        <v>0</v>
      </c>
      <c r="U213" s="0" t="str">
        <f aca="false">IF(T213=1,SUM($T$2:T213),"")</f>
        <v/>
      </c>
      <c r="V213" s="0" t="n">
        <f aca="false">IF(AND(食数記録!$A213=プレビュー!$C$3,食数記録!$B213="昼",食数記録!$F213="女性GH",食数記録!$D213="臨時喫食"),1,0)</f>
        <v>0</v>
      </c>
      <c r="W213" s="0" t="str">
        <f aca="false">IF(V213=1,SUM($V$2:V213),"")</f>
        <v/>
      </c>
      <c r="X213" s="0" t="n">
        <f aca="false">IF(AND(食数記録!$A213=プレビュー!$C$3,食数記録!$B213="夕",食数記録!$F213="女性GH",食数記録!$D213="臨時喫食"),1,0)</f>
        <v>0</v>
      </c>
      <c r="Y213" s="0" t="str">
        <f aca="false">IF(X213=1,SUM($X$2:X213),"")</f>
        <v/>
      </c>
    </row>
    <row r="214" customFormat="false" ht="15" hidden="false" customHeight="false" outlineLevel="0" collapsed="false">
      <c r="B214" s="0" t="n">
        <f aca="false">IF(AND(食数記録!$A214=プレビュー!$C$3,食数記録!$B214="朝",食数記録!$F214="男性入所",食数記録!$D214="欠食"),1,0)</f>
        <v>0</v>
      </c>
      <c r="C214" s="0" t="str">
        <f aca="false">IF(B214=1,SUM($B$2:B214),"")</f>
        <v/>
      </c>
      <c r="D214" s="0" t="n">
        <f aca="false">IF(AND(食数記録!$A214=プレビュー!$C$3,食数記録!$B214="昼",食数記録!$F214="男性入所",食数記録!$D214="欠食"),1,0)</f>
        <v>0</v>
      </c>
      <c r="E214" s="0" t="str">
        <f aca="false">IF(D214=1,SUM($D$2:D214),"")</f>
        <v/>
      </c>
      <c r="F214" s="0" t="n">
        <f aca="false">IF(AND(食数記録!$A214=プレビュー!$C$3,食数記録!$B214="夕",食数記録!$F214="男性入所",食数記録!$D214="欠食"),1,0)</f>
        <v>0</v>
      </c>
      <c r="G214" s="0" t="str">
        <f aca="false">IF(F214=1,SUM($F$2:F214),"")</f>
        <v/>
      </c>
      <c r="H214" s="0" t="n">
        <f aca="false">IF(AND(食数記録!$A214=プレビュー!$C$3,食数記録!$B214="朝",食数記録!$F214="女性入所",食数記録!$D214="欠食"),1,0)</f>
        <v>0</v>
      </c>
      <c r="I214" s="0" t="str">
        <f aca="false">IF(H214=1,SUM($H$2:H214),"")</f>
        <v/>
      </c>
      <c r="J214" s="0" t="n">
        <f aca="false">IF(AND(食数記録!$A214=プレビュー!$C$3,食数記録!$B214="昼",食数記録!$F214="女性入所",食数記録!$D214="欠食"),1,0)</f>
        <v>0</v>
      </c>
      <c r="K214" s="0" t="str">
        <f aca="false">IF(J214=1,SUM($J$2:J214),"")</f>
        <v/>
      </c>
      <c r="L214" s="0" t="n">
        <f aca="false">IF(AND(食数記録!$A214=プレビュー!$C$3,食数記録!$B214="夕",食数記録!$F214="女性入所",食数記録!$D214="欠食"),1,0)</f>
        <v>0</v>
      </c>
      <c r="M214" s="0" t="str">
        <f aca="false">IF(L214=1,SUM($L$2:L214),"")</f>
        <v/>
      </c>
      <c r="N214" s="0" t="n">
        <f aca="false">IF(AND(食数記録!$A214=プレビュー!$C$3,食数記録!$B214="朝",食数記録!$F214="男性GH",食数記録!$D214="臨時喫食"),1,0)</f>
        <v>0</v>
      </c>
      <c r="O214" s="0" t="str">
        <f aca="false">IF(N214=1,SUM($N$2:N214),"")</f>
        <v/>
      </c>
      <c r="P214" s="0" t="n">
        <f aca="false">IF(AND(食数記録!$A214=プレビュー!$C$3,食数記録!$B214="昼",食数記録!$F214="男性GH",食数記録!$D214="臨時喫食"),1,0)</f>
        <v>0</v>
      </c>
      <c r="Q214" s="0" t="str">
        <f aca="false">IF(P214=1,SUM($P$2:P214),"")</f>
        <v/>
      </c>
      <c r="R214" s="0" t="n">
        <f aca="false">IF(AND(食数記録!$A214=プレビュー!$C$3,食数記録!$B214="夕",食数記録!$F214="男性GH",食数記録!$D214="臨時喫食"),1,0)</f>
        <v>0</v>
      </c>
      <c r="S214" s="0" t="str">
        <f aca="false">IF(R214=1,SUM($R$2:R214),"")</f>
        <v/>
      </c>
      <c r="T214" s="0" t="n">
        <f aca="false">IF(AND(食数記録!$A214=プレビュー!$C$3,食数記録!$B214="朝",食数記録!$F214="女性GH",食数記録!$D214="臨時喫食"),1,0)</f>
        <v>0</v>
      </c>
      <c r="U214" s="0" t="str">
        <f aca="false">IF(T214=1,SUM($T$2:T214),"")</f>
        <v/>
      </c>
      <c r="V214" s="0" t="n">
        <f aca="false">IF(AND(食数記録!$A214=プレビュー!$C$3,食数記録!$B214="昼",食数記録!$F214="女性GH",食数記録!$D214="臨時喫食"),1,0)</f>
        <v>0</v>
      </c>
      <c r="W214" s="0" t="str">
        <f aca="false">IF(V214=1,SUM($V$2:V214),"")</f>
        <v/>
      </c>
      <c r="X214" s="0" t="n">
        <f aca="false">IF(AND(食数記録!$A214=プレビュー!$C$3,食数記録!$B214="夕",食数記録!$F214="女性GH",食数記録!$D214="臨時喫食"),1,0)</f>
        <v>0</v>
      </c>
      <c r="Y214" s="0" t="str">
        <f aca="false">IF(X214=1,SUM($X$2:X214),"")</f>
        <v/>
      </c>
    </row>
    <row r="215" customFormat="false" ht="15" hidden="false" customHeight="false" outlineLevel="0" collapsed="false">
      <c r="B215" s="0" t="n">
        <f aca="false">IF(AND(食数記録!$A215=プレビュー!$C$3,食数記録!$B215="朝",食数記録!$F215="男性入所",食数記録!$D215="欠食"),1,0)</f>
        <v>0</v>
      </c>
      <c r="C215" s="0" t="str">
        <f aca="false">IF(B215=1,SUM($B$2:B215),"")</f>
        <v/>
      </c>
      <c r="D215" s="0" t="n">
        <f aca="false">IF(AND(食数記録!$A215=プレビュー!$C$3,食数記録!$B215="昼",食数記録!$F215="男性入所",食数記録!$D215="欠食"),1,0)</f>
        <v>0</v>
      </c>
      <c r="E215" s="0" t="str">
        <f aca="false">IF(D215=1,SUM($D$2:D215),"")</f>
        <v/>
      </c>
      <c r="F215" s="0" t="n">
        <f aca="false">IF(AND(食数記録!$A215=プレビュー!$C$3,食数記録!$B215="夕",食数記録!$F215="男性入所",食数記録!$D215="欠食"),1,0)</f>
        <v>0</v>
      </c>
      <c r="G215" s="0" t="str">
        <f aca="false">IF(F215=1,SUM($F$2:F215),"")</f>
        <v/>
      </c>
      <c r="H215" s="0" t="n">
        <f aca="false">IF(AND(食数記録!$A215=プレビュー!$C$3,食数記録!$B215="朝",食数記録!$F215="女性入所",食数記録!$D215="欠食"),1,0)</f>
        <v>0</v>
      </c>
      <c r="I215" s="0" t="str">
        <f aca="false">IF(H215=1,SUM($H$2:H215),"")</f>
        <v/>
      </c>
      <c r="J215" s="0" t="n">
        <f aca="false">IF(AND(食数記録!$A215=プレビュー!$C$3,食数記録!$B215="昼",食数記録!$F215="女性入所",食数記録!$D215="欠食"),1,0)</f>
        <v>0</v>
      </c>
      <c r="K215" s="0" t="str">
        <f aca="false">IF(J215=1,SUM($J$2:J215),"")</f>
        <v/>
      </c>
      <c r="L215" s="0" t="n">
        <f aca="false">IF(AND(食数記録!$A215=プレビュー!$C$3,食数記録!$B215="夕",食数記録!$F215="女性入所",食数記録!$D215="欠食"),1,0)</f>
        <v>0</v>
      </c>
      <c r="M215" s="0" t="str">
        <f aca="false">IF(L215=1,SUM($L$2:L215),"")</f>
        <v/>
      </c>
      <c r="N215" s="0" t="n">
        <f aca="false">IF(AND(食数記録!$A215=プレビュー!$C$3,食数記録!$B215="朝",食数記録!$F215="男性GH",食数記録!$D215="臨時喫食"),1,0)</f>
        <v>0</v>
      </c>
      <c r="O215" s="0" t="str">
        <f aca="false">IF(N215=1,SUM($N$2:N215),"")</f>
        <v/>
      </c>
      <c r="P215" s="0" t="n">
        <f aca="false">IF(AND(食数記録!$A215=プレビュー!$C$3,食数記録!$B215="昼",食数記録!$F215="男性GH",食数記録!$D215="臨時喫食"),1,0)</f>
        <v>0</v>
      </c>
      <c r="Q215" s="0" t="str">
        <f aca="false">IF(P215=1,SUM($P$2:P215),"")</f>
        <v/>
      </c>
      <c r="R215" s="0" t="n">
        <f aca="false">IF(AND(食数記録!$A215=プレビュー!$C$3,食数記録!$B215="夕",食数記録!$F215="男性GH",食数記録!$D215="臨時喫食"),1,0)</f>
        <v>0</v>
      </c>
      <c r="S215" s="0" t="str">
        <f aca="false">IF(R215=1,SUM($R$2:R215),"")</f>
        <v/>
      </c>
      <c r="T215" s="0" t="n">
        <f aca="false">IF(AND(食数記録!$A215=プレビュー!$C$3,食数記録!$B215="朝",食数記録!$F215="女性GH",食数記録!$D215="臨時喫食"),1,0)</f>
        <v>0</v>
      </c>
      <c r="U215" s="0" t="str">
        <f aca="false">IF(T215=1,SUM($T$2:T215),"")</f>
        <v/>
      </c>
      <c r="V215" s="0" t="n">
        <f aca="false">IF(AND(食数記録!$A215=プレビュー!$C$3,食数記録!$B215="昼",食数記録!$F215="女性GH",食数記録!$D215="臨時喫食"),1,0)</f>
        <v>0</v>
      </c>
      <c r="W215" s="0" t="str">
        <f aca="false">IF(V215=1,SUM($V$2:V215),"")</f>
        <v/>
      </c>
      <c r="X215" s="0" t="n">
        <f aca="false">IF(AND(食数記録!$A215=プレビュー!$C$3,食数記録!$B215="夕",食数記録!$F215="女性GH",食数記録!$D215="臨時喫食"),1,0)</f>
        <v>0</v>
      </c>
      <c r="Y215" s="0" t="str">
        <f aca="false">IF(X215=1,SUM($X$2:X215),"")</f>
        <v/>
      </c>
    </row>
    <row r="216" customFormat="false" ht="15" hidden="false" customHeight="false" outlineLevel="0" collapsed="false">
      <c r="B216" s="0" t="n">
        <f aca="false">IF(AND(食数記録!$A216=プレビュー!$C$3,食数記録!$B216="朝",食数記録!$F216="男性入所",食数記録!$D216="欠食"),1,0)</f>
        <v>0</v>
      </c>
      <c r="C216" s="0" t="str">
        <f aca="false">IF(B216=1,SUM($B$2:B216),"")</f>
        <v/>
      </c>
      <c r="D216" s="0" t="n">
        <f aca="false">IF(AND(食数記録!$A216=プレビュー!$C$3,食数記録!$B216="昼",食数記録!$F216="男性入所",食数記録!$D216="欠食"),1,0)</f>
        <v>0</v>
      </c>
      <c r="E216" s="0" t="str">
        <f aca="false">IF(D216=1,SUM($D$2:D216),"")</f>
        <v/>
      </c>
      <c r="F216" s="0" t="n">
        <f aca="false">IF(AND(食数記録!$A216=プレビュー!$C$3,食数記録!$B216="夕",食数記録!$F216="男性入所",食数記録!$D216="欠食"),1,0)</f>
        <v>0</v>
      </c>
      <c r="G216" s="0" t="str">
        <f aca="false">IF(F216=1,SUM($F$2:F216),"")</f>
        <v/>
      </c>
      <c r="H216" s="0" t="n">
        <f aca="false">IF(AND(食数記録!$A216=プレビュー!$C$3,食数記録!$B216="朝",食数記録!$F216="女性入所",食数記録!$D216="欠食"),1,0)</f>
        <v>0</v>
      </c>
      <c r="I216" s="0" t="str">
        <f aca="false">IF(H216=1,SUM($H$2:H216),"")</f>
        <v/>
      </c>
      <c r="J216" s="0" t="n">
        <f aca="false">IF(AND(食数記録!$A216=プレビュー!$C$3,食数記録!$B216="昼",食数記録!$F216="女性入所",食数記録!$D216="欠食"),1,0)</f>
        <v>0</v>
      </c>
      <c r="K216" s="0" t="str">
        <f aca="false">IF(J216=1,SUM($J$2:J216),"")</f>
        <v/>
      </c>
      <c r="L216" s="0" t="n">
        <f aca="false">IF(AND(食数記録!$A216=プレビュー!$C$3,食数記録!$B216="夕",食数記録!$F216="女性入所",食数記録!$D216="欠食"),1,0)</f>
        <v>0</v>
      </c>
      <c r="M216" s="0" t="str">
        <f aca="false">IF(L216=1,SUM($L$2:L216),"")</f>
        <v/>
      </c>
      <c r="N216" s="0" t="n">
        <f aca="false">IF(AND(食数記録!$A216=プレビュー!$C$3,食数記録!$B216="朝",食数記録!$F216="男性GH",食数記録!$D216="臨時喫食"),1,0)</f>
        <v>0</v>
      </c>
      <c r="O216" s="0" t="str">
        <f aca="false">IF(N216=1,SUM($N$2:N216),"")</f>
        <v/>
      </c>
      <c r="P216" s="0" t="n">
        <f aca="false">IF(AND(食数記録!$A216=プレビュー!$C$3,食数記録!$B216="昼",食数記録!$F216="男性GH",食数記録!$D216="臨時喫食"),1,0)</f>
        <v>0</v>
      </c>
      <c r="Q216" s="0" t="str">
        <f aca="false">IF(P216=1,SUM($P$2:P216),"")</f>
        <v/>
      </c>
      <c r="R216" s="0" t="n">
        <f aca="false">IF(AND(食数記録!$A216=プレビュー!$C$3,食数記録!$B216="夕",食数記録!$F216="男性GH",食数記録!$D216="臨時喫食"),1,0)</f>
        <v>0</v>
      </c>
      <c r="S216" s="0" t="str">
        <f aca="false">IF(R216=1,SUM($R$2:R216),"")</f>
        <v/>
      </c>
      <c r="T216" s="0" t="n">
        <f aca="false">IF(AND(食数記録!$A216=プレビュー!$C$3,食数記録!$B216="朝",食数記録!$F216="女性GH",食数記録!$D216="臨時喫食"),1,0)</f>
        <v>0</v>
      </c>
      <c r="U216" s="0" t="str">
        <f aca="false">IF(T216=1,SUM($T$2:T216),"")</f>
        <v/>
      </c>
      <c r="V216" s="0" t="n">
        <f aca="false">IF(AND(食数記録!$A216=プレビュー!$C$3,食数記録!$B216="昼",食数記録!$F216="女性GH",食数記録!$D216="臨時喫食"),1,0)</f>
        <v>0</v>
      </c>
      <c r="W216" s="0" t="str">
        <f aca="false">IF(V216=1,SUM($V$2:V216),"")</f>
        <v/>
      </c>
      <c r="X216" s="0" t="n">
        <f aca="false">IF(AND(食数記録!$A216=プレビュー!$C$3,食数記録!$B216="夕",食数記録!$F216="女性GH",食数記録!$D216="臨時喫食"),1,0)</f>
        <v>0</v>
      </c>
      <c r="Y216" s="0" t="str">
        <f aca="false">IF(X216=1,SUM($X$2:X216),"")</f>
        <v/>
      </c>
    </row>
    <row r="217" customFormat="false" ht="15" hidden="false" customHeight="false" outlineLevel="0" collapsed="false">
      <c r="B217" s="0" t="n">
        <f aca="false">IF(AND(食数記録!$A217=プレビュー!$C$3,食数記録!$B217="朝",食数記録!$F217="男性入所",食数記録!$D217="欠食"),1,0)</f>
        <v>0</v>
      </c>
      <c r="C217" s="0" t="str">
        <f aca="false">IF(B217=1,SUM($B$2:B217),"")</f>
        <v/>
      </c>
      <c r="D217" s="0" t="n">
        <f aca="false">IF(AND(食数記録!$A217=プレビュー!$C$3,食数記録!$B217="昼",食数記録!$F217="男性入所",食数記録!$D217="欠食"),1,0)</f>
        <v>0</v>
      </c>
      <c r="E217" s="0" t="str">
        <f aca="false">IF(D217=1,SUM($D$2:D217),"")</f>
        <v/>
      </c>
      <c r="F217" s="0" t="n">
        <f aca="false">IF(AND(食数記録!$A217=プレビュー!$C$3,食数記録!$B217="夕",食数記録!$F217="男性入所",食数記録!$D217="欠食"),1,0)</f>
        <v>0</v>
      </c>
      <c r="G217" s="0" t="str">
        <f aca="false">IF(F217=1,SUM($F$2:F217),"")</f>
        <v/>
      </c>
      <c r="H217" s="0" t="n">
        <f aca="false">IF(AND(食数記録!$A217=プレビュー!$C$3,食数記録!$B217="朝",食数記録!$F217="女性入所",食数記録!$D217="欠食"),1,0)</f>
        <v>0</v>
      </c>
      <c r="I217" s="0" t="str">
        <f aca="false">IF(H217=1,SUM($H$2:H217),"")</f>
        <v/>
      </c>
      <c r="J217" s="0" t="n">
        <f aca="false">IF(AND(食数記録!$A217=プレビュー!$C$3,食数記録!$B217="昼",食数記録!$F217="女性入所",食数記録!$D217="欠食"),1,0)</f>
        <v>0</v>
      </c>
      <c r="K217" s="0" t="str">
        <f aca="false">IF(J217=1,SUM($J$2:J217),"")</f>
        <v/>
      </c>
      <c r="L217" s="0" t="n">
        <f aca="false">IF(AND(食数記録!$A217=プレビュー!$C$3,食数記録!$B217="夕",食数記録!$F217="女性入所",食数記録!$D217="欠食"),1,0)</f>
        <v>0</v>
      </c>
      <c r="M217" s="0" t="str">
        <f aca="false">IF(L217=1,SUM($L$2:L217),"")</f>
        <v/>
      </c>
      <c r="N217" s="0" t="n">
        <f aca="false">IF(AND(食数記録!$A217=プレビュー!$C$3,食数記録!$B217="朝",食数記録!$F217="男性GH",食数記録!$D217="臨時喫食"),1,0)</f>
        <v>0</v>
      </c>
      <c r="O217" s="0" t="str">
        <f aca="false">IF(N217=1,SUM($N$2:N217),"")</f>
        <v/>
      </c>
      <c r="P217" s="0" t="n">
        <f aca="false">IF(AND(食数記録!$A217=プレビュー!$C$3,食数記録!$B217="昼",食数記録!$F217="男性GH",食数記録!$D217="臨時喫食"),1,0)</f>
        <v>0</v>
      </c>
      <c r="Q217" s="0" t="str">
        <f aca="false">IF(P217=1,SUM($P$2:P217),"")</f>
        <v/>
      </c>
      <c r="R217" s="0" t="n">
        <f aca="false">IF(AND(食数記録!$A217=プレビュー!$C$3,食数記録!$B217="夕",食数記録!$F217="男性GH",食数記録!$D217="臨時喫食"),1,0)</f>
        <v>0</v>
      </c>
      <c r="S217" s="0" t="str">
        <f aca="false">IF(R217=1,SUM($R$2:R217),"")</f>
        <v/>
      </c>
      <c r="T217" s="0" t="n">
        <f aca="false">IF(AND(食数記録!$A217=プレビュー!$C$3,食数記録!$B217="朝",食数記録!$F217="女性GH",食数記録!$D217="臨時喫食"),1,0)</f>
        <v>0</v>
      </c>
      <c r="U217" s="0" t="str">
        <f aca="false">IF(T217=1,SUM($T$2:T217),"")</f>
        <v/>
      </c>
      <c r="V217" s="0" t="n">
        <f aca="false">IF(AND(食数記録!$A217=プレビュー!$C$3,食数記録!$B217="昼",食数記録!$F217="女性GH",食数記録!$D217="臨時喫食"),1,0)</f>
        <v>0</v>
      </c>
      <c r="W217" s="0" t="str">
        <f aca="false">IF(V217=1,SUM($V$2:V217),"")</f>
        <v/>
      </c>
      <c r="X217" s="0" t="n">
        <f aca="false">IF(AND(食数記録!$A217=プレビュー!$C$3,食数記録!$B217="夕",食数記録!$F217="女性GH",食数記録!$D217="臨時喫食"),1,0)</f>
        <v>0</v>
      </c>
      <c r="Y217" s="0" t="str">
        <f aca="false">IF(X217=1,SUM($X$2:X217),"")</f>
        <v/>
      </c>
    </row>
    <row r="218" customFormat="false" ht="15" hidden="false" customHeight="false" outlineLevel="0" collapsed="false">
      <c r="B218" s="0" t="n">
        <f aca="false">IF(AND(食数記録!$A218=プレビュー!$C$3,食数記録!$B218="朝",食数記録!$F218="男性入所",食数記録!$D218="欠食"),1,0)</f>
        <v>0</v>
      </c>
      <c r="C218" s="0" t="str">
        <f aca="false">IF(B218=1,SUM($B$2:B218),"")</f>
        <v/>
      </c>
      <c r="D218" s="0" t="n">
        <f aca="false">IF(AND(食数記録!$A218=プレビュー!$C$3,食数記録!$B218="昼",食数記録!$F218="男性入所",食数記録!$D218="欠食"),1,0)</f>
        <v>0</v>
      </c>
      <c r="E218" s="0" t="str">
        <f aca="false">IF(D218=1,SUM($D$2:D218),"")</f>
        <v/>
      </c>
      <c r="F218" s="0" t="n">
        <f aca="false">IF(AND(食数記録!$A218=プレビュー!$C$3,食数記録!$B218="夕",食数記録!$F218="男性入所",食数記録!$D218="欠食"),1,0)</f>
        <v>0</v>
      </c>
      <c r="G218" s="0" t="str">
        <f aca="false">IF(F218=1,SUM($F$2:F218),"")</f>
        <v/>
      </c>
      <c r="H218" s="0" t="n">
        <f aca="false">IF(AND(食数記録!$A218=プレビュー!$C$3,食数記録!$B218="朝",食数記録!$F218="女性入所",食数記録!$D218="欠食"),1,0)</f>
        <v>0</v>
      </c>
      <c r="I218" s="0" t="str">
        <f aca="false">IF(H218=1,SUM($H$2:H218),"")</f>
        <v/>
      </c>
      <c r="J218" s="0" t="n">
        <f aca="false">IF(AND(食数記録!$A218=プレビュー!$C$3,食数記録!$B218="昼",食数記録!$F218="女性入所",食数記録!$D218="欠食"),1,0)</f>
        <v>0</v>
      </c>
      <c r="K218" s="0" t="str">
        <f aca="false">IF(J218=1,SUM($J$2:J218),"")</f>
        <v/>
      </c>
      <c r="L218" s="0" t="n">
        <f aca="false">IF(AND(食数記録!$A218=プレビュー!$C$3,食数記録!$B218="夕",食数記録!$F218="女性入所",食数記録!$D218="欠食"),1,0)</f>
        <v>0</v>
      </c>
      <c r="M218" s="0" t="str">
        <f aca="false">IF(L218=1,SUM($L$2:L218),"")</f>
        <v/>
      </c>
      <c r="N218" s="0" t="n">
        <f aca="false">IF(AND(食数記録!$A218=プレビュー!$C$3,食数記録!$B218="朝",食数記録!$F218="男性GH",食数記録!$D218="臨時喫食"),1,0)</f>
        <v>0</v>
      </c>
      <c r="O218" s="0" t="str">
        <f aca="false">IF(N218=1,SUM($N$2:N218),"")</f>
        <v/>
      </c>
      <c r="P218" s="0" t="n">
        <f aca="false">IF(AND(食数記録!$A218=プレビュー!$C$3,食数記録!$B218="昼",食数記録!$F218="男性GH",食数記録!$D218="臨時喫食"),1,0)</f>
        <v>0</v>
      </c>
      <c r="Q218" s="0" t="str">
        <f aca="false">IF(P218=1,SUM($P$2:P218),"")</f>
        <v/>
      </c>
      <c r="R218" s="0" t="n">
        <f aca="false">IF(AND(食数記録!$A218=プレビュー!$C$3,食数記録!$B218="夕",食数記録!$F218="男性GH",食数記録!$D218="臨時喫食"),1,0)</f>
        <v>0</v>
      </c>
      <c r="S218" s="0" t="str">
        <f aca="false">IF(R218=1,SUM($R$2:R218),"")</f>
        <v/>
      </c>
      <c r="T218" s="0" t="n">
        <f aca="false">IF(AND(食数記録!$A218=プレビュー!$C$3,食数記録!$B218="朝",食数記録!$F218="女性GH",食数記録!$D218="臨時喫食"),1,0)</f>
        <v>0</v>
      </c>
      <c r="U218" s="0" t="str">
        <f aca="false">IF(T218=1,SUM($T$2:T218),"")</f>
        <v/>
      </c>
      <c r="V218" s="0" t="n">
        <f aca="false">IF(AND(食数記録!$A218=プレビュー!$C$3,食数記録!$B218="昼",食数記録!$F218="女性GH",食数記録!$D218="臨時喫食"),1,0)</f>
        <v>0</v>
      </c>
      <c r="W218" s="0" t="str">
        <f aca="false">IF(V218=1,SUM($V$2:V218),"")</f>
        <v/>
      </c>
      <c r="X218" s="0" t="n">
        <f aca="false">IF(AND(食数記録!$A218=プレビュー!$C$3,食数記録!$B218="夕",食数記録!$F218="女性GH",食数記録!$D218="臨時喫食"),1,0)</f>
        <v>0</v>
      </c>
      <c r="Y218" s="0" t="str">
        <f aca="false">IF(X218=1,SUM($X$2:X218),"")</f>
        <v/>
      </c>
    </row>
    <row r="219" customFormat="false" ht="15" hidden="false" customHeight="false" outlineLevel="0" collapsed="false">
      <c r="B219" s="0" t="n">
        <f aca="false">IF(AND(食数記録!$A219=プレビュー!$C$3,食数記録!$B219="朝",食数記録!$F219="男性入所",食数記録!$D219="欠食"),1,0)</f>
        <v>0</v>
      </c>
      <c r="C219" s="0" t="str">
        <f aca="false">IF(B219=1,SUM($B$2:B219),"")</f>
        <v/>
      </c>
      <c r="D219" s="0" t="n">
        <f aca="false">IF(AND(食数記録!$A219=プレビュー!$C$3,食数記録!$B219="昼",食数記録!$F219="男性入所",食数記録!$D219="欠食"),1,0)</f>
        <v>0</v>
      </c>
      <c r="E219" s="0" t="str">
        <f aca="false">IF(D219=1,SUM($D$2:D219),"")</f>
        <v/>
      </c>
      <c r="F219" s="0" t="n">
        <f aca="false">IF(AND(食数記録!$A219=プレビュー!$C$3,食数記録!$B219="夕",食数記録!$F219="男性入所",食数記録!$D219="欠食"),1,0)</f>
        <v>0</v>
      </c>
      <c r="G219" s="0" t="str">
        <f aca="false">IF(F219=1,SUM($F$2:F219),"")</f>
        <v/>
      </c>
      <c r="H219" s="0" t="n">
        <f aca="false">IF(AND(食数記録!$A219=プレビュー!$C$3,食数記録!$B219="朝",食数記録!$F219="女性入所",食数記録!$D219="欠食"),1,0)</f>
        <v>0</v>
      </c>
      <c r="I219" s="0" t="str">
        <f aca="false">IF(H219=1,SUM($H$2:H219),"")</f>
        <v/>
      </c>
      <c r="J219" s="0" t="n">
        <f aca="false">IF(AND(食数記録!$A219=プレビュー!$C$3,食数記録!$B219="昼",食数記録!$F219="女性入所",食数記録!$D219="欠食"),1,0)</f>
        <v>0</v>
      </c>
      <c r="K219" s="0" t="str">
        <f aca="false">IF(J219=1,SUM($J$2:J219),"")</f>
        <v/>
      </c>
      <c r="L219" s="0" t="n">
        <f aca="false">IF(AND(食数記録!$A219=プレビュー!$C$3,食数記録!$B219="夕",食数記録!$F219="女性入所",食数記録!$D219="欠食"),1,0)</f>
        <v>0</v>
      </c>
      <c r="M219" s="0" t="str">
        <f aca="false">IF(L219=1,SUM($L$2:L219),"")</f>
        <v/>
      </c>
      <c r="N219" s="0" t="n">
        <f aca="false">IF(AND(食数記録!$A219=プレビュー!$C$3,食数記録!$B219="朝",食数記録!$F219="男性GH",食数記録!$D219="臨時喫食"),1,0)</f>
        <v>0</v>
      </c>
      <c r="O219" s="0" t="str">
        <f aca="false">IF(N219=1,SUM($N$2:N219),"")</f>
        <v/>
      </c>
      <c r="P219" s="0" t="n">
        <f aca="false">IF(AND(食数記録!$A219=プレビュー!$C$3,食数記録!$B219="昼",食数記録!$F219="男性GH",食数記録!$D219="臨時喫食"),1,0)</f>
        <v>0</v>
      </c>
      <c r="Q219" s="0" t="str">
        <f aca="false">IF(P219=1,SUM($P$2:P219),"")</f>
        <v/>
      </c>
      <c r="R219" s="0" t="n">
        <f aca="false">IF(AND(食数記録!$A219=プレビュー!$C$3,食数記録!$B219="夕",食数記録!$F219="男性GH",食数記録!$D219="臨時喫食"),1,0)</f>
        <v>0</v>
      </c>
      <c r="S219" s="0" t="str">
        <f aca="false">IF(R219=1,SUM($R$2:R219),"")</f>
        <v/>
      </c>
      <c r="T219" s="0" t="n">
        <f aca="false">IF(AND(食数記録!$A219=プレビュー!$C$3,食数記録!$B219="朝",食数記録!$F219="女性GH",食数記録!$D219="臨時喫食"),1,0)</f>
        <v>0</v>
      </c>
      <c r="U219" s="0" t="str">
        <f aca="false">IF(T219=1,SUM($T$2:T219),"")</f>
        <v/>
      </c>
      <c r="V219" s="0" t="n">
        <f aca="false">IF(AND(食数記録!$A219=プレビュー!$C$3,食数記録!$B219="昼",食数記録!$F219="女性GH",食数記録!$D219="臨時喫食"),1,0)</f>
        <v>0</v>
      </c>
      <c r="W219" s="0" t="str">
        <f aca="false">IF(V219=1,SUM($V$2:V219),"")</f>
        <v/>
      </c>
      <c r="X219" s="0" t="n">
        <f aca="false">IF(AND(食数記録!$A219=プレビュー!$C$3,食数記録!$B219="夕",食数記録!$F219="女性GH",食数記録!$D219="臨時喫食"),1,0)</f>
        <v>0</v>
      </c>
      <c r="Y219" s="0" t="str">
        <f aca="false">IF(X219=1,SUM($X$2:X219),"")</f>
        <v/>
      </c>
    </row>
    <row r="220" customFormat="false" ht="15" hidden="false" customHeight="false" outlineLevel="0" collapsed="false">
      <c r="B220" s="0" t="n">
        <f aca="false">IF(AND(食数記録!$A220=プレビュー!$C$3,食数記録!$B220="朝",食数記録!$F220="男性入所",食数記録!$D220="欠食"),1,0)</f>
        <v>0</v>
      </c>
      <c r="C220" s="0" t="str">
        <f aca="false">IF(B220=1,SUM($B$2:B220),"")</f>
        <v/>
      </c>
      <c r="D220" s="0" t="n">
        <f aca="false">IF(AND(食数記録!$A220=プレビュー!$C$3,食数記録!$B220="昼",食数記録!$F220="男性入所",食数記録!$D220="欠食"),1,0)</f>
        <v>0</v>
      </c>
      <c r="E220" s="0" t="str">
        <f aca="false">IF(D220=1,SUM($D$2:D220),"")</f>
        <v/>
      </c>
      <c r="F220" s="0" t="n">
        <f aca="false">IF(AND(食数記録!$A220=プレビュー!$C$3,食数記録!$B220="夕",食数記録!$F220="男性入所",食数記録!$D220="欠食"),1,0)</f>
        <v>0</v>
      </c>
      <c r="G220" s="0" t="str">
        <f aca="false">IF(F220=1,SUM($F$2:F220),"")</f>
        <v/>
      </c>
      <c r="H220" s="0" t="n">
        <f aca="false">IF(AND(食数記録!$A220=プレビュー!$C$3,食数記録!$B220="朝",食数記録!$F220="女性入所",食数記録!$D220="欠食"),1,0)</f>
        <v>0</v>
      </c>
      <c r="I220" s="0" t="str">
        <f aca="false">IF(H220=1,SUM($H$2:H220),"")</f>
        <v/>
      </c>
      <c r="J220" s="0" t="n">
        <f aca="false">IF(AND(食数記録!$A220=プレビュー!$C$3,食数記録!$B220="昼",食数記録!$F220="女性入所",食数記録!$D220="欠食"),1,0)</f>
        <v>0</v>
      </c>
      <c r="K220" s="0" t="str">
        <f aca="false">IF(J220=1,SUM($J$2:J220),"")</f>
        <v/>
      </c>
      <c r="L220" s="0" t="n">
        <f aca="false">IF(AND(食数記録!$A220=プレビュー!$C$3,食数記録!$B220="夕",食数記録!$F220="女性入所",食数記録!$D220="欠食"),1,0)</f>
        <v>0</v>
      </c>
      <c r="M220" s="0" t="str">
        <f aca="false">IF(L220=1,SUM($L$2:L220),"")</f>
        <v/>
      </c>
      <c r="N220" s="0" t="n">
        <f aca="false">IF(AND(食数記録!$A220=プレビュー!$C$3,食数記録!$B220="朝",食数記録!$F220="男性GH",食数記録!$D220="臨時喫食"),1,0)</f>
        <v>0</v>
      </c>
      <c r="O220" s="0" t="str">
        <f aca="false">IF(N220=1,SUM($N$2:N220),"")</f>
        <v/>
      </c>
      <c r="P220" s="0" t="n">
        <f aca="false">IF(AND(食数記録!$A220=プレビュー!$C$3,食数記録!$B220="昼",食数記録!$F220="男性GH",食数記録!$D220="臨時喫食"),1,0)</f>
        <v>0</v>
      </c>
      <c r="Q220" s="0" t="str">
        <f aca="false">IF(P220=1,SUM($P$2:P220),"")</f>
        <v/>
      </c>
      <c r="R220" s="0" t="n">
        <f aca="false">IF(AND(食数記録!$A220=プレビュー!$C$3,食数記録!$B220="夕",食数記録!$F220="男性GH",食数記録!$D220="臨時喫食"),1,0)</f>
        <v>0</v>
      </c>
      <c r="S220" s="0" t="str">
        <f aca="false">IF(R220=1,SUM($R$2:R220),"")</f>
        <v/>
      </c>
      <c r="T220" s="0" t="n">
        <f aca="false">IF(AND(食数記録!$A220=プレビュー!$C$3,食数記録!$B220="朝",食数記録!$F220="女性GH",食数記録!$D220="臨時喫食"),1,0)</f>
        <v>0</v>
      </c>
      <c r="U220" s="0" t="str">
        <f aca="false">IF(T220=1,SUM($T$2:T220),"")</f>
        <v/>
      </c>
      <c r="V220" s="0" t="n">
        <f aca="false">IF(AND(食数記録!$A220=プレビュー!$C$3,食数記録!$B220="昼",食数記録!$F220="女性GH",食数記録!$D220="臨時喫食"),1,0)</f>
        <v>0</v>
      </c>
      <c r="W220" s="0" t="str">
        <f aca="false">IF(V220=1,SUM($V$2:V220),"")</f>
        <v/>
      </c>
      <c r="X220" s="0" t="n">
        <f aca="false">IF(AND(食数記録!$A220=プレビュー!$C$3,食数記録!$B220="夕",食数記録!$F220="女性GH",食数記録!$D220="臨時喫食"),1,0)</f>
        <v>0</v>
      </c>
      <c r="Y220" s="0" t="str">
        <f aca="false">IF(X220=1,SUM($X$2:X220),"")</f>
        <v/>
      </c>
    </row>
    <row r="221" customFormat="false" ht="15" hidden="false" customHeight="false" outlineLevel="0" collapsed="false">
      <c r="B221" s="0" t="n">
        <f aca="false">IF(AND(食数記録!$A221=プレビュー!$C$3,食数記録!$B221="朝",食数記録!$F221="男性入所",食数記録!$D221="欠食"),1,0)</f>
        <v>0</v>
      </c>
      <c r="C221" s="0" t="str">
        <f aca="false">IF(B221=1,SUM($B$2:B221),"")</f>
        <v/>
      </c>
      <c r="D221" s="0" t="n">
        <f aca="false">IF(AND(食数記録!$A221=プレビュー!$C$3,食数記録!$B221="昼",食数記録!$F221="男性入所",食数記録!$D221="欠食"),1,0)</f>
        <v>0</v>
      </c>
      <c r="E221" s="0" t="str">
        <f aca="false">IF(D221=1,SUM($D$2:D221),"")</f>
        <v/>
      </c>
      <c r="F221" s="0" t="n">
        <f aca="false">IF(AND(食数記録!$A221=プレビュー!$C$3,食数記録!$B221="夕",食数記録!$F221="男性入所",食数記録!$D221="欠食"),1,0)</f>
        <v>0</v>
      </c>
      <c r="G221" s="0" t="str">
        <f aca="false">IF(F221=1,SUM($F$2:F221),"")</f>
        <v/>
      </c>
      <c r="H221" s="0" t="n">
        <f aca="false">IF(AND(食数記録!$A221=プレビュー!$C$3,食数記録!$B221="朝",食数記録!$F221="女性入所",食数記録!$D221="欠食"),1,0)</f>
        <v>0</v>
      </c>
      <c r="I221" s="0" t="str">
        <f aca="false">IF(H221=1,SUM($H$2:H221),"")</f>
        <v/>
      </c>
      <c r="J221" s="0" t="n">
        <f aca="false">IF(AND(食数記録!$A221=プレビュー!$C$3,食数記録!$B221="昼",食数記録!$F221="女性入所",食数記録!$D221="欠食"),1,0)</f>
        <v>0</v>
      </c>
      <c r="K221" s="0" t="str">
        <f aca="false">IF(J221=1,SUM($J$2:J221),"")</f>
        <v/>
      </c>
      <c r="L221" s="0" t="n">
        <f aca="false">IF(AND(食数記録!$A221=プレビュー!$C$3,食数記録!$B221="夕",食数記録!$F221="女性入所",食数記録!$D221="欠食"),1,0)</f>
        <v>0</v>
      </c>
      <c r="M221" s="0" t="str">
        <f aca="false">IF(L221=1,SUM($L$2:L221),"")</f>
        <v/>
      </c>
      <c r="N221" s="0" t="n">
        <f aca="false">IF(AND(食数記録!$A221=プレビュー!$C$3,食数記録!$B221="朝",食数記録!$F221="男性GH",食数記録!$D221="臨時喫食"),1,0)</f>
        <v>0</v>
      </c>
      <c r="O221" s="0" t="str">
        <f aca="false">IF(N221=1,SUM($N$2:N221),"")</f>
        <v/>
      </c>
      <c r="P221" s="0" t="n">
        <f aca="false">IF(AND(食数記録!$A221=プレビュー!$C$3,食数記録!$B221="昼",食数記録!$F221="男性GH",食数記録!$D221="臨時喫食"),1,0)</f>
        <v>0</v>
      </c>
      <c r="Q221" s="0" t="str">
        <f aca="false">IF(P221=1,SUM($P$2:P221),"")</f>
        <v/>
      </c>
      <c r="R221" s="0" t="n">
        <f aca="false">IF(AND(食数記録!$A221=プレビュー!$C$3,食数記録!$B221="夕",食数記録!$F221="男性GH",食数記録!$D221="臨時喫食"),1,0)</f>
        <v>0</v>
      </c>
      <c r="S221" s="0" t="str">
        <f aca="false">IF(R221=1,SUM($R$2:R221),"")</f>
        <v/>
      </c>
      <c r="T221" s="0" t="n">
        <f aca="false">IF(AND(食数記録!$A221=プレビュー!$C$3,食数記録!$B221="朝",食数記録!$F221="女性GH",食数記録!$D221="臨時喫食"),1,0)</f>
        <v>0</v>
      </c>
      <c r="U221" s="0" t="str">
        <f aca="false">IF(T221=1,SUM($T$2:T221),"")</f>
        <v/>
      </c>
      <c r="V221" s="0" t="n">
        <f aca="false">IF(AND(食数記録!$A221=プレビュー!$C$3,食数記録!$B221="昼",食数記録!$F221="女性GH",食数記録!$D221="臨時喫食"),1,0)</f>
        <v>0</v>
      </c>
      <c r="W221" s="0" t="str">
        <f aca="false">IF(V221=1,SUM($V$2:V221),"")</f>
        <v/>
      </c>
      <c r="X221" s="0" t="n">
        <f aca="false">IF(AND(食数記録!$A221=プレビュー!$C$3,食数記録!$B221="夕",食数記録!$F221="女性GH",食数記録!$D221="臨時喫食"),1,0)</f>
        <v>0</v>
      </c>
      <c r="Y221" s="0" t="str">
        <f aca="false">IF(X221=1,SUM($X$2:X221),"")</f>
        <v/>
      </c>
    </row>
    <row r="222" customFormat="false" ht="15" hidden="false" customHeight="false" outlineLevel="0" collapsed="false">
      <c r="B222" s="0" t="n">
        <f aca="false">IF(AND(食数記録!$A222=プレビュー!$C$3,食数記録!$B222="朝",食数記録!$F222="男性入所",食数記録!$D222="欠食"),1,0)</f>
        <v>0</v>
      </c>
      <c r="C222" s="0" t="str">
        <f aca="false">IF(B222=1,SUM($B$2:B222),"")</f>
        <v/>
      </c>
      <c r="D222" s="0" t="n">
        <f aca="false">IF(AND(食数記録!$A222=プレビュー!$C$3,食数記録!$B222="昼",食数記録!$F222="男性入所",食数記録!$D222="欠食"),1,0)</f>
        <v>0</v>
      </c>
      <c r="E222" s="0" t="str">
        <f aca="false">IF(D222=1,SUM($D$2:D222),"")</f>
        <v/>
      </c>
      <c r="F222" s="0" t="n">
        <f aca="false">IF(AND(食数記録!$A222=プレビュー!$C$3,食数記録!$B222="夕",食数記録!$F222="男性入所",食数記録!$D222="欠食"),1,0)</f>
        <v>0</v>
      </c>
      <c r="G222" s="0" t="str">
        <f aca="false">IF(F222=1,SUM($F$2:F222),"")</f>
        <v/>
      </c>
      <c r="H222" s="0" t="n">
        <f aca="false">IF(AND(食数記録!$A222=プレビュー!$C$3,食数記録!$B222="朝",食数記録!$F222="女性入所",食数記録!$D222="欠食"),1,0)</f>
        <v>0</v>
      </c>
      <c r="I222" s="0" t="str">
        <f aca="false">IF(H222=1,SUM($H$2:H222),"")</f>
        <v/>
      </c>
      <c r="J222" s="0" t="n">
        <f aca="false">IF(AND(食数記録!$A222=プレビュー!$C$3,食数記録!$B222="昼",食数記録!$F222="女性入所",食数記録!$D222="欠食"),1,0)</f>
        <v>0</v>
      </c>
      <c r="K222" s="0" t="str">
        <f aca="false">IF(J222=1,SUM($J$2:J222),"")</f>
        <v/>
      </c>
      <c r="L222" s="0" t="n">
        <f aca="false">IF(AND(食数記録!$A222=プレビュー!$C$3,食数記録!$B222="夕",食数記録!$F222="女性入所",食数記録!$D222="欠食"),1,0)</f>
        <v>0</v>
      </c>
      <c r="M222" s="0" t="str">
        <f aca="false">IF(L222=1,SUM($L$2:L222),"")</f>
        <v/>
      </c>
      <c r="N222" s="0" t="n">
        <f aca="false">IF(AND(食数記録!$A222=プレビュー!$C$3,食数記録!$B222="朝",食数記録!$F222="男性GH",食数記録!$D222="臨時喫食"),1,0)</f>
        <v>0</v>
      </c>
      <c r="O222" s="0" t="str">
        <f aca="false">IF(N222=1,SUM($N$2:N222),"")</f>
        <v/>
      </c>
      <c r="P222" s="0" t="n">
        <f aca="false">IF(AND(食数記録!$A222=プレビュー!$C$3,食数記録!$B222="昼",食数記録!$F222="男性GH",食数記録!$D222="臨時喫食"),1,0)</f>
        <v>0</v>
      </c>
      <c r="Q222" s="0" t="str">
        <f aca="false">IF(P222=1,SUM($P$2:P222),"")</f>
        <v/>
      </c>
      <c r="R222" s="0" t="n">
        <f aca="false">IF(AND(食数記録!$A222=プレビュー!$C$3,食数記録!$B222="夕",食数記録!$F222="男性GH",食数記録!$D222="臨時喫食"),1,0)</f>
        <v>0</v>
      </c>
      <c r="S222" s="0" t="str">
        <f aca="false">IF(R222=1,SUM($R$2:R222),"")</f>
        <v/>
      </c>
      <c r="T222" s="0" t="n">
        <f aca="false">IF(AND(食数記録!$A222=プレビュー!$C$3,食数記録!$B222="朝",食数記録!$F222="女性GH",食数記録!$D222="臨時喫食"),1,0)</f>
        <v>0</v>
      </c>
      <c r="U222" s="0" t="str">
        <f aca="false">IF(T222=1,SUM($T$2:T222),"")</f>
        <v/>
      </c>
      <c r="V222" s="0" t="n">
        <f aca="false">IF(AND(食数記録!$A222=プレビュー!$C$3,食数記録!$B222="昼",食数記録!$F222="女性GH",食数記録!$D222="臨時喫食"),1,0)</f>
        <v>0</v>
      </c>
      <c r="W222" s="0" t="str">
        <f aca="false">IF(V222=1,SUM($V$2:V222),"")</f>
        <v/>
      </c>
      <c r="X222" s="0" t="n">
        <f aca="false">IF(AND(食数記録!$A222=プレビュー!$C$3,食数記録!$B222="夕",食数記録!$F222="女性GH",食数記録!$D222="臨時喫食"),1,0)</f>
        <v>0</v>
      </c>
      <c r="Y222" s="0" t="str">
        <f aca="false">IF(X222=1,SUM($X$2:X222),"")</f>
        <v/>
      </c>
    </row>
    <row r="223" customFormat="false" ht="15" hidden="false" customHeight="false" outlineLevel="0" collapsed="false">
      <c r="B223" s="0" t="n">
        <f aca="false">IF(AND(食数記録!$A223=プレビュー!$C$3,食数記録!$B223="朝",食数記録!$F223="男性入所",食数記録!$D223="欠食"),1,0)</f>
        <v>0</v>
      </c>
      <c r="C223" s="0" t="str">
        <f aca="false">IF(B223=1,SUM($B$2:B223),"")</f>
        <v/>
      </c>
      <c r="D223" s="0" t="n">
        <f aca="false">IF(AND(食数記録!$A223=プレビュー!$C$3,食数記録!$B223="昼",食数記録!$F223="男性入所",食数記録!$D223="欠食"),1,0)</f>
        <v>0</v>
      </c>
      <c r="E223" s="0" t="str">
        <f aca="false">IF(D223=1,SUM($D$2:D223),"")</f>
        <v/>
      </c>
      <c r="F223" s="0" t="n">
        <f aca="false">IF(AND(食数記録!$A223=プレビュー!$C$3,食数記録!$B223="夕",食数記録!$F223="男性入所",食数記録!$D223="欠食"),1,0)</f>
        <v>0</v>
      </c>
      <c r="G223" s="0" t="str">
        <f aca="false">IF(F223=1,SUM($F$2:F223),"")</f>
        <v/>
      </c>
      <c r="H223" s="0" t="n">
        <f aca="false">IF(AND(食数記録!$A223=プレビュー!$C$3,食数記録!$B223="朝",食数記録!$F223="女性入所",食数記録!$D223="欠食"),1,0)</f>
        <v>0</v>
      </c>
      <c r="I223" s="0" t="str">
        <f aca="false">IF(H223=1,SUM($H$2:H223),"")</f>
        <v/>
      </c>
      <c r="J223" s="0" t="n">
        <f aca="false">IF(AND(食数記録!$A223=プレビュー!$C$3,食数記録!$B223="昼",食数記録!$F223="女性入所",食数記録!$D223="欠食"),1,0)</f>
        <v>0</v>
      </c>
      <c r="K223" s="0" t="str">
        <f aca="false">IF(J223=1,SUM($J$2:J223),"")</f>
        <v/>
      </c>
      <c r="L223" s="0" t="n">
        <f aca="false">IF(AND(食数記録!$A223=プレビュー!$C$3,食数記録!$B223="夕",食数記録!$F223="女性入所",食数記録!$D223="欠食"),1,0)</f>
        <v>0</v>
      </c>
      <c r="M223" s="0" t="str">
        <f aca="false">IF(L223=1,SUM($L$2:L223),"")</f>
        <v/>
      </c>
      <c r="N223" s="0" t="n">
        <f aca="false">IF(AND(食数記録!$A223=プレビュー!$C$3,食数記録!$B223="朝",食数記録!$F223="男性GH",食数記録!$D223="臨時喫食"),1,0)</f>
        <v>0</v>
      </c>
      <c r="O223" s="0" t="str">
        <f aca="false">IF(N223=1,SUM($N$2:N223),"")</f>
        <v/>
      </c>
      <c r="P223" s="0" t="n">
        <f aca="false">IF(AND(食数記録!$A223=プレビュー!$C$3,食数記録!$B223="昼",食数記録!$F223="男性GH",食数記録!$D223="臨時喫食"),1,0)</f>
        <v>0</v>
      </c>
      <c r="Q223" s="0" t="str">
        <f aca="false">IF(P223=1,SUM($P$2:P223),"")</f>
        <v/>
      </c>
      <c r="R223" s="0" t="n">
        <f aca="false">IF(AND(食数記録!$A223=プレビュー!$C$3,食数記録!$B223="夕",食数記録!$F223="男性GH",食数記録!$D223="臨時喫食"),1,0)</f>
        <v>0</v>
      </c>
      <c r="S223" s="0" t="str">
        <f aca="false">IF(R223=1,SUM($R$2:R223),"")</f>
        <v/>
      </c>
      <c r="T223" s="0" t="n">
        <f aca="false">IF(AND(食数記録!$A223=プレビュー!$C$3,食数記録!$B223="朝",食数記録!$F223="女性GH",食数記録!$D223="臨時喫食"),1,0)</f>
        <v>0</v>
      </c>
      <c r="U223" s="0" t="str">
        <f aca="false">IF(T223=1,SUM($T$2:T223),"")</f>
        <v/>
      </c>
      <c r="V223" s="0" t="n">
        <f aca="false">IF(AND(食数記録!$A223=プレビュー!$C$3,食数記録!$B223="昼",食数記録!$F223="女性GH",食数記録!$D223="臨時喫食"),1,0)</f>
        <v>0</v>
      </c>
      <c r="W223" s="0" t="str">
        <f aca="false">IF(V223=1,SUM($V$2:V223),"")</f>
        <v/>
      </c>
      <c r="X223" s="0" t="n">
        <f aca="false">IF(AND(食数記録!$A223=プレビュー!$C$3,食数記録!$B223="夕",食数記録!$F223="女性GH",食数記録!$D223="臨時喫食"),1,0)</f>
        <v>0</v>
      </c>
      <c r="Y223" s="0" t="str">
        <f aca="false">IF(X223=1,SUM($X$2:X223),"")</f>
        <v/>
      </c>
    </row>
    <row r="224" customFormat="false" ht="15" hidden="false" customHeight="false" outlineLevel="0" collapsed="false">
      <c r="B224" s="0" t="n">
        <f aca="false">IF(AND(食数記録!$A224=プレビュー!$C$3,食数記録!$B224="朝",食数記録!$F224="男性入所",食数記録!$D224="欠食"),1,0)</f>
        <v>0</v>
      </c>
      <c r="C224" s="0" t="str">
        <f aca="false">IF(B224=1,SUM($B$2:B224),"")</f>
        <v/>
      </c>
      <c r="D224" s="0" t="n">
        <f aca="false">IF(AND(食数記録!$A224=プレビュー!$C$3,食数記録!$B224="昼",食数記録!$F224="男性入所",食数記録!$D224="欠食"),1,0)</f>
        <v>0</v>
      </c>
      <c r="E224" s="0" t="str">
        <f aca="false">IF(D224=1,SUM($D$2:D224),"")</f>
        <v/>
      </c>
      <c r="F224" s="0" t="n">
        <f aca="false">IF(AND(食数記録!$A224=プレビュー!$C$3,食数記録!$B224="夕",食数記録!$F224="男性入所",食数記録!$D224="欠食"),1,0)</f>
        <v>0</v>
      </c>
      <c r="G224" s="0" t="str">
        <f aca="false">IF(F224=1,SUM($F$2:F224),"")</f>
        <v/>
      </c>
      <c r="H224" s="0" t="n">
        <f aca="false">IF(AND(食数記録!$A224=プレビュー!$C$3,食数記録!$B224="朝",食数記録!$F224="女性入所",食数記録!$D224="欠食"),1,0)</f>
        <v>0</v>
      </c>
      <c r="I224" s="0" t="str">
        <f aca="false">IF(H224=1,SUM($H$2:H224),"")</f>
        <v/>
      </c>
      <c r="J224" s="0" t="n">
        <f aca="false">IF(AND(食数記録!$A224=プレビュー!$C$3,食数記録!$B224="昼",食数記録!$F224="女性入所",食数記録!$D224="欠食"),1,0)</f>
        <v>0</v>
      </c>
      <c r="K224" s="0" t="str">
        <f aca="false">IF(J224=1,SUM($J$2:J224),"")</f>
        <v/>
      </c>
      <c r="L224" s="0" t="n">
        <f aca="false">IF(AND(食数記録!$A224=プレビュー!$C$3,食数記録!$B224="夕",食数記録!$F224="女性入所",食数記録!$D224="欠食"),1,0)</f>
        <v>0</v>
      </c>
      <c r="M224" s="0" t="str">
        <f aca="false">IF(L224=1,SUM($L$2:L224),"")</f>
        <v/>
      </c>
      <c r="N224" s="0" t="n">
        <f aca="false">IF(AND(食数記録!$A224=プレビュー!$C$3,食数記録!$B224="朝",食数記録!$F224="男性GH",食数記録!$D224="臨時喫食"),1,0)</f>
        <v>0</v>
      </c>
      <c r="O224" s="0" t="str">
        <f aca="false">IF(N224=1,SUM($N$2:N224),"")</f>
        <v/>
      </c>
      <c r="P224" s="0" t="n">
        <f aca="false">IF(AND(食数記録!$A224=プレビュー!$C$3,食数記録!$B224="昼",食数記録!$F224="男性GH",食数記録!$D224="臨時喫食"),1,0)</f>
        <v>0</v>
      </c>
      <c r="Q224" s="0" t="str">
        <f aca="false">IF(P224=1,SUM($P$2:P224),"")</f>
        <v/>
      </c>
      <c r="R224" s="0" t="n">
        <f aca="false">IF(AND(食数記録!$A224=プレビュー!$C$3,食数記録!$B224="夕",食数記録!$F224="男性GH",食数記録!$D224="臨時喫食"),1,0)</f>
        <v>0</v>
      </c>
      <c r="S224" s="0" t="str">
        <f aca="false">IF(R224=1,SUM($R$2:R224),"")</f>
        <v/>
      </c>
      <c r="T224" s="0" t="n">
        <f aca="false">IF(AND(食数記録!$A224=プレビュー!$C$3,食数記録!$B224="朝",食数記録!$F224="女性GH",食数記録!$D224="臨時喫食"),1,0)</f>
        <v>0</v>
      </c>
      <c r="U224" s="0" t="str">
        <f aca="false">IF(T224=1,SUM($T$2:T224),"")</f>
        <v/>
      </c>
      <c r="V224" s="0" t="n">
        <f aca="false">IF(AND(食数記録!$A224=プレビュー!$C$3,食数記録!$B224="昼",食数記録!$F224="女性GH",食数記録!$D224="臨時喫食"),1,0)</f>
        <v>0</v>
      </c>
      <c r="W224" s="0" t="str">
        <f aca="false">IF(V224=1,SUM($V$2:V224),"")</f>
        <v/>
      </c>
      <c r="X224" s="0" t="n">
        <f aca="false">IF(AND(食数記録!$A224=プレビュー!$C$3,食数記録!$B224="夕",食数記録!$F224="女性GH",食数記録!$D224="臨時喫食"),1,0)</f>
        <v>0</v>
      </c>
      <c r="Y224" s="0" t="str">
        <f aca="false">IF(X224=1,SUM($X$2:X224),"")</f>
        <v/>
      </c>
    </row>
    <row r="225" customFormat="false" ht="15" hidden="false" customHeight="false" outlineLevel="0" collapsed="false">
      <c r="B225" s="0" t="n">
        <f aca="false">IF(AND(食数記録!$A225=プレビュー!$C$3,食数記録!$B225="朝",食数記録!$F225="男性入所",食数記録!$D225="欠食"),1,0)</f>
        <v>0</v>
      </c>
      <c r="C225" s="0" t="str">
        <f aca="false">IF(B225=1,SUM($B$2:B225),"")</f>
        <v/>
      </c>
      <c r="D225" s="0" t="n">
        <f aca="false">IF(AND(食数記録!$A225=プレビュー!$C$3,食数記録!$B225="昼",食数記録!$F225="男性入所",食数記録!$D225="欠食"),1,0)</f>
        <v>0</v>
      </c>
      <c r="E225" s="0" t="str">
        <f aca="false">IF(D225=1,SUM($D$2:D225),"")</f>
        <v/>
      </c>
      <c r="F225" s="0" t="n">
        <f aca="false">IF(AND(食数記録!$A225=プレビュー!$C$3,食数記録!$B225="夕",食数記録!$F225="男性入所",食数記録!$D225="欠食"),1,0)</f>
        <v>0</v>
      </c>
      <c r="G225" s="0" t="str">
        <f aca="false">IF(F225=1,SUM($F$2:F225),"")</f>
        <v/>
      </c>
      <c r="H225" s="0" t="n">
        <f aca="false">IF(AND(食数記録!$A225=プレビュー!$C$3,食数記録!$B225="朝",食数記録!$F225="女性入所",食数記録!$D225="欠食"),1,0)</f>
        <v>0</v>
      </c>
      <c r="I225" s="0" t="str">
        <f aca="false">IF(H225=1,SUM($H$2:H225),"")</f>
        <v/>
      </c>
      <c r="J225" s="0" t="n">
        <f aca="false">IF(AND(食数記録!$A225=プレビュー!$C$3,食数記録!$B225="昼",食数記録!$F225="女性入所",食数記録!$D225="欠食"),1,0)</f>
        <v>0</v>
      </c>
      <c r="K225" s="0" t="str">
        <f aca="false">IF(J225=1,SUM($J$2:J225),"")</f>
        <v/>
      </c>
      <c r="L225" s="0" t="n">
        <f aca="false">IF(AND(食数記録!$A225=プレビュー!$C$3,食数記録!$B225="夕",食数記録!$F225="女性入所",食数記録!$D225="欠食"),1,0)</f>
        <v>0</v>
      </c>
      <c r="M225" s="0" t="str">
        <f aca="false">IF(L225=1,SUM($L$2:L225),"")</f>
        <v/>
      </c>
      <c r="N225" s="0" t="n">
        <f aca="false">IF(AND(食数記録!$A225=プレビュー!$C$3,食数記録!$B225="朝",食数記録!$F225="男性GH",食数記録!$D225="臨時喫食"),1,0)</f>
        <v>0</v>
      </c>
      <c r="O225" s="0" t="str">
        <f aca="false">IF(N225=1,SUM($N$2:N225),"")</f>
        <v/>
      </c>
      <c r="P225" s="0" t="n">
        <f aca="false">IF(AND(食数記録!$A225=プレビュー!$C$3,食数記録!$B225="昼",食数記録!$F225="男性GH",食数記録!$D225="臨時喫食"),1,0)</f>
        <v>0</v>
      </c>
      <c r="Q225" s="0" t="str">
        <f aca="false">IF(P225=1,SUM($P$2:P225),"")</f>
        <v/>
      </c>
      <c r="R225" s="0" t="n">
        <f aca="false">IF(AND(食数記録!$A225=プレビュー!$C$3,食数記録!$B225="夕",食数記録!$F225="男性GH",食数記録!$D225="臨時喫食"),1,0)</f>
        <v>0</v>
      </c>
      <c r="S225" s="0" t="str">
        <f aca="false">IF(R225=1,SUM($R$2:R225),"")</f>
        <v/>
      </c>
      <c r="T225" s="0" t="n">
        <f aca="false">IF(AND(食数記録!$A225=プレビュー!$C$3,食数記録!$B225="朝",食数記録!$F225="女性GH",食数記録!$D225="臨時喫食"),1,0)</f>
        <v>0</v>
      </c>
      <c r="U225" s="0" t="str">
        <f aca="false">IF(T225=1,SUM($T$2:T225),"")</f>
        <v/>
      </c>
      <c r="V225" s="0" t="n">
        <f aca="false">IF(AND(食数記録!$A225=プレビュー!$C$3,食数記録!$B225="昼",食数記録!$F225="女性GH",食数記録!$D225="臨時喫食"),1,0)</f>
        <v>0</v>
      </c>
      <c r="W225" s="0" t="str">
        <f aca="false">IF(V225=1,SUM($V$2:V225),"")</f>
        <v/>
      </c>
      <c r="X225" s="0" t="n">
        <f aca="false">IF(AND(食数記録!$A225=プレビュー!$C$3,食数記録!$B225="夕",食数記録!$F225="女性GH",食数記録!$D225="臨時喫食"),1,0)</f>
        <v>0</v>
      </c>
      <c r="Y225" s="0" t="str">
        <f aca="false">IF(X225=1,SUM($X$2:X225),"")</f>
        <v/>
      </c>
    </row>
    <row r="226" customFormat="false" ht="15" hidden="false" customHeight="false" outlineLevel="0" collapsed="false">
      <c r="B226" s="0" t="n">
        <f aca="false">IF(AND(食数記録!$A226=プレビュー!$C$3,食数記録!$B226="朝",食数記録!$F226="男性入所",食数記録!$D226="欠食"),1,0)</f>
        <v>0</v>
      </c>
      <c r="C226" s="0" t="str">
        <f aca="false">IF(B226=1,SUM($B$2:B226),"")</f>
        <v/>
      </c>
      <c r="D226" s="0" t="n">
        <f aca="false">IF(AND(食数記録!$A226=プレビュー!$C$3,食数記録!$B226="昼",食数記録!$F226="男性入所",食数記録!$D226="欠食"),1,0)</f>
        <v>0</v>
      </c>
      <c r="E226" s="0" t="str">
        <f aca="false">IF(D226=1,SUM($D$2:D226),"")</f>
        <v/>
      </c>
      <c r="F226" s="0" t="n">
        <f aca="false">IF(AND(食数記録!$A226=プレビュー!$C$3,食数記録!$B226="夕",食数記録!$F226="男性入所",食数記録!$D226="欠食"),1,0)</f>
        <v>0</v>
      </c>
      <c r="G226" s="0" t="str">
        <f aca="false">IF(F226=1,SUM($F$2:F226),"")</f>
        <v/>
      </c>
      <c r="H226" s="0" t="n">
        <f aca="false">IF(AND(食数記録!$A226=プレビュー!$C$3,食数記録!$B226="朝",食数記録!$F226="女性入所",食数記録!$D226="欠食"),1,0)</f>
        <v>0</v>
      </c>
      <c r="I226" s="0" t="str">
        <f aca="false">IF(H226=1,SUM($H$2:H226),"")</f>
        <v/>
      </c>
      <c r="J226" s="0" t="n">
        <f aca="false">IF(AND(食数記録!$A226=プレビュー!$C$3,食数記録!$B226="昼",食数記録!$F226="女性入所",食数記録!$D226="欠食"),1,0)</f>
        <v>0</v>
      </c>
      <c r="K226" s="0" t="str">
        <f aca="false">IF(J226=1,SUM($J$2:J226),"")</f>
        <v/>
      </c>
      <c r="L226" s="0" t="n">
        <f aca="false">IF(AND(食数記録!$A226=プレビュー!$C$3,食数記録!$B226="夕",食数記録!$F226="女性入所",食数記録!$D226="欠食"),1,0)</f>
        <v>0</v>
      </c>
      <c r="M226" s="0" t="str">
        <f aca="false">IF(L226=1,SUM($L$2:L226),"")</f>
        <v/>
      </c>
      <c r="N226" s="0" t="n">
        <f aca="false">IF(AND(食数記録!$A226=プレビュー!$C$3,食数記録!$B226="朝",食数記録!$F226="男性GH",食数記録!$D226="臨時喫食"),1,0)</f>
        <v>0</v>
      </c>
      <c r="O226" s="0" t="str">
        <f aca="false">IF(N226=1,SUM($N$2:N226),"")</f>
        <v/>
      </c>
      <c r="P226" s="0" t="n">
        <f aca="false">IF(AND(食数記録!$A226=プレビュー!$C$3,食数記録!$B226="昼",食数記録!$F226="男性GH",食数記録!$D226="臨時喫食"),1,0)</f>
        <v>0</v>
      </c>
      <c r="Q226" s="0" t="str">
        <f aca="false">IF(P226=1,SUM($P$2:P226),"")</f>
        <v/>
      </c>
      <c r="R226" s="0" t="n">
        <f aca="false">IF(AND(食数記録!$A226=プレビュー!$C$3,食数記録!$B226="夕",食数記録!$F226="男性GH",食数記録!$D226="臨時喫食"),1,0)</f>
        <v>0</v>
      </c>
      <c r="S226" s="0" t="str">
        <f aca="false">IF(R226=1,SUM($R$2:R226),"")</f>
        <v/>
      </c>
      <c r="T226" s="0" t="n">
        <f aca="false">IF(AND(食数記録!$A226=プレビュー!$C$3,食数記録!$B226="朝",食数記録!$F226="女性GH",食数記録!$D226="臨時喫食"),1,0)</f>
        <v>0</v>
      </c>
      <c r="U226" s="0" t="str">
        <f aca="false">IF(T226=1,SUM($T$2:T226),"")</f>
        <v/>
      </c>
      <c r="V226" s="0" t="n">
        <f aca="false">IF(AND(食数記録!$A226=プレビュー!$C$3,食数記録!$B226="昼",食数記録!$F226="女性GH",食数記録!$D226="臨時喫食"),1,0)</f>
        <v>0</v>
      </c>
      <c r="W226" s="0" t="str">
        <f aca="false">IF(V226=1,SUM($V$2:V226),"")</f>
        <v/>
      </c>
      <c r="X226" s="0" t="n">
        <f aca="false">IF(AND(食数記録!$A226=プレビュー!$C$3,食数記録!$B226="夕",食数記録!$F226="女性GH",食数記録!$D226="臨時喫食"),1,0)</f>
        <v>0</v>
      </c>
      <c r="Y226" s="0" t="str">
        <f aca="false">IF(X226=1,SUM($X$2:X226),"")</f>
        <v/>
      </c>
    </row>
    <row r="227" customFormat="false" ht="15" hidden="false" customHeight="false" outlineLevel="0" collapsed="false">
      <c r="B227" s="0" t="n">
        <f aca="false">IF(AND(食数記録!$A227=プレビュー!$C$3,食数記録!$B227="朝",食数記録!$F227="男性入所",食数記録!$D227="欠食"),1,0)</f>
        <v>0</v>
      </c>
      <c r="C227" s="0" t="str">
        <f aca="false">IF(B227=1,SUM($B$2:B227),"")</f>
        <v/>
      </c>
      <c r="D227" s="0" t="n">
        <f aca="false">IF(AND(食数記録!$A227=プレビュー!$C$3,食数記録!$B227="昼",食数記録!$F227="男性入所",食数記録!$D227="欠食"),1,0)</f>
        <v>0</v>
      </c>
      <c r="E227" s="0" t="str">
        <f aca="false">IF(D227=1,SUM($D$2:D227),"")</f>
        <v/>
      </c>
      <c r="F227" s="0" t="n">
        <f aca="false">IF(AND(食数記録!$A227=プレビュー!$C$3,食数記録!$B227="夕",食数記録!$F227="男性入所",食数記録!$D227="欠食"),1,0)</f>
        <v>0</v>
      </c>
      <c r="G227" s="0" t="str">
        <f aca="false">IF(F227=1,SUM($F$2:F227),"")</f>
        <v/>
      </c>
      <c r="H227" s="0" t="n">
        <f aca="false">IF(AND(食数記録!$A227=プレビュー!$C$3,食数記録!$B227="朝",食数記録!$F227="女性入所",食数記録!$D227="欠食"),1,0)</f>
        <v>0</v>
      </c>
      <c r="I227" s="0" t="str">
        <f aca="false">IF(H227=1,SUM($H$2:H227),"")</f>
        <v/>
      </c>
      <c r="J227" s="0" t="n">
        <f aca="false">IF(AND(食数記録!$A227=プレビュー!$C$3,食数記録!$B227="昼",食数記録!$F227="女性入所",食数記録!$D227="欠食"),1,0)</f>
        <v>0</v>
      </c>
      <c r="K227" s="0" t="str">
        <f aca="false">IF(J227=1,SUM($J$2:J227),"")</f>
        <v/>
      </c>
      <c r="L227" s="0" t="n">
        <f aca="false">IF(AND(食数記録!$A227=プレビュー!$C$3,食数記録!$B227="夕",食数記録!$F227="女性入所",食数記録!$D227="欠食"),1,0)</f>
        <v>0</v>
      </c>
      <c r="M227" s="0" t="str">
        <f aca="false">IF(L227=1,SUM($L$2:L227),"")</f>
        <v/>
      </c>
      <c r="N227" s="0" t="n">
        <f aca="false">IF(AND(食数記録!$A227=プレビュー!$C$3,食数記録!$B227="朝",食数記録!$F227="男性GH",食数記録!$D227="臨時喫食"),1,0)</f>
        <v>0</v>
      </c>
      <c r="O227" s="0" t="str">
        <f aca="false">IF(N227=1,SUM($N$2:N227),"")</f>
        <v/>
      </c>
      <c r="P227" s="0" t="n">
        <f aca="false">IF(AND(食数記録!$A227=プレビュー!$C$3,食数記録!$B227="昼",食数記録!$F227="男性GH",食数記録!$D227="臨時喫食"),1,0)</f>
        <v>0</v>
      </c>
      <c r="Q227" s="0" t="str">
        <f aca="false">IF(P227=1,SUM($P$2:P227),"")</f>
        <v/>
      </c>
      <c r="R227" s="0" t="n">
        <f aca="false">IF(AND(食数記録!$A227=プレビュー!$C$3,食数記録!$B227="夕",食数記録!$F227="男性GH",食数記録!$D227="臨時喫食"),1,0)</f>
        <v>0</v>
      </c>
      <c r="S227" s="0" t="str">
        <f aca="false">IF(R227=1,SUM($R$2:R227),"")</f>
        <v/>
      </c>
      <c r="T227" s="0" t="n">
        <f aca="false">IF(AND(食数記録!$A227=プレビュー!$C$3,食数記録!$B227="朝",食数記録!$F227="女性GH",食数記録!$D227="臨時喫食"),1,0)</f>
        <v>0</v>
      </c>
      <c r="U227" s="0" t="str">
        <f aca="false">IF(T227=1,SUM($T$2:T227),"")</f>
        <v/>
      </c>
      <c r="V227" s="0" t="n">
        <f aca="false">IF(AND(食数記録!$A227=プレビュー!$C$3,食数記録!$B227="昼",食数記録!$F227="女性GH",食数記録!$D227="臨時喫食"),1,0)</f>
        <v>0</v>
      </c>
      <c r="W227" s="0" t="str">
        <f aca="false">IF(V227=1,SUM($V$2:V227),"")</f>
        <v/>
      </c>
      <c r="X227" s="0" t="n">
        <f aca="false">IF(AND(食数記録!$A227=プレビュー!$C$3,食数記録!$B227="夕",食数記録!$F227="女性GH",食数記録!$D227="臨時喫食"),1,0)</f>
        <v>0</v>
      </c>
      <c r="Y227" s="0" t="str">
        <f aca="false">IF(X227=1,SUM($X$2:X227),"")</f>
        <v/>
      </c>
    </row>
    <row r="228" customFormat="false" ht="15" hidden="false" customHeight="false" outlineLevel="0" collapsed="false">
      <c r="B228" s="0" t="n">
        <f aca="false">IF(AND(食数記録!$A228=プレビュー!$C$3,食数記録!$B228="朝",食数記録!$F228="男性入所",食数記録!$D228="欠食"),1,0)</f>
        <v>0</v>
      </c>
      <c r="C228" s="0" t="str">
        <f aca="false">IF(B228=1,SUM($B$2:B228),"")</f>
        <v/>
      </c>
      <c r="D228" s="0" t="n">
        <f aca="false">IF(AND(食数記録!$A228=プレビュー!$C$3,食数記録!$B228="昼",食数記録!$F228="男性入所",食数記録!$D228="欠食"),1,0)</f>
        <v>0</v>
      </c>
      <c r="E228" s="0" t="str">
        <f aca="false">IF(D228=1,SUM($D$2:D228),"")</f>
        <v/>
      </c>
      <c r="F228" s="0" t="n">
        <f aca="false">IF(AND(食数記録!$A228=プレビュー!$C$3,食数記録!$B228="夕",食数記録!$F228="男性入所",食数記録!$D228="欠食"),1,0)</f>
        <v>0</v>
      </c>
      <c r="G228" s="0" t="str">
        <f aca="false">IF(F228=1,SUM($F$2:F228),"")</f>
        <v/>
      </c>
      <c r="H228" s="0" t="n">
        <f aca="false">IF(AND(食数記録!$A228=プレビュー!$C$3,食数記録!$B228="朝",食数記録!$F228="女性入所",食数記録!$D228="欠食"),1,0)</f>
        <v>0</v>
      </c>
      <c r="I228" s="0" t="str">
        <f aca="false">IF(H228=1,SUM($H$2:H228),"")</f>
        <v/>
      </c>
      <c r="J228" s="0" t="n">
        <f aca="false">IF(AND(食数記録!$A228=プレビュー!$C$3,食数記録!$B228="昼",食数記録!$F228="女性入所",食数記録!$D228="欠食"),1,0)</f>
        <v>0</v>
      </c>
      <c r="K228" s="0" t="str">
        <f aca="false">IF(J228=1,SUM($J$2:J228),"")</f>
        <v/>
      </c>
      <c r="L228" s="0" t="n">
        <f aca="false">IF(AND(食数記録!$A228=プレビュー!$C$3,食数記録!$B228="夕",食数記録!$F228="女性入所",食数記録!$D228="欠食"),1,0)</f>
        <v>0</v>
      </c>
      <c r="M228" s="0" t="str">
        <f aca="false">IF(L228=1,SUM($L$2:L228),"")</f>
        <v/>
      </c>
      <c r="N228" s="0" t="n">
        <f aca="false">IF(AND(食数記録!$A228=プレビュー!$C$3,食数記録!$B228="朝",食数記録!$F228="男性GH",食数記録!$D228="臨時喫食"),1,0)</f>
        <v>0</v>
      </c>
      <c r="O228" s="0" t="str">
        <f aca="false">IF(N228=1,SUM($N$2:N228),"")</f>
        <v/>
      </c>
      <c r="P228" s="0" t="n">
        <f aca="false">IF(AND(食数記録!$A228=プレビュー!$C$3,食数記録!$B228="昼",食数記録!$F228="男性GH",食数記録!$D228="臨時喫食"),1,0)</f>
        <v>0</v>
      </c>
      <c r="Q228" s="0" t="str">
        <f aca="false">IF(P228=1,SUM($P$2:P228),"")</f>
        <v/>
      </c>
      <c r="R228" s="0" t="n">
        <f aca="false">IF(AND(食数記録!$A228=プレビュー!$C$3,食数記録!$B228="夕",食数記録!$F228="男性GH",食数記録!$D228="臨時喫食"),1,0)</f>
        <v>0</v>
      </c>
      <c r="S228" s="0" t="str">
        <f aca="false">IF(R228=1,SUM($R$2:R228),"")</f>
        <v/>
      </c>
      <c r="T228" s="0" t="n">
        <f aca="false">IF(AND(食数記録!$A228=プレビュー!$C$3,食数記録!$B228="朝",食数記録!$F228="女性GH",食数記録!$D228="臨時喫食"),1,0)</f>
        <v>0</v>
      </c>
      <c r="U228" s="0" t="str">
        <f aca="false">IF(T228=1,SUM($T$2:T228),"")</f>
        <v/>
      </c>
      <c r="V228" s="0" t="n">
        <f aca="false">IF(AND(食数記録!$A228=プレビュー!$C$3,食数記録!$B228="昼",食数記録!$F228="女性GH",食数記録!$D228="臨時喫食"),1,0)</f>
        <v>0</v>
      </c>
      <c r="W228" s="0" t="str">
        <f aca="false">IF(V228=1,SUM($V$2:V228),"")</f>
        <v/>
      </c>
      <c r="X228" s="0" t="n">
        <f aca="false">IF(AND(食数記録!$A228=プレビュー!$C$3,食数記録!$B228="夕",食数記録!$F228="女性GH",食数記録!$D228="臨時喫食"),1,0)</f>
        <v>0</v>
      </c>
      <c r="Y228" s="0" t="str">
        <f aca="false">IF(X228=1,SUM($X$2:X228),"")</f>
        <v/>
      </c>
    </row>
    <row r="229" customFormat="false" ht="15" hidden="false" customHeight="false" outlineLevel="0" collapsed="false">
      <c r="B229" s="0" t="n">
        <f aca="false">IF(AND(食数記録!$A229=プレビュー!$C$3,食数記録!$B229="朝",食数記録!$F229="男性入所",食数記録!$D229="欠食"),1,0)</f>
        <v>0</v>
      </c>
      <c r="C229" s="0" t="str">
        <f aca="false">IF(B229=1,SUM($B$2:B229),"")</f>
        <v/>
      </c>
      <c r="D229" s="0" t="n">
        <f aca="false">IF(AND(食数記録!$A229=プレビュー!$C$3,食数記録!$B229="昼",食数記録!$F229="男性入所",食数記録!$D229="欠食"),1,0)</f>
        <v>0</v>
      </c>
      <c r="E229" s="0" t="str">
        <f aca="false">IF(D229=1,SUM($D$2:D229),"")</f>
        <v/>
      </c>
      <c r="F229" s="0" t="n">
        <f aca="false">IF(AND(食数記録!$A229=プレビュー!$C$3,食数記録!$B229="夕",食数記録!$F229="男性入所",食数記録!$D229="欠食"),1,0)</f>
        <v>0</v>
      </c>
      <c r="G229" s="0" t="str">
        <f aca="false">IF(F229=1,SUM($F$2:F229),"")</f>
        <v/>
      </c>
      <c r="H229" s="0" t="n">
        <f aca="false">IF(AND(食数記録!$A229=プレビュー!$C$3,食数記録!$B229="朝",食数記録!$F229="女性入所",食数記録!$D229="欠食"),1,0)</f>
        <v>0</v>
      </c>
      <c r="I229" s="0" t="str">
        <f aca="false">IF(H229=1,SUM($H$2:H229),"")</f>
        <v/>
      </c>
      <c r="J229" s="0" t="n">
        <f aca="false">IF(AND(食数記録!$A229=プレビュー!$C$3,食数記録!$B229="昼",食数記録!$F229="女性入所",食数記録!$D229="欠食"),1,0)</f>
        <v>0</v>
      </c>
      <c r="K229" s="0" t="str">
        <f aca="false">IF(J229=1,SUM($J$2:J229),"")</f>
        <v/>
      </c>
      <c r="L229" s="0" t="n">
        <f aca="false">IF(AND(食数記録!$A229=プレビュー!$C$3,食数記録!$B229="夕",食数記録!$F229="女性入所",食数記録!$D229="欠食"),1,0)</f>
        <v>0</v>
      </c>
      <c r="M229" s="0" t="str">
        <f aca="false">IF(L229=1,SUM($L$2:L229),"")</f>
        <v/>
      </c>
      <c r="N229" s="0" t="n">
        <f aca="false">IF(AND(食数記録!$A229=プレビュー!$C$3,食数記録!$B229="朝",食数記録!$F229="男性GH",食数記録!$D229="臨時喫食"),1,0)</f>
        <v>0</v>
      </c>
      <c r="O229" s="0" t="str">
        <f aca="false">IF(N229=1,SUM($N$2:N229),"")</f>
        <v/>
      </c>
      <c r="P229" s="0" t="n">
        <f aca="false">IF(AND(食数記録!$A229=プレビュー!$C$3,食数記録!$B229="昼",食数記録!$F229="男性GH",食数記録!$D229="臨時喫食"),1,0)</f>
        <v>0</v>
      </c>
      <c r="Q229" s="0" t="str">
        <f aca="false">IF(P229=1,SUM($P$2:P229),"")</f>
        <v/>
      </c>
      <c r="R229" s="0" t="n">
        <f aca="false">IF(AND(食数記録!$A229=プレビュー!$C$3,食数記録!$B229="夕",食数記録!$F229="男性GH",食数記録!$D229="臨時喫食"),1,0)</f>
        <v>0</v>
      </c>
      <c r="S229" s="0" t="str">
        <f aca="false">IF(R229=1,SUM($R$2:R229),"")</f>
        <v/>
      </c>
      <c r="T229" s="0" t="n">
        <f aca="false">IF(AND(食数記録!$A229=プレビュー!$C$3,食数記録!$B229="朝",食数記録!$F229="女性GH",食数記録!$D229="臨時喫食"),1,0)</f>
        <v>0</v>
      </c>
      <c r="U229" s="0" t="str">
        <f aca="false">IF(T229=1,SUM($T$2:T229),"")</f>
        <v/>
      </c>
      <c r="V229" s="0" t="n">
        <f aca="false">IF(AND(食数記録!$A229=プレビュー!$C$3,食数記録!$B229="昼",食数記録!$F229="女性GH",食数記録!$D229="臨時喫食"),1,0)</f>
        <v>0</v>
      </c>
      <c r="W229" s="0" t="str">
        <f aca="false">IF(V229=1,SUM($V$2:V229),"")</f>
        <v/>
      </c>
      <c r="X229" s="0" t="n">
        <f aca="false">IF(AND(食数記録!$A229=プレビュー!$C$3,食数記録!$B229="夕",食数記録!$F229="女性GH",食数記録!$D229="臨時喫食"),1,0)</f>
        <v>0</v>
      </c>
      <c r="Y229" s="0" t="str">
        <f aca="false">IF(X229=1,SUM($X$2:X229),"")</f>
        <v/>
      </c>
    </row>
    <row r="230" customFormat="false" ht="15" hidden="false" customHeight="false" outlineLevel="0" collapsed="false">
      <c r="B230" s="0" t="n">
        <f aca="false">IF(AND(食数記録!$A230=プレビュー!$C$3,食数記録!$B230="朝",食数記録!$F230="男性入所",食数記録!$D230="欠食"),1,0)</f>
        <v>0</v>
      </c>
      <c r="C230" s="0" t="str">
        <f aca="false">IF(B230=1,SUM($B$2:B230),"")</f>
        <v/>
      </c>
      <c r="D230" s="0" t="n">
        <f aca="false">IF(AND(食数記録!$A230=プレビュー!$C$3,食数記録!$B230="昼",食数記録!$F230="男性入所",食数記録!$D230="欠食"),1,0)</f>
        <v>0</v>
      </c>
      <c r="E230" s="0" t="str">
        <f aca="false">IF(D230=1,SUM($D$2:D230),"")</f>
        <v/>
      </c>
      <c r="F230" s="0" t="n">
        <f aca="false">IF(AND(食数記録!$A230=プレビュー!$C$3,食数記録!$B230="夕",食数記録!$F230="男性入所",食数記録!$D230="欠食"),1,0)</f>
        <v>0</v>
      </c>
      <c r="G230" s="0" t="str">
        <f aca="false">IF(F230=1,SUM($F$2:F230),"")</f>
        <v/>
      </c>
      <c r="H230" s="0" t="n">
        <f aca="false">IF(AND(食数記録!$A230=プレビュー!$C$3,食数記録!$B230="朝",食数記録!$F230="女性入所",食数記録!$D230="欠食"),1,0)</f>
        <v>0</v>
      </c>
      <c r="I230" s="0" t="str">
        <f aca="false">IF(H230=1,SUM($H$2:H230),"")</f>
        <v/>
      </c>
      <c r="J230" s="0" t="n">
        <f aca="false">IF(AND(食数記録!$A230=プレビュー!$C$3,食数記録!$B230="昼",食数記録!$F230="女性入所",食数記録!$D230="欠食"),1,0)</f>
        <v>0</v>
      </c>
      <c r="K230" s="0" t="str">
        <f aca="false">IF(J230=1,SUM($J$2:J230),"")</f>
        <v/>
      </c>
      <c r="L230" s="0" t="n">
        <f aca="false">IF(AND(食数記録!$A230=プレビュー!$C$3,食数記録!$B230="夕",食数記録!$F230="女性入所",食数記録!$D230="欠食"),1,0)</f>
        <v>0</v>
      </c>
      <c r="M230" s="0" t="str">
        <f aca="false">IF(L230=1,SUM($L$2:L230),"")</f>
        <v/>
      </c>
      <c r="N230" s="0" t="n">
        <f aca="false">IF(AND(食数記録!$A230=プレビュー!$C$3,食数記録!$B230="朝",食数記録!$F230="男性GH",食数記録!$D230="臨時喫食"),1,0)</f>
        <v>0</v>
      </c>
      <c r="O230" s="0" t="str">
        <f aca="false">IF(N230=1,SUM($N$2:N230),"")</f>
        <v/>
      </c>
      <c r="P230" s="0" t="n">
        <f aca="false">IF(AND(食数記録!$A230=プレビュー!$C$3,食数記録!$B230="昼",食数記録!$F230="男性GH",食数記録!$D230="臨時喫食"),1,0)</f>
        <v>0</v>
      </c>
      <c r="Q230" s="0" t="str">
        <f aca="false">IF(P230=1,SUM($P$2:P230),"")</f>
        <v/>
      </c>
      <c r="R230" s="0" t="n">
        <f aca="false">IF(AND(食数記録!$A230=プレビュー!$C$3,食数記録!$B230="夕",食数記録!$F230="男性GH",食数記録!$D230="臨時喫食"),1,0)</f>
        <v>0</v>
      </c>
      <c r="S230" s="0" t="str">
        <f aca="false">IF(R230=1,SUM($R$2:R230),"")</f>
        <v/>
      </c>
      <c r="T230" s="0" t="n">
        <f aca="false">IF(AND(食数記録!$A230=プレビュー!$C$3,食数記録!$B230="朝",食数記録!$F230="女性GH",食数記録!$D230="臨時喫食"),1,0)</f>
        <v>0</v>
      </c>
      <c r="U230" s="0" t="str">
        <f aca="false">IF(T230=1,SUM($T$2:T230),"")</f>
        <v/>
      </c>
      <c r="V230" s="0" t="n">
        <f aca="false">IF(AND(食数記録!$A230=プレビュー!$C$3,食数記録!$B230="昼",食数記録!$F230="女性GH",食数記録!$D230="臨時喫食"),1,0)</f>
        <v>0</v>
      </c>
      <c r="W230" s="0" t="str">
        <f aca="false">IF(V230=1,SUM($V$2:V230),"")</f>
        <v/>
      </c>
      <c r="X230" s="0" t="n">
        <f aca="false">IF(AND(食数記録!$A230=プレビュー!$C$3,食数記録!$B230="夕",食数記録!$F230="女性GH",食数記録!$D230="臨時喫食"),1,0)</f>
        <v>0</v>
      </c>
      <c r="Y230" s="0" t="str">
        <f aca="false">IF(X230=1,SUM($X$2:X230),"")</f>
        <v/>
      </c>
    </row>
    <row r="231" customFormat="false" ht="15" hidden="false" customHeight="false" outlineLevel="0" collapsed="false">
      <c r="B231" s="0" t="n">
        <f aca="false">IF(AND(食数記録!$A231=プレビュー!$C$3,食数記録!$B231="朝",食数記録!$F231="男性入所",食数記録!$D231="欠食"),1,0)</f>
        <v>0</v>
      </c>
      <c r="C231" s="0" t="str">
        <f aca="false">IF(B231=1,SUM($B$2:B231),"")</f>
        <v/>
      </c>
      <c r="D231" s="0" t="n">
        <f aca="false">IF(AND(食数記録!$A231=プレビュー!$C$3,食数記録!$B231="昼",食数記録!$F231="男性入所",食数記録!$D231="欠食"),1,0)</f>
        <v>0</v>
      </c>
      <c r="E231" s="0" t="str">
        <f aca="false">IF(D231=1,SUM($D$2:D231),"")</f>
        <v/>
      </c>
      <c r="F231" s="0" t="n">
        <f aca="false">IF(AND(食数記録!$A231=プレビュー!$C$3,食数記録!$B231="夕",食数記録!$F231="男性入所",食数記録!$D231="欠食"),1,0)</f>
        <v>0</v>
      </c>
      <c r="G231" s="0" t="str">
        <f aca="false">IF(F231=1,SUM($F$2:F231),"")</f>
        <v/>
      </c>
      <c r="H231" s="0" t="n">
        <f aca="false">IF(AND(食数記録!$A231=プレビュー!$C$3,食数記録!$B231="朝",食数記録!$F231="女性入所",食数記録!$D231="欠食"),1,0)</f>
        <v>0</v>
      </c>
      <c r="I231" s="0" t="str">
        <f aca="false">IF(H231=1,SUM($H$2:H231),"")</f>
        <v/>
      </c>
      <c r="J231" s="0" t="n">
        <f aca="false">IF(AND(食数記録!$A231=プレビュー!$C$3,食数記録!$B231="昼",食数記録!$F231="女性入所",食数記録!$D231="欠食"),1,0)</f>
        <v>0</v>
      </c>
      <c r="K231" s="0" t="str">
        <f aca="false">IF(J231=1,SUM($J$2:J231),"")</f>
        <v/>
      </c>
      <c r="L231" s="0" t="n">
        <f aca="false">IF(AND(食数記録!$A231=プレビュー!$C$3,食数記録!$B231="夕",食数記録!$F231="女性入所",食数記録!$D231="欠食"),1,0)</f>
        <v>0</v>
      </c>
      <c r="M231" s="0" t="str">
        <f aca="false">IF(L231=1,SUM($L$2:L231),"")</f>
        <v/>
      </c>
      <c r="N231" s="0" t="n">
        <f aca="false">IF(AND(食数記録!$A231=プレビュー!$C$3,食数記録!$B231="朝",食数記録!$F231="男性GH",食数記録!$D231="臨時喫食"),1,0)</f>
        <v>0</v>
      </c>
      <c r="O231" s="0" t="str">
        <f aca="false">IF(N231=1,SUM($N$2:N231),"")</f>
        <v/>
      </c>
      <c r="P231" s="0" t="n">
        <f aca="false">IF(AND(食数記録!$A231=プレビュー!$C$3,食数記録!$B231="昼",食数記録!$F231="男性GH",食数記録!$D231="臨時喫食"),1,0)</f>
        <v>0</v>
      </c>
      <c r="Q231" s="0" t="str">
        <f aca="false">IF(P231=1,SUM($P$2:P231),"")</f>
        <v/>
      </c>
      <c r="R231" s="0" t="n">
        <f aca="false">IF(AND(食数記録!$A231=プレビュー!$C$3,食数記録!$B231="夕",食数記録!$F231="男性GH",食数記録!$D231="臨時喫食"),1,0)</f>
        <v>0</v>
      </c>
      <c r="S231" s="0" t="str">
        <f aca="false">IF(R231=1,SUM($R$2:R231),"")</f>
        <v/>
      </c>
      <c r="T231" s="0" t="n">
        <f aca="false">IF(AND(食数記録!$A231=プレビュー!$C$3,食数記録!$B231="朝",食数記録!$F231="女性GH",食数記録!$D231="臨時喫食"),1,0)</f>
        <v>0</v>
      </c>
      <c r="U231" s="0" t="str">
        <f aca="false">IF(T231=1,SUM($T$2:T231),"")</f>
        <v/>
      </c>
      <c r="V231" s="0" t="n">
        <f aca="false">IF(AND(食数記録!$A231=プレビュー!$C$3,食数記録!$B231="昼",食数記録!$F231="女性GH",食数記録!$D231="臨時喫食"),1,0)</f>
        <v>0</v>
      </c>
      <c r="W231" s="0" t="str">
        <f aca="false">IF(V231=1,SUM($V$2:V231),"")</f>
        <v/>
      </c>
      <c r="X231" s="0" t="n">
        <f aca="false">IF(AND(食数記録!$A231=プレビュー!$C$3,食数記録!$B231="夕",食数記録!$F231="女性GH",食数記録!$D231="臨時喫食"),1,0)</f>
        <v>0</v>
      </c>
      <c r="Y231" s="0" t="str">
        <f aca="false">IF(X231=1,SUM($X$2:X231),"")</f>
        <v/>
      </c>
    </row>
    <row r="232" customFormat="false" ht="15" hidden="false" customHeight="false" outlineLevel="0" collapsed="false">
      <c r="B232" s="0" t="n">
        <f aca="false">IF(AND(食数記録!$A232=プレビュー!$C$3,食数記録!$B232="朝",食数記録!$F232="男性入所",食数記録!$D232="欠食"),1,0)</f>
        <v>0</v>
      </c>
      <c r="C232" s="0" t="str">
        <f aca="false">IF(B232=1,SUM($B$2:B232),"")</f>
        <v/>
      </c>
      <c r="D232" s="0" t="n">
        <f aca="false">IF(AND(食数記録!$A232=プレビュー!$C$3,食数記録!$B232="昼",食数記録!$F232="男性入所",食数記録!$D232="欠食"),1,0)</f>
        <v>0</v>
      </c>
      <c r="E232" s="0" t="str">
        <f aca="false">IF(D232=1,SUM($D$2:D232),"")</f>
        <v/>
      </c>
      <c r="F232" s="0" t="n">
        <f aca="false">IF(AND(食数記録!$A232=プレビュー!$C$3,食数記録!$B232="夕",食数記録!$F232="男性入所",食数記録!$D232="欠食"),1,0)</f>
        <v>0</v>
      </c>
      <c r="G232" s="0" t="str">
        <f aca="false">IF(F232=1,SUM($F$2:F232),"")</f>
        <v/>
      </c>
      <c r="H232" s="0" t="n">
        <f aca="false">IF(AND(食数記録!$A232=プレビュー!$C$3,食数記録!$B232="朝",食数記録!$F232="女性入所",食数記録!$D232="欠食"),1,0)</f>
        <v>0</v>
      </c>
      <c r="I232" s="0" t="str">
        <f aca="false">IF(H232=1,SUM($H$2:H232),"")</f>
        <v/>
      </c>
      <c r="J232" s="0" t="n">
        <f aca="false">IF(AND(食数記録!$A232=プレビュー!$C$3,食数記録!$B232="昼",食数記録!$F232="女性入所",食数記録!$D232="欠食"),1,0)</f>
        <v>0</v>
      </c>
      <c r="K232" s="0" t="str">
        <f aca="false">IF(J232=1,SUM($J$2:J232),"")</f>
        <v/>
      </c>
      <c r="L232" s="0" t="n">
        <f aca="false">IF(AND(食数記録!$A232=プレビュー!$C$3,食数記録!$B232="夕",食数記録!$F232="女性入所",食数記録!$D232="欠食"),1,0)</f>
        <v>0</v>
      </c>
      <c r="M232" s="0" t="str">
        <f aca="false">IF(L232=1,SUM($L$2:L232),"")</f>
        <v/>
      </c>
      <c r="N232" s="0" t="n">
        <f aca="false">IF(AND(食数記録!$A232=プレビュー!$C$3,食数記録!$B232="朝",食数記録!$F232="男性GH",食数記録!$D232="臨時喫食"),1,0)</f>
        <v>0</v>
      </c>
      <c r="O232" s="0" t="str">
        <f aca="false">IF(N232=1,SUM($N$2:N232),"")</f>
        <v/>
      </c>
      <c r="P232" s="0" t="n">
        <f aca="false">IF(AND(食数記録!$A232=プレビュー!$C$3,食数記録!$B232="昼",食数記録!$F232="男性GH",食数記録!$D232="臨時喫食"),1,0)</f>
        <v>0</v>
      </c>
      <c r="Q232" s="0" t="str">
        <f aca="false">IF(P232=1,SUM($P$2:P232),"")</f>
        <v/>
      </c>
      <c r="R232" s="0" t="n">
        <f aca="false">IF(AND(食数記録!$A232=プレビュー!$C$3,食数記録!$B232="夕",食数記録!$F232="男性GH",食数記録!$D232="臨時喫食"),1,0)</f>
        <v>0</v>
      </c>
      <c r="S232" s="0" t="str">
        <f aca="false">IF(R232=1,SUM($R$2:R232),"")</f>
        <v/>
      </c>
      <c r="T232" s="0" t="n">
        <f aca="false">IF(AND(食数記録!$A232=プレビュー!$C$3,食数記録!$B232="朝",食数記録!$F232="女性GH",食数記録!$D232="臨時喫食"),1,0)</f>
        <v>0</v>
      </c>
      <c r="U232" s="0" t="str">
        <f aca="false">IF(T232=1,SUM($T$2:T232),"")</f>
        <v/>
      </c>
      <c r="V232" s="0" t="n">
        <f aca="false">IF(AND(食数記録!$A232=プレビュー!$C$3,食数記録!$B232="昼",食数記録!$F232="女性GH",食数記録!$D232="臨時喫食"),1,0)</f>
        <v>0</v>
      </c>
      <c r="W232" s="0" t="str">
        <f aca="false">IF(V232=1,SUM($V$2:V232),"")</f>
        <v/>
      </c>
      <c r="X232" s="0" t="n">
        <f aca="false">IF(AND(食数記録!$A232=プレビュー!$C$3,食数記録!$B232="夕",食数記録!$F232="女性GH",食数記録!$D232="臨時喫食"),1,0)</f>
        <v>0</v>
      </c>
      <c r="Y232" s="0" t="str">
        <f aca="false">IF(X232=1,SUM($X$2:X232),"")</f>
        <v/>
      </c>
    </row>
    <row r="233" customFormat="false" ht="15" hidden="false" customHeight="false" outlineLevel="0" collapsed="false">
      <c r="B233" s="0" t="n">
        <f aca="false">IF(AND(食数記録!$A233=プレビュー!$C$3,食数記録!$B233="朝",食数記録!$F233="男性入所",食数記録!$D233="欠食"),1,0)</f>
        <v>0</v>
      </c>
      <c r="C233" s="0" t="str">
        <f aca="false">IF(B233=1,SUM($B$2:B233),"")</f>
        <v/>
      </c>
      <c r="D233" s="0" t="n">
        <f aca="false">IF(AND(食数記録!$A233=プレビュー!$C$3,食数記録!$B233="昼",食数記録!$F233="男性入所",食数記録!$D233="欠食"),1,0)</f>
        <v>0</v>
      </c>
      <c r="E233" s="0" t="str">
        <f aca="false">IF(D233=1,SUM($D$2:D233),"")</f>
        <v/>
      </c>
      <c r="F233" s="0" t="n">
        <f aca="false">IF(AND(食数記録!$A233=プレビュー!$C$3,食数記録!$B233="夕",食数記録!$F233="男性入所",食数記録!$D233="欠食"),1,0)</f>
        <v>0</v>
      </c>
      <c r="G233" s="0" t="str">
        <f aca="false">IF(F233=1,SUM($F$2:F233),"")</f>
        <v/>
      </c>
      <c r="H233" s="0" t="n">
        <f aca="false">IF(AND(食数記録!$A233=プレビュー!$C$3,食数記録!$B233="朝",食数記録!$F233="女性入所",食数記録!$D233="欠食"),1,0)</f>
        <v>0</v>
      </c>
      <c r="I233" s="0" t="str">
        <f aca="false">IF(H233=1,SUM($H$2:H233),"")</f>
        <v/>
      </c>
      <c r="J233" s="0" t="n">
        <f aca="false">IF(AND(食数記録!$A233=プレビュー!$C$3,食数記録!$B233="昼",食数記録!$F233="女性入所",食数記録!$D233="欠食"),1,0)</f>
        <v>0</v>
      </c>
      <c r="K233" s="0" t="str">
        <f aca="false">IF(J233=1,SUM($J$2:J233),"")</f>
        <v/>
      </c>
      <c r="L233" s="0" t="n">
        <f aca="false">IF(AND(食数記録!$A233=プレビュー!$C$3,食数記録!$B233="夕",食数記録!$F233="女性入所",食数記録!$D233="欠食"),1,0)</f>
        <v>0</v>
      </c>
      <c r="M233" s="0" t="str">
        <f aca="false">IF(L233=1,SUM($L$2:L233),"")</f>
        <v/>
      </c>
      <c r="N233" s="0" t="n">
        <f aca="false">IF(AND(食数記録!$A233=プレビュー!$C$3,食数記録!$B233="朝",食数記録!$F233="男性GH",食数記録!$D233="臨時喫食"),1,0)</f>
        <v>0</v>
      </c>
      <c r="O233" s="0" t="str">
        <f aca="false">IF(N233=1,SUM($N$2:N233),"")</f>
        <v/>
      </c>
      <c r="P233" s="0" t="n">
        <f aca="false">IF(AND(食数記録!$A233=プレビュー!$C$3,食数記録!$B233="昼",食数記録!$F233="男性GH",食数記録!$D233="臨時喫食"),1,0)</f>
        <v>0</v>
      </c>
      <c r="Q233" s="0" t="str">
        <f aca="false">IF(P233=1,SUM($P$2:P233),"")</f>
        <v/>
      </c>
      <c r="R233" s="0" t="n">
        <f aca="false">IF(AND(食数記録!$A233=プレビュー!$C$3,食数記録!$B233="夕",食数記録!$F233="男性GH",食数記録!$D233="臨時喫食"),1,0)</f>
        <v>0</v>
      </c>
      <c r="S233" s="0" t="str">
        <f aca="false">IF(R233=1,SUM($R$2:R233),"")</f>
        <v/>
      </c>
      <c r="T233" s="0" t="n">
        <f aca="false">IF(AND(食数記録!$A233=プレビュー!$C$3,食数記録!$B233="朝",食数記録!$F233="女性GH",食数記録!$D233="臨時喫食"),1,0)</f>
        <v>0</v>
      </c>
      <c r="U233" s="0" t="str">
        <f aca="false">IF(T233=1,SUM($T$2:T233),"")</f>
        <v/>
      </c>
      <c r="V233" s="0" t="n">
        <f aca="false">IF(AND(食数記録!$A233=プレビュー!$C$3,食数記録!$B233="昼",食数記録!$F233="女性GH",食数記録!$D233="臨時喫食"),1,0)</f>
        <v>0</v>
      </c>
      <c r="W233" s="0" t="str">
        <f aca="false">IF(V233=1,SUM($V$2:V233),"")</f>
        <v/>
      </c>
      <c r="X233" s="0" t="n">
        <f aca="false">IF(AND(食数記録!$A233=プレビュー!$C$3,食数記録!$B233="夕",食数記録!$F233="女性GH",食数記録!$D233="臨時喫食"),1,0)</f>
        <v>0</v>
      </c>
      <c r="Y233" s="0" t="str">
        <f aca="false">IF(X233=1,SUM($X$2:X233),"")</f>
        <v/>
      </c>
    </row>
    <row r="234" customFormat="false" ht="15" hidden="false" customHeight="false" outlineLevel="0" collapsed="false">
      <c r="B234" s="0" t="n">
        <f aca="false">IF(AND(食数記録!$A234=プレビュー!$C$3,食数記録!$B234="朝",食数記録!$F234="男性入所",食数記録!$D234="欠食"),1,0)</f>
        <v>0</v>
      </c>
      <c r="C234" s="0" t="str">
        <f aca="false">IF(B234=1,SUM($B$2:B234),"")</f>
        <v/>
      </c>
      <c r="D234" s="0" t="n">
        <f aca="false">IF(AND(食数記録!$A234=プレビュー!$C$3,食数記録!$B234="昼",食数記録!$F234="男性入所",食数記録!$D234="欠食"),1,0)</f>
        <v>0</v>
      </c>
      <c r="E234" s="0" t="str">
        <f aca="false">IF(D234=1,SUM($D$2:D234),"")</f>
        <v/>
      </c>
      <c r="F234" s="0" t="n">
        <f aca="false">IF(AND(食数記録!$A234=プレビュー!$C$3,食数記録!$B234="夕",食数記録!$F234="男性入所",食数記録!$D234="欠食"),1,0)</f>
        <v>0</v>
      </c>
      <c r="G234" s="0" t="str">
        <f aca="false">IF(F234=1,SUM($F$2:F234),"")</f>
        <v/>
      </c>
      <c r="H234" s="0" t="n">
        <f aca="false">IF(AND(食数記録!$A234=プレビュー!$C$3,食数記録!$B234="朝",食数記録!$F234="女性入所",食数記録!$D234="欠食"),1,0)</f>
        <v>0</v>
      </c>
      <c r="I234" s="0" t="str">
        <f aca="false">IF(H234=1,SUM($H$2:H234),"")</f>
        <v/>
      </c>
      <c r="J234" s="0" t="n">
        <f aca="false">IF(AND(食数記録!$A234=プレビュー!$C$3,食数記録!$B234="昼",食数記録!$F234="女性入所",食数記録!$D234="欠食"),1,0)</f>
        <v>0</v>
      </c>
      <c r="K234" s="0" t="str">
        <f aca="false">IF(J234=1,SUM($J$2:J234),"")</f>
        <v/>
      </c>
      <c r="L234" s="0" t="n">
        <f aca="false">IF(AND(食数記録!$A234=プレビュー!$C$3,食数記録!$B234="夕",食数記録!$F234="女性入所",食数記録!$D234="欠食"),1,0)</f>
        <v>0</v>
      </c>
      <c r="M234" s="0" t="str">
        <f aca="false">IF(L234=1,SUM($L$2:L234),"")</f>
        <v/>
      </c>
      <c r="N234" s="0" t="n">
        <f aca="false">IF(AND(食数記録!$A234=プレビュー!$C$3,食数記録!$B234="朝",食数記録!$F234="男性GH",食数記録!$D234="臨時喫食"),1,0)</f>
        <v>0</v>
      </c>
      <c r="O234" s="0" t="str">
        <f aca="false">IF(N234=1,SUM($N$2:N234),"")</f>
        <v/>
      </c>
      <c r="P234" s="0" t="n">
        <f aca="false">IF(AND(食数記録!$A234=プレビュー!$C$3,食数記録!$B234="昼",食数記録!$F234="男性GH",食数記録!$D234="臨時喫食"),1,0)</f>
        <v>0</v>
      </c>
      <c r="Q234" s="0" t="str">
        <f aca="false">IF(P234=1,SUM($P$2:P234),"")</f>
        <v/>
      </c>
      <c r="R234" s="0" t="n">
        <f aca="false">IF(AND(食数記録!$A234=プレビュー!$C$3,食数記録!$B234="夕",食数記録!$F234="男性GH",食数記録!$D234="臨時喫食"),1,0)</f>
        <v>0</v>
      </c>
      <c r="S234" s="0" t="str">
        <f aca="false">IF(R234=1,SUM($R$2:R234),"")</f>
        <v/>
      </c>
      <c r="T234" s="0" t="n">
        <f aca="false">IF(AND(食数記録!$A234=プレビュー!$C$3,食数記録!$B234="朝",食数記録!$F234="女性GH",食数記録!$D234="臨時喫食"),1,0)</f>
        <v>0</v>
      </c>
      <c r="U234" s="0" t="str">
        <f aca="false">IF(T234=1,SUM($T$2:T234),"")</f>
        <v/>
      </c>
      <c r="V234" s="0" t="n">
        <f aca="false">IF(AND(食数記録!$A234=プレビュー!$C$3,食数記録!$B234="昼",食数記録!$F234="女性GH",食数記録!$D234="臨時喫食"),1,0)</f>
        <v>0</v>
      </c>
      <c r="W234" s="0" t="str">
        <f aca="false">IF(V234=1,SUM($V$2:V234),"")</f>
        <v/>
      </c>
      <c r="X234" s="0" t="n">
        <f aca="false">IF(AND(食数記録!$A234=プレビュー!$C$3,食数記録!$B234="夕",食数記録!$F234="女性GH",食数記録!$D234="臨時喫食"),1,0)</f>
        <v>0</v>
      </c>
      <c r="Y234" s="0" t="str">
        <f aca="false">IF(X234=1,SUM($X$2:X234),"")</f>
        <v/>
      </c>
    </row>
    <row r="235" customFormat="false" ht="15" hidden="false" customHeight="false" outlineLevel="0" collapsed="false">
      <c r="B235" s="0" t="n">
        <f aca="false">IF(AND(食数記録!$A235=プレビュー!$C$3,食数記録!$B235="朝",食数記録!$F235="男性入所",食数記録!$D235="欠食"),1,0)</f>
        <v>0</v>
      </c>
      <c r="C235" s="0" t="str">
        <f aca="false">IF(B235=1,SUM($B$2:B235),"")</f>
        <v/>
      </c>
      <c r="D235" s="0" t="n">
        <f aca="false">IF(AND(食数記録!$A235=プレビュー!$C$3,食数記録!$B235="昼",食数記録!$F235="男性入所",食数記録!$D235="欠食"),1,0)</f>
        <v>0</v>
      </c>
      <c r="E235" s="0" t="str">
        <f aca="false">IF(D235=1,SUM($D$2:D235),"")</f>
        <v/>
      </c>
      <c r="F235" s="0" t="n">
        <f aca="false">IF(AND(食数記録!$A235=プレビュー!$C$3,食数記録!$B235="夕",食数記録!$F235="男性入所",食数記録!$D235="欠食"),1,0)</f>
        <v>0</v>
      </c>
      <c r="G235" s="0" t="str">
        <f aca="false">IF(F235=1,SUM($F$2:F235),"")</f>
        <v/>
      </c>
      <c r="H235" s="0" t="n">
        <f aca="false">IF(AND(食数記録!$A235=プレビュー!$C$3,食数記録!$B235="朝",食数記録!$F235="女性入所",食数記録!$D235="欠食"),1,0)</f>
        <v>0</v>
      </c>
      <c r="I235" s="0" t="str">
        <f aca="false">IF(H235=1,SUM($H$2:H235),"")</f>
        <v/>
      </c>
      <c r="J235" s="0" t="n">
        <f aca="false">IF(AND(食数記録!$A235=プレビュー!$C$3,食数記録!$B235="昼",食数記録!$F235="女性入所",食数記録!$D235="欠食"),1,0)</f>
        <v>0</v>
      </c>
      <c r="K235" s="0" t="str">
        <f aca="false">IF(J235=1,SUM($J$2:J235),"")</f>
        <v/>
      </c>
      <c r="L235" s="0" t="n">
        <f aca="false">IF(AND(食数記録!$A235=プレビュー!$C$3,食数記録!$B235="夕",食数記録!$F235="女性入所",食数記録!$D235="欠食"),1,0)</f>
        <v>0</v>
      </c>
      <c r="M235" s="0" t="str">
        <f aca="false">IF(L235=1,SUM($L$2:L235),"")</f>
        <v/>
      </c>
      <c r="N235" s="0" t="n">
        <f aca="false">IF(AND(食数記録!$A235=プレビュー!$C$3,食数記録!$B235="朝",食数記録!$F235="男性GH",食数記録!$D235="臨時喫食"),1,0)</f>
        <v>0</v>
      </c>
      <c r="O235" s="0" t="str">
        <f aca="false">IF(N235=1,SUM($N$2:N235),"")</f>
        <v/>
      </c>
      <c r="P235" s="0" t="n">
        <f aca="false">IF(AND(食数記録!$A235=プレビュー!$C$3,食数記録!$B235="昼",食数記録!$F235="男性GH",食数記録!$D235="臨時喫食"),1,0)</f>
        <v>0</v>
      </c>
      <c r="Q235" s="0" t="str">
        <f aca="false">IF(P235=1,SUM($P$2:P235),"")</f>
        <v/>
      </c>
      <c r="R235" s="0" t="n">
        <f aca="false">IF(AND(食数記録!$A235=プレビュー!$C$3,食数記録!$B235="夕",食数記録!$F235="男性GH",食数記録!$D235="臨時喫食"),1,0)</f>
        <v>0</v>
      </c>
      <c r="S235" s="0" t="str">
        <f aca="false">IF(R235=1,SUM($R$2:R235),"")</f>
        <v/>
      </c>
      <c r="T235" s="0" t="n">
        <f aca="false">IF(AND(食数記録!$A235=プレビュー!$C$3,食数記録!$B235="朝",食数記録!$F235="女性GH",食数記録!$D235="臨時喫食"),1,0)</f>
        <v>0</v>
      </c>
      <c r="U235" s="0" t="str">
        <f aca="false">IF(T235=1,SUM($T$2:T235),"")</f>
        <v/>
      </c>
      <c r="V235" s="0" t="n">
        <f aca="false">IF(AND(食数記録!$A235=プレビュー!$C$3,食数記録!$B235="昼",食数記録!$F235="女性GH",食数記録!$D235="臨時喫食"),1,0)</f>
        <v>0</v>
      </c>
      <c r="W235" s="0" t="str">
        <f aca="false">IF(V235=1,SUM($V$2:V235),"")</f>
        <v/>
      </c>
      <c r="X235" s="0" t="n">
        <f aca="false">IF(AND(食数記録!$A235=プレビュー!$C$3,食数記録!$B235="夕",食数記録!$F235="女性GH",食数記録!$D235="臨時喫食"),1,0)</f>
        <v>0</v>
      </c>
      <c r="Y235" s="0" t="str">
        <f aca="false">IF(X235=1,SUM($X$2:X235),"")</f>
        <v/>
      </c>
    </row>
    <row r="236" customFormat="false" ht="15" hidden="false" customHeight="false" outlineLevel="0" collapsed="false">
      <c r="B236" s="0" t="n">
        <f aca="false">IF(AND(食数記録!$A236=プレビュー!$C$3,食数記録!$B236="朝",食数記録!$F236="男性入所",食数記録!$D236="欠食"),1,0)</f>
        <v>0</v>
      </c>
      <c r="C236" s="0" t="str">
        <f aca="false">IF(B236=1,SUM($B$2:B236),"")</f>
        <v/>
      </c>
      <c r="D236" s="0" t="n">
        <f aca="false">IF(AND(食数記録!$A236=プレビュー!$C$3,食数記録!$B236="昼",食数記録!$F236="男性入所",食数記録!$D236="欠食"),1,0)</f>
        <v>0</v>
      </c>
      <c r="E236" s="0" t="str">
        <f aca="false">IF(D236=1,SUM($D$2:D236),"")</f>
        <v/>
      </c>
      <c r="F236" s="0" t="n">
        <f aca="false">IF(AND(食数記録!$A236=プレビュー!$C$3,食数記録!$B236="夕",食数記録!$F236="男性入所",食数記録!$D236="欠食"),1,0)</f>
        <v>0</v>
      </c>
      <c r="G236" s="0" t="str">
        <f aca="false">IF(F236=1,SUM($F$2:F236),"")</f>
        <v/>
      </c>
      <c r="H236" s="0" t="n">
        <f aca="false">IF(AND(食数記録!$A236=プレビュー!$C$3,食数記録!$B236="朝",食数記録!$F236="女性入所",食数記録!$D236="欠食"),1,0)</f>
        <v>0</v>
      </c>
      <c r="I236" s="0" t="str">
        <f aca="false">IF(H236=1,SUM($H$2:H236),"")</f>
        <v/>
      </c>
      <c r="J236" s="0" t="n">
        <f aca="false">IF(AND(食数記録!$A236=プレビュー!$C$3,食数記録!$B236="昼",食数記録!$F236="女性入所",食数記録!$D236="欠食"),1,0)</f>
        <v>0</v>
      </c>
      <c r="K236" s="0" t="str">
        <f aca="false">IF(J236=1,SUM($J$2:J236),"")</f>
        <v/>
      </c>
      <c r="L236" s="0" t="n">
        <f aca="false">IF(AND(食数記録!$A236=プレビュー!$C$3,食数記録!$B236="夕",食数記録!$F236="女性入所",食数記録!$D236="欠食"),1,0)</f>
        <v>0</v>
      </c>
      <c r="M236" s="0" t="str">
        <f aca="false">IF(L236=1,SUM($L$2:L236),"")</f>
        <v/>
      </c>
      <c r="N236" s="0" t="n">
        <f aca="false">IF(AND(食数記録!$A236=プレビュー!$C$3,食数記録!$B236="朝",食数記録!$F236="男性GH",食数記録!$D236="臨時喫食"),1,0)</f>
        <v>0</v>
      </c>
      <c r="O236" s="0" t="str">
        <f aca="false">IF(N236=1,SUM($N$2:N236),"")</f>
        <v/>
      </c>
      <c r="P236" s="0" t="n">
        <f aca="false">IF(AND(食数記録!$A236=プレビュー!$C$3,食数記録!$B236="昼",食数記録!$F236="男性GH",食数記録!$D236="臨時喫食"),1,0)</f>
        <v>0</v>
      </c>
      <c r="Q236" s="0" t="str">
        <f aca="false">IF(P236=1,SUM($P$2:P236),"")</f>
        <v/>
      </c>
      <c r="R236" s="0" t="n">
        <f aca="false">IF(AND(食数記録!$A236=プレビュー!$C$3,食数記録!$B236="夕",食数記録!$F236="男性GH",食数記録!$D236="臨時喫食"),1,0)</f>
        <v>0</v>
      </c>
      <c r="S236" s="0" t="str">
        <f aca="false">IF(R236=1,SUM($R$2:R236),"")</f>
        <v/>
      </c>
      <c r="T236" s="0" t="n">
        <f aca="false">IF(AND(食数記録!$A236=プレビュー!$C$3,食数記録!$B236="朝",食数記録!$F236="女性GH",食数記録!$D236="臨時喫食"),1,0)</f>
        <v>0</v>
      </c>
      <c r="U236" s="0" t="str">
        <f aca="false">IF(T236=1,SUM($T$2:T236),"")</f>
        <v/>
      </c>
      <c r="V236" s="0" t="n">
        <f aca="false">IF(AND(食数記録!$A236=プレビュー!$C$3,食数記録!$B236="昼",食数記録!$F236="女性GH",食数記録!$D236="臨時喫食"),1,0)</f>
        <v>0</v>
      </c>
      <c r="W236" s="0" t="str">
        <f aca="false">IF(V236=1,SUM($V$2:V236),"")</f>
        <v/>
      </c>
      <c r="X236" s="0" t="n">
        <f aca="false">IF(AND(食数記録!$A236=プレビュー!$C$3,食数記録!$B236="夕",食数記録!$F236="女性GH",食数記録!$D236="臨時喫食"),1,0)</f>
        <v>0</v>
      </c>
      <c r="Y236" s="0" t="str">
        <f aca="false">IF(X236=1,SUM($X$2:X236),"")</f>
        <v/>
      </c>
    </row>
    <row r="237" customFormat="false" ht="15" hidden="false" customHeight="false" outlineLevel="0" collapsed="false">
      <c r="B237" s="0" t="n">
        <f aca="false">IF(AND(食数記録!$A237=プレビュー!$C$3,食数記録!$B237="朝",食数記録!$F237="男性入所",食数記録!$D237="欠食"),1,0)</f>
        <v>0</v>
      </c>
      <c r="C237" s="0" t="str">
        <f aca="false">IF(B237=1,SUM($B$2:B237),"")</f>
        <v/>
      </c>
      <c r="D237" s="0" t="n">
        <f aca="false">IF(AND(食数記録!$A237=プレビュー!$C$3,食数記録!$B237="昼",食数記録!$F237="男性入所",食数記録!$D237="欠食"),1,0)</f>
        <v>0</v>
      </c>
      <c r="E237" s="0" t="str">
        <f aca="false">IF(D237=1,SUM($D$2:D237),"")</f>
        <v/>
      </c>
      <c r="F237" s="0" t="n">
        <f aca="false">IF(AND(食数記録!$A237=プレビュー!$C$3,食数記録!$B237="夕",食数記録!$F237="男性入所",食数記録!$D237="欠食"),1,0)</f>
        <v>0</v>
      </c>
      <c r="G237" s="0" t="str">
        <f aca="false">IF(F237=1,SUM($F$2:F237),"")</f>
        <v/>
      </c>
      <c r="H237" s="0" t="n">
        <f aca="false">IF(AND(食数記録!$A237=プレビュー!$C$3,食数記録!$B237="朝",食数記録!$F237="女性入所",食数記録!$D237="欠食"),1,0)</f>
        <v>0</v>
      </c>
      <c r="I237" s="0" t="str">
        <f aca="false">IF(H237=1,SUM($H$2:H237),"")</f>
        <v/>
      </c>
      <c r="J237" s="0" t="n">
        <f aca="false">IF(AND(食数記録!$A237=プレビュー!$C$3,食数記録!$B237="昼",食数記録!$F237="女性入所",食数記録!$D237="欠食"),1,0)</f>
        <v>0</v>
      </c>
      <c r="K237" s="0" t="str">
        <f aca="false">IF(J237=1,SUM($J$2:J237),"")</f>
        <v/>
      </c>
      <c r="L237" s="0" t="n">
        <f aca="false">IF(AND(食数記録!$A237=プレビュー!$C$3,食数記録!$B237="夕",食数記録!$F237="女性入所",食数記録!$D237="欠食"),1,0)</f>
        <v>0</v>
      </c>
      <c r="M237" s="0" t="str">
        <f aca="false">IF(L237=1,SUM($L$2:L237),"")</f>
        <v/>
      </c>
      <c r="N237" s="0" t="n">
        <f aca="false">IF(AND(食数記録!$A237=プレビュー!$C$3,食数記録!$B237="朝",食数記録!$F237="男性GH",食数記録!$D237="臨時喫食"),1,0)</f>
        <v>0</v>
      </c>
      <c r="O237" s="0" t="str">
        <f aca="false">IF(N237=1,SUM($N$2:N237),"")</f>
        <v/>
      </c>
      <c r="P237" s="0" t="n">
        <f aca="false">IF(AND(食数記録!$A237=プレビュー!$C$3,食数記録!$B237="昼",食数記録!$F237="男性GH",食数記録!$D237="臨時喫食"),1,0)</f>
        <v>0</v>
      </c>
      <c r="Q237" s="0" t="str">
        <f aca="false">IF(P237=1,SUM($P$2:P237),"")</f>
        <v/>
      </c>
      <c r="R237" s="0" t="n">
        <f aca="false">IF(AND(食数記録!$A237=プレビュー!$C$3,食数記録!$B237="夕",食数記録!$F237="男性GH",食数記録!$D237="臨時喫食"),1,0)</f>
        <v>0</v>
      </c>
      <c r="S237" s="0" t="str">
        <f aca="false">IF(R237=1,SUM($R$2:R237),"")</f>
        <v/>
      </c>
      <c r="T237" s="0" t="n">
        <f aca="false">IF(AND(食数記録!$A237=プレビュー!$C$3,食数記録!$B237="朝",食数記録!$F237="女性GH",食数記録!$D237="臨時喫食"),1,0)</f>
        <v>0</v>
      </c>
      <c r="U237" s="0" t="str">
        <f aca="false">IF(T237=1,SUM($T$2:T237),"")</f>
        <v/>
      </c>
      <c r="V237" s="0" t="n">
        <f aca="false">IF(AND(食数記録!$A237=プレビュー!$C$3,食数記録!$B237="昼",食数記録!$F237="女性GH",食数記録!$D237="臨時喫食"),1,0)</f>
        <v>0</v>
      </c>
      <c r="W237" s="0" t="str">
        <f aca="false">IF(V237=1,SUM($V$2:V237),"")</f>
        <v/>
      </c>
      <c r="X237" s="0" t="n">
        <f aca="false">IF(AND(食数記録!$A237=プレビュー!$C$3,食数記録!$B237="夕",食数記録!$F237="女性GH",食数記録!$D237="臨時喫食"),1,0)</f>
        <v>0</v>
      </c>
      <c r="Y237" s="0" t="str">
        <f aca="false">IF(X237=1,SUM($X$2:X237),"")</f>
        <v/>
      </c>
    </row>
    <row r="238" customFormat="false" ht="15" hidden="false" customHeight="false" outlineLevel="0" collapsed="false">
      <c r="B238" s="0" t="n">
        <f aca="false">IF(AND(食数記録!$A238=プレビュー!$C$3,食数記録!$B238="朝",食数記録!$F238="男性入所",食数記録!$D238="欠食"),1,0)</f>
        <v>0</v>
      </c>
      <c r="C238" s="0" t="str">
        <f aca="false">IF(B238=1,SUM($B$2:B238),"")</f>
        <v/>
      </c>
      <c r="D238" s="0" t="n">
        <f aca="false">IF(AND(食数記録!$A238=プレビュー!$C$3,食数記録!$B238="昼",食数記録!$F238="男性入所",食数記録!$D238="欠食"),1,0)</f>
        <v>0</v>
      </c>
      <c r="E238" s="0" t="str">
        <f aca="false">IF(D238=1,SUM($D$2:D238),"")</f>
        <v/>
      </c>
      <c r="F238" s="0" t="n">
        <f aca="false">IF(AND(食数記録!$A238=プレビュー!$C$3,食数記録!$B238="夕",食数記録!$F238="男性入所",食数記録!$D238="欠食"),1,0)</f>
        <v>0</v>
      </c>
      <c r="G238" s="0" t="str">
        <f aca="false">IF(F238=1,SUM($F$2:F238),"")</f>
        <v/>
      </c>
      <c r="H238" s="0" t="n">
        <f aca="false">IF(AND(食数記録!$A238=プレビュー!$C$3,食数記録!$B238="朝",食数記録!$F238="女性入所",食数記録!$D238="欠食"),1,0)</f>
        <v>0</v>
      </c>
      <c r="I238" s="0" t="str">
        <f aca="false">IF(H238=1,SUM($H$2:H238),"")</f>
        <v/>
      </c>
      <c r="J238" s="0" t="n">
        <f aca="false">IF(AND(食数記録!$A238=プレビュー!$C$3,食数記録!$B238="昼",食数記録!$F238="女性入所",食数記録!$D238="欠食"),1,0)</f>
        <v>0</v>
      </c>
      <c r="K238" s="0" t="str">
        <f aca="false">IF(J238=1,SUM($J$2:J238),"")</f>
        <v/>
      </c>
      <c r="L238" s="0" t="n">
        <f aca="false">IF(AND(食数記録!$A238=プレビュー!$C$3,食数記録!$B238="夕",食数記録!$F238="女性入所",食数記録!$D238="欠食"),1,0)</f>
        <v>0</v>
      </c>
      <c r="M238" s="0" t="str">
        <f aca="false">IF(L238=1,SUM($L$2:L238),"")</f>
        <v/>
      </c>
      <c r="N238" s="0" t="n">
        <f aca="false">IF(AND(食数記録!$A238=プレビュー!$C$3,食数記録!$B238="朝",食数記録!$F238="男性GH",食数記録!$D238="臨時喫食"),1,0)</f>
        <v>0</v>
      </c>
      <c r="O238" s="0" t="str">
        <f aca="false">IF(N238=1,SUM($N$2:N238),"")</f>
        <v/>
      </c>
      <c r="P238" s="0" t="n">
        <f aca="false">IF(AND(食数記録!$A238=プレビュー!$C$3,食数記録!$B238="昼",食数記録!$F238="男性GH",食数記録!$D238="臨時喫食"),1,0)</f>
        <v>0</v>
      </c>
      <c r="Q238" s="0" t="str">
        <f aca="false">IF(P238=1,SUM($P$2:P238),"")</f>
        <v/>
      </c>
      <c r="R238" s="0" t="n">
        <f aca="false">IF(AND(食数記録!$A238=プレビュー!$C$3,食数記録!$B238="夕",食数記録!$F238="男性GH",食数記録!$D238="臨時喫食"),1,0)</f>
        <v>0</v>
      </c>
      <c r="S238" s="0" t="str">
        <f aca="false">IF(R238=1,SUM($R$2:R238),"")</f>
        <v/>
      </c>
      <c r="T238" s="0" t="n">
        <f aca="false">IF(AND(食数記録!$A238=プレビュー!$C$3,食数記録!$B238="朝",食数記録!$F238="女性GH",食数記録!$D238="臨時喫食"),1,0)</f>
        <v>0</v>
      </c>
      <c r="U238" s="0" t="str">
        <f aca="false">IF(T238=1,SUM($T$2:T238),"")</f>
        <v/>
      </c>
      <c r="V238" s="0" t="n">
        <f aca="false">IF(AND(食数記録!$A238=プレビュー!$C$3,食数記録!$B238="昼",食数記録!$F238="女性GH",食数記録!$D238="臨時喫食"),1,0)</f>
        <v>0</v>
      </c>
      <c r="W238" s="0" t="str">
        <f aca="false">IF(V238=1,SUM($V$2:V238),"")</f>
        <v/>
      </c>
      <c r="X238" s="0" t="n">
        <f aca="false">IF(AND(食数記録!$A238=プレビュー!$C$3,食数記録!$B238="夕",食数記録!$F238="女性GH",食数記録!$D238="臨時喫食"),1,0)</f>
        <v>0</v>
      </c>
      <c r="Y238" s="0" t="str">
        <f aca="false">IF(X238=1,SUM($X$2:X238),"")</f>
        <v/>
      </c>
    </row>
    <row r="239" customFormat="false" ht="15" hidden="false" customHeight="false" outlineLevel="0" collapsed="false">
      <c r="B239" s="0" t="n">
        <f aca="false">IF(AND(食数記録!$A239=プレビュー!$C$3,食数記録!$B239="朝",食数記録!$F239="男性入所",食数記録!$D239="欠食"),1,0)</f>
        <v>0</v>
      </c>
      <c r="C239" s="0" t="str">
        <f aca="false">IF(B239=1,SUM($B$2:B239),"")</f>
        <v/>
      </c>
      <c r="D239" s="0" t="n">
        <f aca="false">IF(AND(食数記録!$A239=プレビュー!$C$3,食数記録!$B239="昼",食数記録!$F239="男性入所",食数記録!$D239="欠食"),1,0)</f>
        <v>0</v>
      </c>
      <c r="E239" s="0" t="str">
        <f aca="false">IF(D239=1,SUM($D$2:D239),"")</f>
        <v/>
      </c>
      <c r="F239" s="0" t="n">
        <f aca="false">IF(AND(食数記録!$A239=プレビュー!$C$3,食数記録!$B239="夕",食数記録!$F239="男性入所",食数記録!$D239="欠食"),1,0)</f>
        <v>0</v>
      </c>
      <c r="G239" s="0" t="str">
        <f aca="false">IF(F239=1,SUM($F$2:F239),"")</f>
        <v/>
      </c>
      <c r="H239" s="0" t="n">
        <f aca="false">IF(AND(食数記録!$A239=プレビュー!$C$3,食数記録!$B239="朝",食数記録!$F239="女性入所",食数記録!$D239="欠食"),1,0)</f>
        <v>0</v>
      </c>
      <c r="I239" s="0" t="str">
        <f aca="false">IF(H239=1,SUM($H$2:H239),"")</f>
        <v/>
      </c>
      <c r="J239" s="0" t="n">
        <f aca="false">IF(AND(食数記録!$A239=プレビュー!$C$3,食数記録!$B239="昼",食数記録!$F239="女性入所",食数記録!$D239="欠食"),1,0)</f>
        <v>0</v>
      </c>
      <c r="K239" s="0" t="str">
        <f aca="false">IF(J239=1,SUM($J$2:J239),"")</f>
        <v/>
      </c>
      <c r="L239" s="0" t="n">
        <f aca="false">IF(AND(食数記録!$A239=プレビュー!$C$3,食数記録!$B239="夕",食数記録!$F239="女性入所",食数記録!$D239="欠食"),1,0)</f>
        <v>0</v>
      </c>
      <c r="M239" s="0" t="str">
        <f aca="false">IF(L239=1,SUM($L$2:L239),"")</f>
        <v/>
      </c>
      <c r="N239" s="0" t="n">
        <f aca="false">IF(AND(食数記録!$A239=プレビュー!$C$3,食数記録!$B239="朝",食数記録!$F239="男性GH",食数記録!$D239="臨時喫食"),1,0)</f>
        <v>0</v>
      </c>
      <c r="O239" s="0" t="str">
        <f aca="false">IF(N239=1,SUM($N$2:N239),"")</f>
        <v/>
      </c>
      <c r="P239" s="0" t="n">
        <f aca="false">IF(AND(食数記録!$A239=プレビュー!$C$3,食数記録!$B239="昼",食数記録!$F239="男性GH",食数記録!$D239="臨時喫食"),1,0)</f>
        <v>0</v>
      </c>
      <c r="Q239" s="0" t="str">
        <f aca="false">IF(P239=1,SUM($P$2:P239),"")</f>
        <v/>
      </c>
      <c r="R239" s="0" t="n">
        <f aca="false">IF(AND(食数記録!$A239=プレビュー!$C$3,食数記録!$B239="夕",食数記録!$F239="男性GH",食数記録!$D239="臨時喫食"),1,0)</f>
        <v>0</v>
      </c>
      <c r="S239" s="0" t="str">
        <f aca="false">IF(R239=1,SUM($R$2:R239),"")</f>
        <v/>
      </c>
      <c r="T239" s="0" t="n">
        <f aca="false">IF(AND(食数記録!$A239=プレビュー!$C$3,食数記録!$B239="朝",食数記録!$F239="女性GH",食数記録!$D239="臨時喫食"),1,0)</f>
        <v>0</v>
      </c>
      <c r="U239" s="0" t="str">
        <f aca="false">IF(T239=1,SUM($T$2:T239),"")</f>
        <v/>
      </c>
      <c r="V239" s="0" t="n">
        <f aca="false">IF(AND(食数記録!$A239=プレビュー!$C$3,食数記録!$B239="昼",食数記録!$F239="女性GH",食数記録!$D239="臨時喫食"),1,0)</f>
        <v>0</v>
      </c>
      <c r="W239" s="0" t="str">
        <f aca="false">IF(V239=1,SUM($V$2:V239),"")</f>
        <v/>
      </c>
      <c r="X239" s="0" t="n">
        <f aca="false">IF(AND(食数記録!$A239=プレビュー!$C$3,食数記録!$B239="夕",食数記録!$F239="女性GH",食数記録!$D239="臨時喫食"),1,0)</f>
        <v>0</v>
      </c>
      <c r="Y239" s="0" t="str">
        <f aca="false">IF(X239=1,SUM($X$2:X239),"")</f>
        <v/>
      </c>
    </row>
    <row r="240" customFormat="false" ht="15" hidden="false" customHeight="false" outlineLevel="0" collapsed="false">
      <c r="B240" s="0" t="n">
        <f aca="false">IF(AND(食数記録!$A240=プレビュー!$C$3,食数記録!$B240="朝",食数記録!$F240="男性入所",食数記録!$D240="欠食"),1,0)</f>
        <v>0</v>
      </c>
      <c r="C240" s="0" t="str">
        <f aca="false">IF(B240=1,SUM($B$2:B240),"")</f>
        <v/>
      </c>
      <c r="D240" s="0" t="n">
        <f aca="false">IF(AND(食数記録!$A240=プレビュー!$C$3,食数記録!$B240="昼",食数記録!$F240="男性入所",食数記録!$D240="欠食"),1,0)</f>
        <v>0</v>
      </c>
      <c r="E240" s="0" t="str">
        <f aca="false">IF(D240=1,SUM($D$2:D240),"")</f>
        <v/>
      </c>
      <c r="F240" s="0" t="n">
        <f aca="false">IF(AND(食数記録!$A240=プレビュー!$C$3,食数記録!$B240="夕",食数記録!$F240="男性入所",食数記録!$D240="欠食"),1,0)</f>
        <v>0</v>
      </c>
      <c r="G240" s="0" t="str">
        <f aca="false">IF(F240=1,SUM($F$2:F240),"")</f>
        <v/>
      </c>
      <c r="H240" s="0" t="n">
        <f aca="false">IF(AND(食数記録!$A240=プレビュー!$C$3,食数記録!$B240="朝",食数記録!$F240="女性入所",食数記録!$D240="欠食"),1,0)</f>
        <v>0</v>
      </c>
      <c r="I240" s="0" t="str">
        <f aca="false">IF(H240=1,SUM($H$2:H240),"")</f>
        <v/>
      </c>
      <c r="J240" s="0" t="n">
        <f aca="false">IF(AND(食数記録!$A240=プレビュー!$C$3,食数記録!$B240="昼",食数記録!$F240="女性入所",食数記録!$D240="欠食"),1,0)</f>
        <v>0</v>
      </c>
      <c r="K240" s="0" t="str">
        <f aca="false">IF(J240=1,SUM($J$2:J240),"")</f>
        <v/>
      </c>
      <c r="L240" s="0" t="n">
        <f aca="false">IF(AND(食数記録!$A240=プレビュー!$C$3,食数記録!$B240="夕",食数記録!$F240="女性入所",食数記録!$D240="欠食"),1,0)</f>
        <v>0</v>
      </c>
      <c r="M240" s="0" t="str">
        <f aca="false">IF(L240=1,SUM($L$2:L240),"")</f>
        <v/>
      </c>
      <c r="N240" s="0" t="n">
        <f aca="false">IF(AND(食数記録!$A240=プレビュー!$C$3,食数記録!$B240="朝",食数記録!$F240="男性GH",食数記録!$D240="臨時喫食"),1,0)</f>
        <v>0</v>
      </c>
      <c r="O240" s="0" t="str">
        <f aca="false">IF(N240=1,SUM($N$2:N240),"")</f>
        <v/>
      </c>
      <c r="P240" s="0" t="n">
        <f aca="false">IF(AND(食数記録!$A240=プレビュー!$C$3,食数記録!$B240="昼",食数記録!$F240="男性GH",食数記録!$D240="臨時喫食"),1,0)</f>
        <v>0</v>
      </c>
      <c r="Q240" s="0" t="str">
        <f aca="false">IF(P240=1,SUM($P$2:P240),"")</f>
        <v/>
      </c>
      <c r="R240" s="0" t="n">
        <f aca="false">IF(AND(食数記録!$A240=プレビュー!$C$3,食数記録!$B240="夕",食数記録!$F240="男性GH",食数記録!$D240="臨時喫食"),1,0)</f>
        <v>0</v>
      </c>
      <c r="S240" s="0" t="str">
        <f aca="false">IF(R240=1,SUM($R$2:R240),"")</f>
        <v/>
      </c>
      <c r="T240" s="0" t="n">
        <f aca="false">IF(AND(食数記録!$A240=プレビュー!$C$3,食数記録!$B240="朝",食数記録!$F240="女性GH",食数記録!$D240="臨時喫食"),1,0)</f>
        <v>0</v>
      </c>
      <c r="U240" s="0" t="str">
        <f aca="false">IF(T240=1,SUM($T$2:T240),"")</f>
        <v/>
      </c>
      <c r="V240" s="0" t="n">
        <f aca="false">IF(AND(食数記録!$A240=プレビュー!$C$3,食数記録!$B240="昼",食数記録!$F240="女性GH",食数記録!$D240="臨時喫食"),1,0)</f>
        <v>0</v>
      </c>
      <c r="W240" s="0" t="str">
        <f aca="false">IF(V240=1,SUM($V$2:V240),"")</f>
        <v/>
      </c>
      <c r="X240" s="0" t="n">
        <f aca="false">IF(AND(食数記録!$A240=プレビュー!$C$3,食数記録!$B240="夕",食数記録!$F240="女性GH",食数記録!$D240="臨時喫食"),1,0)</f>
        <v>0</v>
      </c>
      <c r="Y240" s="0" t="str">
        <f aca="false">IF(X240=1,SUM($X$2:X240),"")</f>
        <v/>
      </c>
    </row>
    <row r="241" customFormat="false" ht="15" hidden="false" customHeight="false" outlineLevel="0" collapsed="false">
      <c r="B241" s="0" t="n">
        <f aca="false">IF(AND(食数記録!$A241=プレビュー!$C$3,食数記録!$B241="朝",食数記録!$F241="男性入所",食数記録!$D241="欠食"),1,0)</f>
        <v>0</v>
      </c>
      <c r="C241" s="0" t="str">
        <f aca="false">IF(B241=1,SUM($B$2:B241),"")</f>
        <v/>
      </c>
      <c r="D241" s="0" t="n">
        <f aca="false">IF(AND(食数記録!$A241=プレビュー!$C$3,食数記録!$B241="昼",食数記録!$F241="男性入所",食数記録!$D241="欠食"),1,0)</f>
        <v>0</v>
      </c>
      <c r="E241" s="0" t="str">
        <f aca="false">IF(D241=1,SUM($D$2:D241),"")</f>
        <v/>
      </c>
      <c r="F241" s="0" t="n">
        <f aca="false">IF(AND(食数記録!$A241=プレビュー!$C$3,食数記録!$B241="夕",食数記録!$F241="男性入所",食数記録!$D241="欠食"),1,0)</f>
        <v>0</v>
      </c>
      <c r="G241" s="0" t="str">
        <f aca="false">IF(F241=1,SUM($F$2:F241),"")</f>
        <v/>
      </c>
      <c r="H241" s="0" t="n">
        <f aca="false">IF(AND(食数記録!$A241=プレビュー!$C$3,食数記録!$B241="朝",食数記録!$F241="女性入所",食数記録!$D241="欠食"),1,0)</f>
        <v>0</v>
      </c>
      <c r="I241" s="0" t="str">
        <f aca="false">IF(H241=1,SUM($H$2:H241),"")</f>
        <v/>
      </c>
      <c r="J241" s="0" t="n">
        <f aca="false">IF(AND(食数記録!$A241=プレビュー!$C$3,食数記録!$B241="昼",食数記録!$F241="女性入所",食数記録!$D241="欠食"),1,0)</f>
        <v>0</v>
      </c>
      <c r="K241" s="0" t="str">
        <f aca="false">IF(J241=1,SUM($J$2:J241),"")</f>
        <v/>
      </c>
      <c r="L241" s="0" t="n">
        <f aca="false">IF(AND(食数記録!$A241=プレビュー!$C$3,食数記録!$B241="夕",食数記録!$F241="女性入所",食数記録!$D241="欠食"),1,0)</f>
        <v>0</v>
      </c>
      <c r="M241" s="0" t="str">
        <f aca="false">IF(L241=1,SUM($L$2:L241),"")</f>
        <v/>
      </c>
      <c r="N241" s="0" t="n">
        <f aca="false">IF(AND(食数記録!$A241=プレビュー!$C$3,食数記録!$B241="朝",食数記録!$F241="男性GH",食数記録!$D241="臨時喫食"),1,0)</f>
        <v>0</v>
      </c>
      <c r="O241" s="0" t="str">
        <f aca="false">IF(N241=1,SUM($N$2:N241),"")</f>
        <v/>
      </c>
      <c r="P241" s="0" t="n">
        <f aca="false">IF(AND(食数記録!$A241=プレビュー!$C$3,食数記録!$B241="昼",食数記録!$F241="男性GH",食数記録!$D241="臨時喫食"),1,0)</f>
        <v>0</v>
      </c>
      <c r="Q241" s="0" t="str">
        <f aca="false">IF(P241=1,SUM($P$2:P241),"")</f>
        <v/>
      </c>
      <c r="R241" s="0" t="n">
        <f aca="false">IF(AND(食数記録!$A241=プレビュー!$C$3,食数記録!$B241="夕",食数記録!$F241="男性GH",食数記録!$D241="臨時喫食"),1,0)</f>
        <v>0</v>
      </c>
      <c r="S241" s="0" t="str">
        <f aca="false">IF(R241=1,SUM($R$2:R241),"")</f>
        <v/>
      </c>
      <c r="T241" s="0" t="n">
        <f aca="false">IF(AND(食数記録!$A241=プレビュー!$C$3,食数記録!$B241="朝",食数記録!$F241="女性GH",食数記録!$D241="臨時喫食"),1,0)</f>
        <v>0</v>
      </c>
      <c r="U241" s="0" t="str">
        <f aca="false">IF(T241=1,SUM($T$2:T241),"")</f>
        <v/>
      </c>
      <c r="V241" s="0" t="n">
        <f aca="false">IF(AND(食数記録!$A241=プレビュー!$C$3,食数記録!$B241="昼",食数記録!$F241="女性GH",食数記録!$D241="臨時喫食"),1,0)</f>
        <v>0</v>
      </c>
      <c r="W241" s="0" t="str">
        <f aca="false">IF(V241=1,SUM($V$2:V241),"")</f>
        <v/>
      </c>
      <c r="X241" s="0" t="n">
        <f aca="false">IF(AND(食数記録!$A241=プレビュー!$C$3,食数記録!$B241="夕",食数記録!$F241="女性GH",食数記録!$D241="臨時喫食"),1,0)</f>
        <v>0</v>
      </c>
      <c r="Y241" s="0" t="str">
        <f aca="false">IF(X241=1,SUM($X$2:X241),"")</f>
        <v/>
      </c>
    </row>
    <row r="242" customFormat="false" ht="15" hidden="false" customHeight="false" outlineLevel="0" collapsed="false">
      <c r="B242" s="0" t="n">
        <f aca="false">IF(AND(食数記録!$A242=プレビュー!$C$3,食数記録!$B242="朝",食数記録!$F242="男性入所",食数記録!$D242="欠食"),1,0)</f>
        <v>0</v>
      </c>
      <c r="C242" s="0" t="str">
        <f aca="false">IF(B242=1,SUM($B$2:B242),"")</f>
        <v/>
      </c>
      <c r="D242" s="0" t="n">
        <f aca="false">IF(AND(食数記録!$A242=プレビュー!$C$3,食数記録!$B242="昼",食数記録!$F242="男性入所",食数記録!$D242="欠食"),1,0)</f>
        <v>0</v>
      </c>
      <c r="E242" s="0" t="str">
        <f aca="false">IF(D242=1,SUM($D$2:D242),"")</f>
        <v/>
      </c>
      <c r="F242" s="0" t="n">
        <f aca="false">IF(AND(食数記録!$A242=プレビュー!$C$3,食数記録!$B242="夕",食数記録!$F242="男性入所",食数記録!$D242="欠食"),1,0)</f>
        <v>0</v>
      </c>
      <c r="G242" s="0" t="str">
        <f aca="false">IF(F242=1,SUM($F$2:F242),"")</f>
        <v/>
      </c>
      <c r="H242" s="0" t="n">
        <f aca="false">IF(AND(食数記録!$A242=プレビュー!$C$3,食数記録!$B242="朝",食数記録!$F242="女性入所",食数記録!$D242="欠食"),1,0)</f>
        <v>0</v>
      </c>
      <c r="I242" s="0" t="str">
        <f aca="false">IF(H242=1,SUM($H$2:H242),"")</f>
        <v/>
      </c>
      <c r="J242" s="0" t="n">
        <f aca="false">IF(AND(食数記録!$A242=プレビュー!$C$3,食数記録!$B242="昼",食数記録!$F242="女性入所",食数記録!$D242="欠食"),1,0)</f>
        <v>0</v>
      </c>
      <c r="K242" s="0" t="str">
        <f aca="false">IF(J242=1,SUM($J$2:J242),"")</f>
        <v/>
      </c>
      <c r="L242" s="0" t="n">
        <f aca="false">IF(AND(食数記録!$A242=プレビュー!$C$3,食数記録!$B242="夕",食数記録!$F242="女性入所",食数記録!$D242="欠食"),1,0)</f>
        <v>0</v>
      </c>
      <c r="M242" s="0" t="str">
        <f aca="false">IF(L242=1,SUM($L$2:L242),"")</f>
        <v/>
      </c>
      <c r="N242" s="0" t="n">
        <f aca="false">IF(AND(食数記録!$A242=プレビュー!$C$3,食数記録!$B242="朝",食数記録!$F242="男性GH",食数記録!$D242="臨時喫食"),1,0)</f>
        <v>0</v>
      </c>
      <c r="O242" s="0" t="str">
        <f aca="false">IF(N242=1,SUM($N$2:N242),"")</f>
        <v/>
      </c>
      <c r="P242" s="0" t="n">
        <f aca="false">IF(AND(食数記録!$A242=プレビュー!$C$3,食数記録!$B242="昼",食数記録!$F242="男性GH",食数記録!$D242="臨時喫食"),1,0)</f>
        <v>0</v>
      </c>
      <c r="Q242" s="0" t="str">
        <f aca="false">IF(P242=1,SUM($P$2:P242),"")</f>
        <v/>
      </c>
      <c r="R242" s="0" t="n">
        <f aca="false">IF(AND(食数記録!$A242=プレビュー!$C$3,食数記録!$B242="夕",食数記録!$F242="男性GH",食数記録!$D242="臨時喫食"),1,0)</f>
        <v>0</v>
      </c>
      <c r="S242" s="0" t="str">
        <f aca="false">IF(R242=1,SUM($R$2:R242),"")</f>
        <v/>
      </c>
      <c r="T242" s="0" t="n">
        <f aca="false">IF(AND(食数記録!$A242=プレビュー!$C$3,食数記録!$B242="朝",食数記録!$F242="女性GH",食数記録!$D242="臨時喫食"),1,0)</f>
        <v>0</v>
      </c>
      <c r="U242" s="0" t="str">
        <f aca="false">IF(T242=1,SUM($T$2:T242),"")</f>
        <v/>
      </c>
      <c r="V242" s="0" t="n">
        <f aca="false">IF(AND(食数記録!$A242=プレビュー!$C$3,食数記録!$B242="昼",食数記録!$F242="女性GH",食数記録!$D242="臨時喫食"),1,0)</f>
        <v>0</v>
      </c>
      <c r="W242" s="0" t="str">
        <f aca="false">IF(V242=1,SUM($V$2:V242),"")</f>
        <v/>
      </c>
      <c r="X242" s="0" t="n">
        <f aca="false">IF(AND(食数記録!$A242=プレビュー!$C$3,食数記録!$B242="夕",食数記録!$F242="女性GH",食数記録!$D242="臨時喫食"),1,0)</f>
        <v>0</v>
      </c>
      <c r="Y242" s="0" t="str">
        <f aca="false">IF(X242=1,SUM($X$2:X242),"")</f>
        <v/>
      </c>
    </row>
    <row r="243" customFormat="false" ht="15" hidden="false" customHeight="false" outlineLevel="0" collapsed="false">
      <c r="B243" s="0" t="n">
        <f aca="false">IF(AND(食数記録!$A243=プレビュー!$C$3,食数記録!$B243="朝",食数記録!$F243="男性入所",食数記録!$D243="欠食"),1,0)</f>
        <v>0</v>
      </c>
      <c r="C243" s="0" t="str">
        <f aca="false">IF(B243=1,SUM($B$2:B243),"")</f>
        <v/>
      </c>
      <c r="D243" s="0" t="n">
        <f aca="false">IF(AND(食数記録!$A243=プレビュー!$C$3,食数記録!$B243="昼",食数記録!$F243="男性入所",食数記録!$D243="欠食"),1,0)</f>
        <v>0</v>
      </c>
      <c r="E243" s="0" t="str">
        <f aca="false">IF(D243=1,SUM($D$2:D243),"")</f>
        <v/>
      </c>
      <c r="F243" s="0" t="n">
        <f aca="false">IF(AND(食数記録!$A243=プレビュー!$C$3,食数記録!$B243="夕",食数記録!$F243="男性入所",食数記録!$D243="欠食"),1,0)</f>
        <v>0</v>
      </c>
      <c r="G243" s="0" t="str">
        <f aca="false">IF(F243=1,SUM($F$2:F243),"")</f>
        <v/>
      </c>
      <c r="H243" s="0" t="n">
        <f aca="false">IF(AND(食数記録!$A243=プレビュー!$C$3,食数記録!$B243="朝",食数記録!$F243="女性入所",食数記録!$D243="欠食"),1,0)</f>
        <v>0</v>
      </c>
      <c r="I243" s="0" t="str">
        <f aca="false">IF(H243=1,SUM($H$2:H243),"")</f>
        <v/>
      </c>
      <c r="J243" s="0" t="n">
        <f aca="false">IF(AND(食数記録!$A243=プレビュー!$C$3,食数記録!$B243="昼",食数記録!$F243="女性入所",食数記録!$D243="欠食"),1,0)</f>
        <v>0</v>
      </c>
      <c r="K243" s="0" t="str">
        <f aca="false">IF(J243=1,SUM($J$2:J243),"")</f>
        <v/>
      </c>
      <c r="L243" s="0" t="n">
        <f aca="false">IF(AND(食数記録!$A243=プレビュー!$C$3,食数記録!$B243="夕",食数記録!$F243="女性入所",食数記録!$D243="欠食"),1,0)</f>
        <v>0</v>
      </c>
      <c r="M243" s="0" t="str">
        <f aca="false">IF(L243=1,SUM($L$2:L243),"")</f>
        <v/>
      </c>
      <c r="N243" s="0" t="n">
        <f aca="false">IF(AND(食数記録!$A243=プレビュー!$C$3,食数記録!$B243="朝",食数記録!$F243="男性GH",食数記録!$D243="臨時喫食"),1,0)</f>
        <v>0</v>
      </c>
      <c r="O243" s="0" t="str">
        <f aca="false">IF(N243=1,SUM($N$2:N243),"")</f>
        <v/>
      </c>
      <c r="P243" s="0" t="n">
        <f aca="false">IF(AND(食数記録!$A243=プレビュー!$C$3,食数記録!$B243="昼",食数記録!$F243="男性GH",食数記録!$D243="臨時喫食"),1,0)</f>
        <v>0</v>
      </c>
      <c r="Q243" s="0" t="str">
        <f aca="false">IF(P243=1,SUM($P$2:P243),"")</f>
        <v/>
      </c>
      <c r="R243" s="0" t="n">
        <f aca="false">IF(AND(食数記録!$A243=プレビュー!$C$3,食数記録!$B243="夕",食数記録!$F243="男性GH",食数記録!$D243="臨時喫食"),1,0)</f>
        <v>0</v>
      </c>
      <c r="S243" s="0" t="str">
        <f aca="false">IF(R243=1,SUM($R$2:R243),"")</f>
        <v/>
      </c>
      <c r="T243" s="0" t="n">
        <f aca="false">IF(AND(食数記録!$A243=プレビュー!$C$3,食数記録!$B243="朝",食数記録!$F243="女性GH",食数記録!$D243="臨時喫食"),1,0)</f>
        <v>0</v>
      </c>
      <c r="U243" s="0" t="str">
        <f aca="false">IF(T243=1,SUM($T$2:T243),"")</f>
        <v/>
      </c>
      <c r="V243" s="0" t="n">
        <f aca="false">IF(AND(食数記録!$A243=プレビュー!$C$3,食数記録!$B243="昼",食数記録!$F243="女性GH",食数記録!$D243="臨時喫食"),1,0)</f>
        <v>0</v>
      </c>
      <c r="W243" s="0" t="str">
        <f aca="false">IF(V243=1,SUM($V$2:V243),"")</f>
        <v/>
      </c>
      <c r="X243" s="0" t="n">
        <f aca="false">IF(AND(食数記録!$A243=プレビュー!$C$3,食数記録!$B243="夕",食数記録!$F243="女性GH",食数記録!$D243="臨時喫食"),1,0)</f>
        <v>0</v>
      </c>
      <c r="Y243" s="0" t="str">
        <f aca="false">IF(X243=1,SUM($X$2:X243),"")</f>
        <v/>
      </c>
    </row>
    <row r="244" customFormat="false" ht="15" hidden="false" customHeight="false" outlineLevel="0" collapsed="false">
      <c r="B244" s="0" t="n">
        <f aca="false">IF(AND(食数記録!$A244=プレビュー!$C$3,食数記録!$B244="朝",食数記録!$F244="男性入所",食数記録!$D244="欠食"),1,0)</f>
        <v>0</v>
      </c>
      <c r="C244" s="0" t="str">
        <f aca="false">IF(B244=1,SUM($B$2:B244),"")</f>
        <v/>
      </c>
      <c r="D244" s="0" t="n">
        <f aca="false">IF(AND(食数記録!$A244=プレビュー!$C$3,食数記録!$B244="昼",食数記録!$F244="男性入所",食数記録!$D244="欠食"),1,0)</f>
        <v>0</v>
      </c>
      <c r="E244" s="0" t="str">
        <f aca="false">IF(D244=1,SUM($D$2:D244),"")</f>
        <v/>
      </c>
      <c r="F244" s="0" t="n">
        <f aca="false">IF(AND(食数記録!$A244=プレビュー!$C$3,食数記録!$B244="夕",食数記録!$F244="男性入所",食数記録!$D244="欠食"),1,0)</f>
        <v>0</v>
      </c>
      <c r="G244" s="0" t="str">
        <f aca="false">IF(F244=1,SUM($F$2:F244),"")</f>
        <v/>
      </c>
      <c r="H244" s="0" t="n">
        <f aca="false">IF(AND(食数記録!$A244=プレビュー!$C$3,食数記録!$B244="朝",食数記録!$F244="女性入所",食数記録!$D244="欠食"),1,0)</f>
        <v>0</v>
      </c>
      <c r="I244" s="0" t="str">
        <f aca="false">IF(H244=1,SUM($H$2:H244),"")</f>
        <v/>
      </c>
      <c r="J244" s="0" t="n">
        <f aca="false">IF(AND(食数記録!$A244=プレビュー!$C$3,食数記録!$B244="昼",食数記録!$F244="女性入所",食数記録!$D244="欠食"),1,0)</f>
        <v>0</v>
      </c>
      <c r="K244" s="0" t="str">
        <f aca="false">IF(J244=1,SUM($J$2:J244),"")</f>
        <v/>
      </c>
      <c r="L244" s="0" t="n">
        <f aca="false">IF(AND(食数記録!$A244=プレビュー!$C$3,食数記録!$B244="夕",食数記録!$F244="女性入所",食数記録!$D244="欠食"),1,0)</f>
        <v>0</v>
      </c>
      <c r="M244" s="0" t="str">
        <f aca="false">IF(L244=1,SUM($L$2:L244),"")</f>
        <v/>
      </c>
      <c r="N244" s="0" t="n">
        <f aca="false">IF(AND(食数記録!$A244=プレビュー!$C$3,食数記録!$B244="朝",食数記録!$F244="男性GH",食数記録!$D244="臨時喫食"),1,0)</f>
        <v>0</v>
      </c>
      <c r="O244" s="0" t="str">
        <f aca="false">IF(N244=1,SUM($N$2:N244),"")</f>
        <v/>
      </c>
      <c r="P244" s="0" t="n">
        <f aca="false">IF(AND(食数記録!$A244=プレビュー!$C$3,食数記録!$B244="昼",食数記録!$F244="男性GH",食数記録!$D244="臨時喫食"),1,0)</f>
        <v>0</v>
      </c>
      <c r="Q244" s="0" t="str">
        <f aca="false">IF(P244=1,SUM($P$2:P244),"")</f>
        <v/>
      </c>
      <c r="R244" s="0" t="n">
        <f aca="false">IF(AND(食数記録!$A244=プレビュー!$C$3,食数記録!$B244="夕",食数記録!$F244="男性GH",食数記録!$D244="臨時喫食"),1,0)</f>
        <v>0</v>
      </c>
      <c r="S244" s="0" t="str">
        <f aca="false">IF(R244=1,SUM($R$2:R244),"")</f>
        <v/>
      </c>
      <c r="T244" s="0" t="n">
        <f aca="false">IF(AND(食数記録!$A244=プレビュー!$C$3,食数記録!$B244="朝",食数記録!$F244="女性GH",食数記録!$D244="臨時喫食"),1,0)</f>
        <v>0</v>
      </c>
      <c r="U244" s="0" t="str">
        <f aca="false">IF(T244=1,SUM($T$2:T244),"")</f>
        <v/>
      </c>
      <c r="V244" s="0" t="n">
        <f aca="false">IF(AND(食数記録!$A244=プレビュー!$C$3,食数記録!$B244="昼",食数記録!$F244="女性GH",食数記録!$D244="臨時喫食"),1,0)</f>
        <v>0</v>
      </c>
      <c r="W244" s="0" t="str">
        <f aca="false">IF(V244=1,SUM($V$2:V244),"")</f>
        <v/>
      </c>
      <c r="X244" s="0" t="n">
        <f aca="false">IF(AND(食数記録!$A244=プレビュー!$C$3,食数記録!$B244="夕",食数記録!$F244="女性GH",食数記録!$D244="臨時喫食"),1,0)</f>
        <v>0</v>
      </c>
      <c r="Y244" s="0" t="str">
        <f aca="false">IF(X244=1,SUM($X$2:X244),"")</f>
        <v/>
      </c>
    </row>
    <row r="245" customFormat="false" ht="15" hidden="false" customHeight="false" outlineLevel="0" collapsed="false">
      <c r="B245" s="0" t="n">
        <f aca="false">IF(AND(食数記録!$A245=プレビュー!$C$3,食数記録!$B245="朝",食数記録!$F245="男性入所",食数記録!$D245="欠食"),1,0)</f>
        <v>0</v>
      </c>
      <c r="C245" s="0" t="str">
        <f aca="false">IF(B245=1,SUM($B$2:B245),"")</f>
        <v/>
      </c>
      <c r="D245" s="0" t="n">
        <f aca="false">IF(AND(食数記録!$A245=プレビュー!$C$3,食数記録!$B245="昼",食数記録!$F245="男性入所",食数記録!$D245="欠食"),1,0)</f>
        <v>0</v>
      </c>
      <c r="E245" s="0" t="str">
        <f aca="false">IF(D245=1,SUM($D$2:D245),"")</f>
        <v/>
      </c>
      <c r="F245" s="0" t="n">
        <f aca="false">IF(AND(食数記録!$A245=プレビュー!$C$3,食数記録!$B245="夕",食数記録!$F245="男性入所",食数記録!$D245="欠食"),1,0)</f>
        <v>0</v>
      </c>
      <c r="G245" s="0" t="str">
        <f aca="false">IF(F245=1,SUM($F$2:F245),"")</f>
        <v/>
      </c>
      <c r="H245" s="0" t="n">
        <f aca="false">IF(AND(食数記録!$A245=プレビュー!$C$3,食数記録!$B245="朝",食数記録!$F245="女性入所",食数記録!$D245="欠食"),1,0)</f>
        <v>0</v>
      </c>
      <c r="I245" s="0" t="str">
        <f aca="false">IF(H245=1,SUM($H$2:H245),"")</f>
        <v/>
      </c>
      <c r="J245" s="0" t="n">
        <f aca="false">IF(AND(食数記録!$A245=プレビュー!$C$3,食数記録!$B245="昼",食数記録!$F245="女性入所",食数記録!$D245="欠食"),1,0)</f>
        <v>0</v>
      </c>
      <c r="K245" s="0" t="str">
        <f aca="false">IF(J245=1,SUM($J$2:J245),"")</f>
        <v/>
      </c>
      <c r="L245" s="0" t="n">
        <f aca="false">IF(AND(食数記録!$A245=プレビュー!$C$3,食数記録!$B245="夕",食数記録!$F245="女性入所",食数記録!$D245="欠食"),1,0)</f>
        <v>0</v>
      </c>
      <c r="M245" s="0" t="str">
        <f aca="false">IF(L245=1,SUM($L$2:L245),"")</f>
        <v/>
      </c>
      <c r="N245" s="0" t="n">
        <f aca="false">IF(AND(食数記録!$A245=プレビュー!$C$3,食数記録!$B245="朝",食数記録!$F245="男性GH",食数記録!$D245="臨時喫食"),1,0)</f>
        <v>0</v>
      </c>
      <c r="O245" s="0" t="str">
        <f aca="false">IF(N245=1,SUM($N$2:N245),"")</f>
        <v/>
      </c>
      <c r="P245" s="0" t="n">
        <f aca="false">IF(AND(食数記録!$A245=プレビュー!$C$3,食数記録!$B245="昼",食数記録!$F245="男性GH",食数記録!$D245="臨時喫食"),1,0)</f>
        <v>0</v>
      </c>
      <c r="Q245" s="0" t="str">
        <f aca="false">IF(P245=1,SUM($P$2:P245),"")</f>
        <v/>
      </c>
      <c r="R245" s="0" t="n">
        <f aca="false">IF(AND(食数記録!$A245=プレビュー!$C$3,食数記録!$B245="夕",食数記録!$F245="男性GH",食数記録!$D245="臨時喫食"),1,0)</f>
        <v>0</v>
      </c>
      <c r="S245" s="0" t="str">
        <f aca="false">IF(R245=1,SUM($R$2:R245),"")</f>
        <v/>
      </c>
      <c r="T245" s="0" t="n">
        <f aca="false">IF(AND(食数記録!$A245=プレビュー!$C$3,食数記録!$B245="朝",食数記録!$F245="女性GH",食数記録!$D245="臨時喫食"),1,0)</f>
        <v>0</v>
      </c>
      <c r="U245" s="0" t="str">
        <f aca="false">IF(T245=1,SUM($T$2:T245),"")</f>
        <v/>
      </c>
      <c r="V245" s="0" t="n">
        <f aca="false">IF(AND(食数記録!$A245=プレビュー!$C$3,食数記録!$B245="昼",食数記録!$F245="女性GH",食数記録!$D245="臨時喫食"),1,0)</f>
        <v>0</v>
      </c>
      <c r="W245" s="0" t="str">
        <f aca="false">IF(V245=1,SUM($V$2:V245),"")</f>
        <v/>
      </c>
      <c r="X245" s="0" t="n">
        <f aca="false">IF(AND(食数記録!$A245=プレビュー!$C$3,食数記録!$B245="夕",食数記録!$F245="女性GH",食数記録!$D245="臨時喫食"),1,0)</f>
        <v>0</v>
      </c>
      <c r="Y245" s="0" t="str">
        <f aca="false">IF(X245=1,SUM($X$2:X245),"")</f>
        <v/>
      </c>
    </row>
    <row r="246" customFormat="false" ht="15" hidden="false" customHeight="false" outlineLevel="0" collapsed="false">
      <c r="B246" s="0" t="n">
        <f aca="false">IF(AND(食数記録!$A246=プレビュー!$C$3,食数記録!$B246="朝",食数記録!$F246="男性入所",食数記録!$D246="欠食"),1,0)</f>
        <v>0</v>
      </c>
      <c r="C246" s="0" t="str">
        <f aca="false">IF(B246=1,SUM($B$2:B246),"")</f>
        <v/>
      </c>
      <c r="D246" s="0" t="n">
        <f aca="false">IF(AND(食数記録!$A246=プレビュー!$C$3,食数記録!$B246="昼",食数記録!$F246="男性入所",食数記録!$D246="欠食"),1,0)</f>
        <v>0</v>
      </c>
      <c r="E246" s="0" t="str">
        <f aca="false">IF(D246=1,SUM($D$2:D246),"")</f>
        <v/>
      </c>
      <c r="F246" s="0" t="n">
        <f aca="false">IF(AND(食数記録!$A246=プレビュー!$C$3,食数記録!$B246="夕",食数記録!$F246="男性入所",食数記録!$D246="欠食"),1,0)</f>
        <v>0</v>
      </c>
      <c r="G246" s="0" t="str">
        <f aca="false">IF(F246=1,SUM($F$2:F246),"")</f>
        <v/>
      </c>
      <c r="H246" s="0" t="n">
        <f aca="false">IF(AND(食数記録!$A246=プレビュー!$C$3,食数記録!$B246="朝",食数記録!$F246="女性入所",食数記録!$D246="欠食"),1,0)</f>
        <v>0</v>
      </c>
      <c r="I246" s="0" t="str">
        <f aca="false">IF(H246=1,SUM($H$2:H246),"")</f>
        <v/>
      </c>
      <c r="J246" s="0" t="n">
        <f aca="false">IF(AND(食数記録!$A246=プレビュー!$C$3,食数記録!$B246="昼",食数記録!$F246="女性入所",食数記録!$D246="欠食"),1,0)</f>
        <v>0</v>
      </c>
      <c r="K246" s="0" t="str">
        <f aca="false">IF(J246=1,SUM($J$2:J246),"")</f>
        <v/>
      </c>
      <c r="L246" s="0" t="n">
        <f aca="false">IF(AND(食数記録!$A246=プレビュー!$C$3,食数記録!$B246="夕",食数記録!$F246="女性入所",食数記録!$D246="欠食"),1,0)</f>
        <v>0</v>
      </c>
      <c r="M246" s="0" t="str">
        <f aca="false">IF(L246=1,SUM($L$2:L246),"")</f>
        <v/>
      </c>
      <c r="N246" s="0" t="n">
        <f aca="false">IF(AND(食数記録!$A246=プレビュー!$C$3,食数記録!$B246="朝",食数記録!$F246="男性GH",食数記録!$D246="臨時喫食"),1,0)</f>
        <v>0</v>
      </c>
      <c r="O246" s="0" t="str">
        <f aca="false">IF(N246=1,SUM($N$2:N246),"")</f>
        <v/>
      </c>
      <c r="P246" s="0" t="n">
        <f aca="false">IF(AND(食数記録!$A246=プレビュー!$C$3,食数記録!$B246="昼",食数記録!$F246="男性GH",食数記録!$D246="臨時喫食"),1,0)</f>
        <v>0</v>
      </c>
      <c r="Q246" s="0" t="str">
        <f aca="false">IF(P246=1,SUM($P$2:P246),"")</f>
        <v/>
      </c>
      <c r="R246" s="0" t="n">
        <f aca="false">IF(AND(食数記録!$A246=プレビュー!$C$3,食数記録!$B246="夕",食数記録!$F246="男性GH",食数記録!$D246="臨時喫食"),1,0)</f>
        <v>0</v>
      </c>
      <c r="S246" s="0" t="str">
        <f aca="false">IF(R246=1,SUM($R$2:R246),"")</f>
        <v/>
      </c>
      <c r="T246" s="0" t="n">
        <f aca="false">IF(AND(食数記録!$A246=プレビュー!$C$3,食数記録!$B246="朝",食数記録!$F246="女性GH",食数記録!$D246="臨時喫食"),1,0)</f>
        <v>0</v>
      </c>
      <c r="U246" s="0" t="str">
        <f aca="false">IF(T246=1,SUM($T$2:T246),"")</f>
        <v/>
      </c>
      <c r="V246" s="0" t="n">
        <f aca="false">IF(AND(食数記録!$A246=プレビュー!$C$3,食数記録!$B246="昼",食数記録!$F246="女性GH",食数記録!$D246="臨時喫食"),1,0)</f>
        <v>0</v>
      </c>
      <c r="W246" s="0" t="str">
        <f aca="false">IF(V246=1,SUM($V$2:V246),"")</f>
        <v/>
      </c>
      <c r="X246" s="0" t="n">
        <f aca="false">IF(AND(食数記録!$A246=プレビュー!$C$3,食数記録!$B246="夕",食数記録!$F246="女性GH",食数記録!$D246="臨時喫食"),1,0)</f>
        <v>0</v>
      </c>
      <c r="Y246" s="0" t="str">
        <f aca="false">IF(X246=1,SUM($X$2:X246),"")</f>
        <v/>
      </c>
    </row>
    <row r="247" customFormat="false" ht="15" hidden="false" customHeight="false" outlineLevel="0" collapsed="false">
      <c r="B247" s="0" t="n">
        <f aca="false">IF(AND(食数記録!$A247=プレビュー!$C$3,食数記録!$B247="朝",食数記録!$F247="男性入所",食数記録!$D247="欠食"),1,0)</f>
        <v>0</v>
      </c>
      <c r="C247" s="0" t="str">
        <f aca="false">IF(B247=1,SUM($B$2:B247),"")</f>
        <v/>
      </c>
      <c r="D247" s="0" t="n">
        <f aca="false">IF(AND(食数記録!$A247=プレビュー!$C$3,食数記録!$B247="昼",食数記録!$F247="男性入所",食数記録!$D247="欠食"),1,0)</f>
        <v>0</v>
      </c>
      <c r="E247" s="0" t="str">
        <f aca="false">IF(D247=1,SUM($D$2:D247),"")</f>
        <v/>
      </c>
      <c r="F247" s="0" t="n">
        <f aca="false">IF(AND(食数記録!$A247=プレビュー!$C$3,食数記録!$B247="夕",食数記録!$F247="男性入所",食数記録!$D247="欠食"),1,0)</f>
        <v>0</v>
      </c>
      <c r="G247" s="0" t="str">
        <f aca="false">IF(F247=1,SUM($F$2:F247),"")</f>
        <v/>
      </c>
      <c r="H247" s="0" t="n">
        <f aca="false">IF(AND(食数記録!$A247=プレビュー!$C$3,食数記録!$B247="朝",食数記録!$F247="女性入所",食数記録!$D247="欠食"),1,0)</f>
        <v>0</v>
      </c>
      <c r="I247" s="0" t="str">
        <f aca="false">IF(H247=1,SUM($H$2:H247),"")</f>
        <v/>
      </c>
      <c r="J247" s="0" t="n">
        <f aca="false">IF(AND(食数記録!$A247=プレビュー!$C$3,食数記録!$B247="昼",食数記録!$F247="女性入所",食数記録!$D247="欠食"),1,0)</f>
        <v>0</v>
      </c>
      <c r="K247" s="0" t="str">
        <f aca="false">IF(J247=1,SUM($J$2:J247),"")</f>
        <v/>
      </c>
      <c r="L247" s="0" t="n">
        <f aca="false">IF(AND(食数記録!$A247=プレビュー!$C$3,食数記録!$B247="夕",食数記録!$F247="女性入所",食数記録!$D247="欠食"),1,0)</f>
        <v>0</v>
      </c>
      <c r="M247" s="0" t="str">
        <f aca="false">IF(L247=1,SUM($L$2:L247),"")</f>
        <v/>
      </c>
      <c r="N247" s="0" t="n">
        <f aca="false">IF(AND(食数記録!$A247=プレビュー!$C$3,食数記録!$B247="朝",食数記録!$F247="男性GH",食数記録!$D247="臨時喫食"),1,0)</f>
        <v>0</v>
      </c>
      <c r="O247" s="0" t="str">
        <f aca="false">IF(N247=1,SUM($N$2:N247),"")</f>
        <v/>
      </c>
      <c r="P247" s="0" t="n">
        <f aca="false">IF(AND(食数記録!$A247=プレビュー!$C$3,食数記録!$B247="昼",食数記録!$F247="男性GH",食数記録!$D247="臨時喫食"),1,0)</f>
        <v>0</v>
      </c>
      <c r="Q247" s="0" t="str">
        <f aca="false">IF(P247=1,SUM($P$2:P247),"")</f>
        <v/>
      </c>
      <c r="R247" s="0" t="n">
        <f aca="false">IF(AND(食数記録!$A247=プレビュー!$C$3,食数記録!$B247="夕",食数記録!$F247="男性GH",食数記録!$D247="臨時喫食"),1,0)</f>
        <v>0</v>
      </c>
      <c r="S247" s="0" t="str">
        <f aca="false">IF(R247=1,SUM($R$2:R247),"")</f>
        <v/>
      </c>
      <c r="T247" s="0" t="n">
        <f aca="false">IF(AND(食数記録!$A247=プレビュー!$C$3,食数記録!$B247="朝",食数記録!$F247="女性GH",食数記録!$D247="臨時喫食"),1,0)</f>
        <v>0</v>
      </c>
      <c r="U247" s="0" t="str">
        <f aca="false">IF(T247=1,SUM($T$2:T247),"")</f>
        <v/>
      </c>
      <c r="V247" s="0" t="n">
        <f aca="false">IF(AND(食数記録!$A247=プレビュー!$C$3,食数記録!$B247="昼",食数記録!$F247="女性GH",食数記録!$D247="臨時喫食"),1,0)</f>
        <v>0</v>
      </c>
      <c r="W247" s="0" t="str">
        <f aca="false">IF(V247=1,SUM($V$2:V247),"")</f>
        <v/>
      </c>
      <c r="X247" s="0" t="n">
        <f aca="false">IF(AND(食数記録!$A247=プレビュー!$C$3,食数記録!$B247="夕",食数記録!$F247="女性GH",食数記録!$D247="臨時喫食"),1,0)</f>
        <v>0</v>
      </c>
      <c r="Y247" s="0" t="str">
        <f aca="false">IF(X247=1,SUM($X$2:X247),"")</f>
        <v/>
      </c>
    </row>
    <row r="248" customFormat="false" ht="15" hidden="false" customHeight="false" outlineLevel="0" collapsed="false">
      <c r="B248" s="0" t="n">
        <f aca="false">IF(AND(食数記録!$A248=プレビュー!$C$3,食数記録!$B248="朝",食数記録!$F248="男性入所",食数記録!$D248="欠食"),1,0)</f>
        <v>0</v>
      </c>
      <c r="C248" s="0" t="str">
        <f aca="false">IF(B248=1,SUM($B$2:B248),"")</f>
        <v/>
      </c>
      <c r="D248" s="0" t="n">
        <f aca="false">IF(AND(食数記録!$A248=プレビュー!$C$3,食数記録!$B248="昼",食数記録!$F248="男性入所",食数記録!$D248="欠食"),1,0)</f>
        <v>0</v>
      </c>
      <c r="E248" s="0" t="str">
        <f aca="false">IF(D248=1,SUM($D$2:D248),"")</f>
        <v/>
      </c>
      <c r="F248" s="0" t="n">
        <f aca="false">IF(AND(食数記録!$A248=プレビュー!$C$3,食数記録!$B248="夕",食数記録!$F248="男性入所",食数記録!$D248="欠食"),1,0)</f>
        <v>0</v>
      </c>
      <c r="G248" s="0" t="str">
        <f aca="false">IF(F248=1,SUM($F$2:F248),"")</f>
        <v/>
      </c>
      <c r="H248" s="0" t="n">
        <f aca="false">IF(AND(食数記録!$A248=プレビュー!$C$3,食数記録!$B248="朝",食数記録!$F248="女性入所",食数記録!$D248="欠食"),1,0)</f>
        <v>0</v>
      </c>
      <c r="I248" s="0" t="str">
        <f aca="false">IF(H248=1,SUM($H$2:H248),"")</f>
        <v/>
      </c>
      <c r="J248" s="0" t="n">
        <f aca="false">IF(AND(食数記録!$A248=プレビュー!$C$3,食数記録!$B248="昼",食数記録!$F248="女性入所",食数記録!$D248="欠食"),1,0)</f>
        <v>0</v>
      </c>
      <c r="K248" s="0" t="str">
        <f aca="false">IF(J248=1,SUM($J$2:J248),"")</f>
        <v/>
      </c>
      <c r="L248" s="0" t="n">
        <f aca="false">IF(AND(食数記録!$A248=プレビュー!$C$3,食数記録!$B248="夕",食数記録!$F248="女性入所",食数記録!$D248="欠食"),1,0)</f>
        <v>0</v>
      </c>
      <c r="M248" s="0" t="str">
        <f aca="false">IF(L248=1,SUM($L$2:L248),"")</f>
        <v/>
      </c>
      <c r="N248" s="0" t="n">
        <f aca="false">IF(AND(食数記録!$A248=プレビュー!$C$3,食数記録!$B248="朝",食数記録!$F248="男性GH",食数記録!$D248="臨時喫食"),1,0)</f>
        <v>0</v>
      </c>
      <c r="O248" s="0" t="str">
        <f aca="false">IF(N248=1,SUM($N$2:N248),"")</f>
        <v/>
      </c>
      <c r="P248" s="0" t="n">
        <f aca="false">IF(AND(食数記録!$A248=プレビュー!$C$3,食数記録!$B248="昼",食数記録!$F248="男性GH",食数記録!$D248="臨時喫食"),1,0)</f>
        <v>0</v>
      </c>
      <c r="Q248" s="0" t="str">
        <f aca="false">IF(P248=1,SUM($P$2:P248),"")</f>
        <v/>
      </c>
      <c r="R248" s="0" t="n">
        <f aca="false">IF(AND(食数記録!$A248=プレビュー!$C$3,食数記録!$B248="夕",食数記録!$F248="男性GH",食数記録!$D248="臨時喫食"),1,0)</f>
        <v>0</v>
      </c>
      <c r="S248" s="0" t="str">
        <f aca="false">IF(R248=1,SUM($R$2:R248),"")</f>
        <v/>
      </c>
      <c r="T248" s="0" t="n">
        <f aca="false">IF(AND(食数記録!$A248=プレビュー!$C$3,食数記録!$B248="朝",食数記録!$F248="女性GH",食数記録!$D248="臨時喫食"),1,0)</f>
        <v>0</v>
      </c>
      <c r="U248" s="0" t="str">
        <f aca="false">IF(T248=1,SUM($T$2:T248),"")</f>
        <v/>
      </c>
      <c r="V248" s="0" t="n">
        <f aca="false">IF(AND(食数記録!$A248=プレビュー!$C$3,食数記録!$B248="昼",食数記録!$F248="女性GH",食数記録!$D248="臨時喫食"),1,0)</f>
        <v>0</v>
      </c>
      <c r="W248" s="0" t="str">
        <f aca="false">IF(V248=1,SUM($V$2:V248),"")</f>
        <v/>
      </c>
      <c r="X248" s="0" t="n">
        <f aca="false">IF(AND(食数記録!$A248=プレビュー!$C$3,食数記録!$B248="夕",食数記録!$F248="女性GH",食数記録!$D248="臨時喫食"),1,0)</f>
        <v>0</v>
      </c>
      <c r="Y248" s="0" t="str">
        <f aca="false">IF(X248=1,SUM($X$2:X248),"")</f>
        <v/>
      </c>
    </row>
    <row r="249" customFormat="false" ht="15" hidden="false" customHeight="false" outlineLevel="0" collapsed="false">
      <c r="B249" s="0" t="n">
        <f aca="false">IF(AND(食数記録!$A249=プレビュー!$C$3,食数記録!$B249="朝",食数記録!$F249="男性入所",食数記録!$D249="欠食"),1,0)</f>
        <v>0</v>
      </c>
      <c r="C249" s="0" t="str">
        <f aca="false">IF(B249=1,SUM($B$2:B249),"")</f>
        <v/>
      </c>
      <c r="D249" s="0" t="n">
        <f aca="false">IF(AND(食数記録!$A249=プレビュー!$C$3,食数記録!$B249="昼",食数記録!$F249="男性入所",食数記録!$D249="欠食"),1,0)</f>
        <v>0</v>
      </c>
      <c r="E249" s="0" t="str">
        <f aca="false">IF(D249=1,SUM($D$2:D249),"")</f>
        <v/>
      </c>
      <c r="F249" s="0" t="n">
        <f aca="false">IF(AND(食数記録!$A249=プレビュー!$C$3,食数記録!$B249="夕",食数記録!$F249="男性入所",食数記録!$D249="欠食"),1,0)</f>
        <v>0</v>
      </c>
      <c r="G249" s="0" t="str">
        <f aca="false">IF(F249=1,SUM($F$2:F249),"")</f>
        <v/>
      </c>
      <c r="H249" s="0" t="n">
        <f aca="false">IF(AND(食数記録!$A249=プレビュー!$C$3,食数記録!$B249="朝",食数記録!$F249="女性入所",食数記録!$D249="欠食"),1,0)</f>
        <v>0</v>
      </c>
      <c r="I249" s="0" t="str">
        <f aca="false">IF(H249=1,SUM($H$2:H249),"")</f>
        <v/>
      </c>
      <c r="J249" s="0" t="n">
        <f aca="false">IF(AND(食数記録!$A249=プレビュー!$C$3,食数記録!$B249="昼",食数記録!$F249="女性入所",食数記録!$D249="欠食"),1,0)</f>
        <v>0</v>
      </c>
      <c r="K249" s="0" t="str">
        <f aca="false">IF(J249=1,SUM($J$2:J249),"")</f>
        <v/>
      </c>
      <c r="L249" s="0" t="n">
        <f aca="false">IF(AND(食数記録!$A249=プレビュー!$C$3,食数記録!$B249="夕",食数記録!$F249="女性入所",食数記録!$D249="欠食"),1,0)</f>
        <v>0</v>
      </c>
      <c r="M249" s="0" t="str">
        <f aca="false">IF(L249=1,SUM($L$2:L249),"")</f>
        <v/>
      </c>
      <c r="N249" s="0" t="n">
        <f aca="false">IF(AND(食数記録!$A249=プレビュー!$C$3,食数記録!$B249="朝",食数記録!$F249="男性GH",食数記録!$D249="臨時喫食"),1,0)</f>
        <v>0</v>
      </c>
      <c r="O249" s="0" t="str">
        <f aca="false">IF(N249=1,SUM($N$2:N249),"")</f>
        <v/>
      </c>
      <c r="P249" s="0" t="n">
        <f aca="false">IF(AND(食数記録!$A249=プレビュー!$C$3,食数記録!$B249="昼",食数記録!$F249="男性GH",食数記録!$D249="臨時喫食"),1,0)</f>
        <v>0</v>
      </c>
      <c r="Q249" s="0" t="str">
        <f aca="false">IF(P249=1,SUM($P$2:P249),"")</f>
        <v/>
      </c>
      <c r="R249" s="0" t="n">
        <f aca="false">IF(AND(食数記録!$A249=プレビュー!$C$3,食数記録!$B249="夕",食数記録!$F249="男性GH",食数記録!$D249="臨時喫食"),1,0)</f>
        <v>0</v>
      </c>
      <c r="S249" s="0" t="str">
        <f aca="false">IF(R249=1,SUM($R$2:R249),"")</f>
        <v/>
      </c>
      <c r="T249" s="0" t="n">
        <f aca="false">IF(AND(食数記録!$A249=プレビュー!$C$3,食数記録!$B249="朝",食数記録!$F249="女性GH",食数記録!$D249="臨時喫食"),1,0)</f>
        <v>0</v>
      </c>
      <c r="U249" s="0" t="str">
        <f aca="false">IF(T249=1,SUM($T$2:T249),"")</f>
        <v/>
      </c>
      <c r="V249" s="0" t="n">
        <f aca="false">IF(AND(食数記録!$A249=プレビュー!$C$3,食数記録!$B249="昼",食数記録!$F249="女性GH",食数記録!$D249="臨時喫食"),1,0)</f>
        <v>0</v>
      </c>
      <c r="W249" s="0" t="str">
        <f aca="false">IF(V249=1,SUM($V$2:V249),"")</f>
        <v/>
      </c>
      <c r="X249" s="0" t="n">
        <f aca="false">IF(AND(食数記録!$A249=プレビュー!$C$3,食数記録!$B249="夕",食数記録!$F249="女性GH",食数記録!$D249="臨時喫食"),1,0)</f>
        <v>0</v>
      </c>
      <c r="Y249" s="0" t="str">
        <f aca="false">IF(X249=1,SUM($X$2:X249),"")</f>
        <v/>
      </c>
    </row>
    <row r="250" customFormat="false" ht="15" hidden="false" customHeight="false" outlineLevel="0" collapsed="false">
      <c r="B250" s="0" t="n">
        <f aca="false">IF(AND(食数記録!$A250=プレビュー!$C$3,食数記録!$B250="朝",食数記録!$F250="男性入所",食数記録!$D250="欠食"),1,0)</f>
        <v>0</v>
      </c>
      <c r="C250" s="0" t="str">
        <f aca="false">IF(B250=1,SUM($B$2:B250),"")</f>
        <v/>
      </c>
      <c r="D250" s="0" t="n">
        <f aca="false">IF(AND(食数記録!$A250=プレビュー!$C$3,食数記録!$B250="昼",食数記録!$F250="男性入所",食数記録!$D250="欠食"),1,0)</f>
        <v>0</v>
      </c>
      <c r="E250" s="0" t="str">
        <f aca="false">IF(D250=1,SUM($D$2:D250),"")</f>
        <v/>
      </c>
      <c r="F250" s="0" t="n">
        <f aca="false">IF(AND(食数記録!$A250=プレビュー!$C$3,食数記録!$B250="夕",食数記録!$F250="男性入所",食数記録!$D250="欠食"),1,0)</f>
        <v>0</v>
      </c>
      <c r="G250" s="0" t="str">
        <f aca="false">IF(F250=1,SUM($F$2:F250),"")</f>
        <v/>
      </c>
      <c r="H250" s="0" t="n">
        <f aca="false">IF(AND(食数記録!$A250=プレビュー!$C$3,食数記録!$B250="朝",食数記録!$F250="女性入所",食数記録!$D250="欠食"),1,0)</f>
        <v>0</v>
      </c>
      <c r="I250" s="0" t="str">
        <f aca="false">IF(H250=1,SUM($H$2:H250),"")</f>
        <v/>
      </c>
      <c r="J250" s="0" t="n">
        <f aca="false">IF(AND(食数記録!$A250=プレビュー!$C$3,食数記録!$B250="昼",食数記録!$F250="女性入所",食数記録!$D250="欠食"),1,0)</f>
        <v>0</v>
      </c>
      <c r="K250" s="0" t="str">
        <f aca="false">IF(J250=1,SUM($J$2:J250),"")</f>
        <v/>
      </c>
      <c r="L250" s="0" t="n">
        <f aca="false">IF(AND(食数記録!$A250=プレビュー!$C$3,食数記録!$B250="夕",食数記録!$F250="女性入所",食数記録!$D250="欠食"),1,0)</f>
        <v>0</v>
      </c>
      <c r="M250" s="0" t="str">
        <f aca="false">IF(L250=1,SUM($L$2:L250),"")</f>
        <v/>
      </c>
      <c r="N250" s="0" t="n">
        <f aca="false">IF(AND(食数記録!$A250=プレビュー!$C$3,食数記録!$B250="朝",食数記録!$F250="男性GH",食数記録!$D250="臨時喫食"),1,0)</f>
        <v>0</v>
      </c>
      <c r="O250" s="0" t="str">
        <f aca="false">IF(N250=1,SUM($N$2:N250),"")</f>
        <v/>
      </c>
      <c r="P250" s="0" t="n">
        <f aca="false">IF(AND(食数記録!$A250=プレビュー!$C$3,食数記録!$B250="昼",食数記録!$F250="男性GH",食数記録!$D250="臨時喫食"),1,0)</f>
        <v>0</v>
      </c>
      <c r="Q250" s="0" t="str">
        <f aca="false">IF(P250=1,SUM($P$2:P250),"")</f>
        <v/>
      </c>
      <c r="R250" s="0" t="n">
        <f aca="false">IF(AND(食数記録!$A250=プレビュー!$C$3,食数記録!$B250="夕",食数記録!$F250="男性GH",食数記録!$D250="臨時喫食"),1,0)</f>
        <v>0</v>
      </c>
      <c r="S250" s="0" t="str">
        <f aca="false">IF(R250=1,SUM($R$2:R250),"")</f>
        <v/>
      </c>
      <c r="T250" s="0" t="n">
        <f aca="false">IF(AND(食数記録!$A250=プレビュー!$C$3,食数記録!$B250="朝",食数記録!$F250="女性GH",食数記録!$D250="臨時喫食"),1,0)</f>
        <v>0</v>
      </c>
      <c r="U250" s="0" t="str">
        <f aca="false">IF(T250=1,SUM($T$2:T250),"")</f>
        <v/>
      </c>
      <c r="V250" s="0" t="n">
        <f aca="false">IF(AND(食数記録!$A250=プレビュー!$C$3,食数記録!$B250="昼",食数記録!$F250="女性GH",食数記録!$D250="臨時喫食"),1,0)</f>
        <v>0</v>
      </c>
      <c r="W250" s="0" t="str">
        <f aca="false">IF(V250=1,SUM($V$2:V250),"")</f>
        <v/>
      </c>
      <c r="X250" s="0" t="n">
        <f aca="false">IF(AND(食数記録!$A250=プレビュー!$C$3,食数記録!$B250="夕",食数記録!$F250="女性GH",食数記録!$D250="臨時喫食"),1,0)</f>
        <v>0</v>
      </c>
      <c r="Y250" s="0" t="str">
        <f aca="false">IF(X250=1,SUM($X$2:X250),"")</f>
        <v/>
      </c>
    </row>
    <row r="251" customFormat="false" ht="15" hidden="false" customHeight="false" outlineLevel="0" collapsed="false">
      <c r="B251" s="0" t="n">
        <f aca="false">IF(AND(食数記録!$A251=プレビュー!$C$3,食数記録!$B251="朝",食数記録!$F251="男性入所",食数記録!$D251="欠食"),1,0)</f>
        <v>0</v>
      </c>
      <c r="C251" s="0" t="str">
        <f aca="false">IF(B251=1,SUM($B$2:B251),"")</f>
        <v/>
      </c>
      <c r="D251" s="0" t="n">
        <f aca="false">IF(AND(食数記録!$A251=プレビュー!$C$3,食数記録!$B251="昼",食数記録!$F251="男性入所",食数記録!$D251="欠食"),1,0)</f>
        <v>0</v>
      </c>
      <c r="E251" s="0" t="str">
        <f aca="false">IF(D251=1,SUM($D$2:D251),"")</f>
        <v/>
      </c>
      <c r="F251" s="0" t="n">
        <f aca="false">IF(AND(食数記録!$A251=プレビュー!$C$3,食数記録!$B251="夕",食数記録!$F251="男性入所",食数記録!$D251="欠食"),1,0)</f>
        <v>0</v>
      </c>
      <c r="G251" s="0" t="str">
        <f aca="false">IF(F251=1,SUM($F$2:F251),"")</f>
        <v/>
      </c>
      <c r="H251" s="0" t="n">
        <f aca="false">IF(AND(食数記録!$A251=プレビュー!$C$3,食数記録!$B251="朝",食数記録!$F251="女性入所",食数記録!$D251="欠食"),1,0)</f>
        <v>0</v>
      </c>
      <c r="I251" s="0" t="str">
        <f aca="false">IF(H251=1,SUM($H$2:H251),"")</f>
        <v/>
      </c>
      <c r="J251" s="0" t="n">
        <f aca="false">IF(AND(食数記録!$A251=プレビュー!$C$3,食数記録!$B251="昼",食数記録!$F251="女性入所",食数記録!$D251="欠食"),1,0)</f>
        <v>0</v>
      </c>
      <c r="K251" s="0" t="str">
        <f aca="false">IF(J251=1,SUM($J$2:J251),"")</f>
        <v/>
      </c>
      <c r="L251" s="0" t="n">
        <f aca="false">IF(AND(食数記録!$A251=プレビュー!$C$3,食数記録!$B251="夕",食数記録!$F251="女性入所",食数記録!$D251="欠食"),1,0)</f>
        <v>0</v>
      </c>
      <c r="M251" s="0" t="str">
        <f aca="false">IF(L251=1,SUM($L$2:L251),"")</f>
        <v/>
      </c>
      <c r="N251" s="0" t="n">
        <f aca="false">IF(AND(食数記録!$A251=プレビュー!$C$3,食数記録!$B251="朝",食数記録!$F251="男性GH",食数記録!$D251="臨時喫食"),1,0)</f>
        <v>0</v>
      </c>
      <c r="O251" s="0" t="str">
        <f aca="false">IF(N251=1,SUM($N$2:N251),"")</f>
        <v/>
      </c>
      <c r="P251" s="0" t="n">
        <f aca="false">IF(AND(食数記録!$A251=プレビュー!$C$3,食数記録!$B251="昼",食数記録!$F251="男性GH",食数記録!$D251="臨時喫食"),1,0)</f>
        <v>0</v>
      </c>
      <c r="Q251" s="0" t="str">
        <f aca="false">IF(P251=1,SUM($P$2:P251),"")</f>
        <v/>
      </c>
      <c r="R251" s="0" t="n">
        <f aca="false">IF(AND(食数記録!$A251=プレビュー!$C$3,食数記録!$B251="夕",食数記録!$F251="男性GH",食数記録!$D251="臨時喫食"),1,0)</f>
        <v>0</v>
      </c>
      <c r="S251" s="0" t="str">
        <f aca="false">IF(R251=1,SUM($R$2:R251),"")</f>
        <v/>
      </c>
      <c r="T251" s="0" t="n">
        <f aca="false">IF(AND(食数記録!$A251=プレビュー!$C$3,食数記録!$B251="朝",食数記録!$F251="女性GH",食数記録!$D251="臨時喫食"),1,0)</f>
        <v>0</v>
      </c>
      <c r="U251" s="0" t="str">
        <f aca="false">IF(T251=1,SUM($T$2:T251),"")</f>
        <v/>
      </c>
      <c r="V251" s="0" t="n">
        <f aca="false">IF(AND(食数記録!$A251=プレビュー!$C$3,食数記録!$B251="昼",食数記録!$F251="女性GH",食数記録!$D251="臨時喫食"),1,0)</f>
        <v>0</v>
      </c>
      <c r="W251" s="0" t="str">
        <f aca="false">IF(V251=1,SUM($V$2:V251),"")</f>
        <v/>
      </c>
      <c r="X251" s="0" t="n">
        <f aca="false">IF(AND(食数記録!$A251=プレビュー!$C$3,食数記録!$B251="夕",食数記録!$F251="女性GH",食数記録!$D251="臨時喫食"),1,0)</f>
        <v>0</v>
      </c>
      <c r="Y251" s="0" t="str">
        <f aca="false">IF(X251=1,SUM($X$2:X251),"")</f>
        <v/>
      </c>
    </row>
    <row r="252" customFormat="false" ht="15" hidden="false" customHeight="false" outlineLevel="0" collapsed="false">
      <c r="B252" s="0" t="n">
        <f aca="false">IF(AND(食数記録!$A252=プレビュー!$C$3,食数記録!$B252="朝",食数記録!$F252="男性入所",食数記録!$D252="欠食"),1,0)</f>
        <v>0</v>
      </c>
      <c r="C252" s="0" t="str">
        <f aca="false">IF(B252=1,SUM($B$2:B252),"")</f>
        <v/>
      </c>
      <c r="D252" s="0" t="n">
        <f aca="false">IF(AND(食数記録!$A252=プレビュー!$C$3,食数記録!$B252="昼",食数記録!$F252="男性入所",食数記録!$D252="欠食"),1,0)</f>
        <v>0</v>
      </c>
      <c r="E252" s="0" t="str">
        <f aca="false">IF(D252=1,SUM($D$2:D252),"")</f>
        <v/>
      </c>
      <c r="F252" s="0" t="n">
        <f aca="false">IF(AND(食数記録!$A252=プレビュー!$C$3,食数記録!$B252="夕",食数記録!$F252="男性入所",食数記録!$D252="欠食"),1,0)</f>
        <v>0</v>
      </c>
      <c r="G252" s="0" t="str">
        <f aca="false">IF(F252=1,SUM($F$2:F252),"")</f>
        <v/>
      </c>
      <c r="H252" s="0" t="n">
        <f aca="false">IF(AND(食数記録!$A252=プレビュー!$C$3,食数記録!$B252="朝",食数記録!$F252="女性入所",食数記録!$D252="欠食"),1,0)</f>
        <v>0</v>
      </c>
      <c r="I252" s="0" t="str">
        <f aca="false">IF(H252=1,SUM($H$2:H252),"")</f>
        <v/>
      </c>
      <c r="J252" s="0" t="n">
        <f aca="false">IF(AND(食数記録!$A252=プレビュー!$C$3,食数記録!$B252="昼",食数記録!$F252="女性入所",食数記録!$D252="欠食"),1,0)</f>
        <v>0</v>
      </c>
      <c r="K252" s="0" t="str">
        <f aca="false">IF(J252=1,SUM($J$2:J252),"")</f>
        <v/>
      </c>
      <c r="L252" s="0" t="n">
        <f aca="false">IF(AND(食数記録!$A252=プレビュー!$C$3,食数記録!$B252="夕",食数記録!$F252="女性入所",食数記録!$D252="欠食"),1,0)</f>
        <v>0</v>
      </c>
      <c r="M252" s="0" t="str">
        <f aca="false">IF(L252=1,SUM($L$2:L252),"")</f>
        <v/>
      </c>
      <c r="N252" s="0" t="n">
        <f aca="false">IF(AND(食数記録!$A252=プレビュー!$C$3,食数記録!$B252="朝",食数記録!$F252="男性GH",食数記録!$D252="臨時喫食"),1,0)</f>
        <v>0</v>
      </c>
      <c r="O252" s="0" t="str">
        <f aca="false">IF(N252=1,SUM($N$2:N252),"")</f>
        <v/>
      </c>
      <c r="P252" s="0" t="n">
        <f aca="false">IF(AND(食数記録!$A252=プレビュー!$C$3,食数記録!$B252="昼",食数記録!$F252="男性GH",食数記録!$D252="臨時喫食"),1,0)</f>
        <v>0</v>
      </c>
      <c r="Q252" s="0" t="str">
        <f aca="false">IF(P252=1,SUM($P$2:P252),"")</f>
        <v/>
      </c>
      <c r="R252" s="0" t="n">
        <f aca="false">IF(AND(食数記録!$A252=プレビュー!$C$3,食数記録!$B252="夕",食数記録!$F252="男性GH",食数記録!$D252="臨時喫食"),1,0)</f>
        <v>0</v>
      </c>
      <c r="S252" s="0" t="str">
        <f aca="false">IF(R252=1,SUM($R$2:R252),"")</f>
        <v/>
      </c>
      <c r="T252" s="0" t="n">
        <f aca="false">IF(AND(食数記録!$A252=プレビュー!$C$3,食数記録!$B252="朝",食数記録!$F252="女性GH",食数記録!$D252="臨時喫食"),1,0)</f>
        <v>0</v>
      </c>
      <c r="U252" s="0" t="str">
        <f aca="false">IF(T252=1,SUM($T$2:T252),"")</f>
        <v/>
      </c>
      <c r="V252" s="0" t="n">
        <f aca="false">IF(AND(食数記録!$A252=プレビュー!$C$3,食数記録!$B252="昼",食数記録!$F252="女性GH",食数記録!$D252="臨時喫食"),1,0)</f>
        <v>0</v>
      </c>
      <c r="W252" s="0" t="str">
        <f aca="false">IF(V252=1,SUM($V$2:V252),"")</f>
        <v/>
      </c>
      <c r="X252" s="0" t="n">
        <f aca="false">IF(AND(食数記録!$A252=プレビュー!$C$3,食数記録!$B252="夕",食数記録!$F252="女性GH",食数記録!$D252="臨時喫食"),1,0)</f>
        <v>0</v>
      </c>
      <c r="Y252" s="0" t="str">
        <f aca="false">IF(X252=1,SUM($X$2:X252),"")</f>
        <v/>
      </c>
    </row>
    <row r="253" customFormat="false" ht="15" hidden="false" customHeight="false" outlineLevel="0" collapsed="false">
      <c r="B253" s="0" t="n">
        <f aca="false">IF(AND(食数記録!$A253=プレビュー!$C$3,食数記録!$B253="朝",食数記録!$F253="男性入所",食数記録!$D253="欠食"),1,0)</f>
        <v>0</v>
      </c>
      <c r="C253" s="0" t="str">
        <f aca="false">IF(B253=1,SUM($B$2:B253),"")</f>
        <v/>
      </c>
      <c r="D253" s="0" t="n">
        <f aca="false">IF(AND(食数記録!$A253=プレビュー!$C$3,食数記録!$B253="昼",食数記録!$F253="男性入所",食数記録!$D253="欠食"),1,0)</f>
        <v>0</v>
      </c>
      <c r="E253" s="0" t="str">
        <f aca="false">IF(D253=1,SUM($D$2:D253),"")</f>
        <v/>
      </c>
      <c r="F253" s="0" t="n">
        <f aca="false">IF(AND(食数記録!$A253=プレビュー!$C$3,食数記録!$B253="夕",食数記録!$F253="男性入所",食数記録!$D253="欠食"),1,0)</f>
        <v>0</v>
      </c>
      <c r="G253" s="0" t="str">
        <f aca="false">IF(F253=1,SUM($F$2:F253),"")</f>
        <v/>
      </c>
      <c r="H253" s="0" t="n">
        <f aca="false">IF(AND(食数記録!$A253=プレビュー!$C$3,食数記録!$B253="朝",食数記録!$F253="女性入所",食数記録!$D253="欠食"),1,0)</f>
        <v>0</v>
      </c>
      <c r="I253" s="0" t="str">
        <f aca="false">IF(H253=1,SUM($H$2:H253),"")</f>
        <v/>
      </c>
      <c r="J253" s="0" t="n">
        <f aca="false">IF(AND(食数記録!$A253=プレビュー!$C$3,食数記録!$B253="昼",食数記録!$F253="女性入所",食数記録!$D253="欠食"),1,0)</f>
        <v>0</v>
      </c>
      <c r="K253" s="0" t="str">
        <f aca="false">IF(J253=1,SUM($J$2:J253),"")</f>
        <v/>
      </c>
      <c r="L253" s="0" t="n">
        <f aca="false">IF(AND(食数記録!$A253=プレビュー!$C$3,食数記録!$B253="夕",食数記録!$F253="女性入所",食数記録!$D253="欠食"),1,0)</f>
        <v>0</v>
      </c>
      <c r="M253" s="0" t="str">
        <f aca="false">IF(L253=1,SUM($L$2:L253),"")</f>
        <v/>
      </c>
      <c r="N253" s="0" t="n">
        <f aca="false">IF(AND(食数記録!$A253=プレビュー!$C$3,食数記録!$B253="朝",食数記録!$F253="男性GH",食数記録!$D253="臨時喫食"),1,0)</f>
        <v>0</v>
      </c>
      <c r="O253" s="0" t="str">
        <f aca="false">IF(N253=1,SUM($N$2:N253),"")</f>
        <v/>
      </c>
      <c r="P253" s="0" t="n">
        <f aca="false">IF(AND(食数記録!$A253=プレビュー!$C$3,食数記録!$B253="昼",食数記録!$F253="男性GH",食数記録!$D253="臨時喫食"),1,0)</f>
        <v>0</v>
      </c>
      <c r="Q253" s="0" t="str">
        <f aca="false">IF(P253=1,SUM($P$2:P253),"")</f>
        <v/>
      </c>
      <c r="R253" s="0" t="n">
        <f aca="false">IF(AND(食数記録!$A253=プレビュー!$C$3,食数記録!$B253="夕",食数記録!$F253="男性GH",食数記録!$D253="臨時喫食"),1,0)</f>
        <v>0</v>
      </c>
      <c r="S253" s="0" t="str">
        <f aca="false">IF(R253=1,SUM($R$2:R253),"")</f>
        <v/>
      </c>
      <c r="T253" s="0" t="n">
        <f aca="false">IF(AND(食数記録!$A253=プレビュー!$C$3,食数記録!$B253="朝",食数記録!$F253="女性GH",食数記録!$D253="臨時喫食"),1,0)</f>
        <v>0</v>
      </c>
      <c r="U253" s="0" t="str">
        <f aca="false">IF(T253=1,SUM($T$2:T253),"")</f>
        <v/>
      </c>
      <c r="V253" s="0" t="n">
        <f aca="false">IF(AND(食数記録!$A253=プレビュー!$C$3,食数記録!$B253="昼",食数記録!$F253="女性GH",食数記録!$D253="臨時喫食"),1,0)</f>
        <v>0</v>
      </c>
      <c r="W253" s="0" t="str">
        <f aca="false">IF(V253=1,SUM($V$2:V253),"")</f>
        <v/>
      </c>
      <c r="X253" s="0" t="n">
        <f aca="false">IF(AND(食数記録!$A253=プレビュー!$C$3,食数記録!$B253="夕",食数記録!$F253="女性GH",食数記録!$D253="臨時喫食"),1,0)</f>
        <v>0</v>
      </c>
      <c r="Y253" s="0" t="str">
        <f aca="false">IF(X253=1,SUM($X$2:X253),"")</f>
        <v/>
      </c>
    </row>
    <row r="254" customFormat="false" ht="15" hidden="false" customHeight="false" outlineLevel="0" collapsed="false">
      <c r="B254" s="0" t="n">
        <f aca="false">IF(AND(食数記録!$A254=プレビュー!$C$3,食数記録!$B254="朝",食数記録!$F254="男性入所",食数記録!$D254="欠食"),1,0)</f>
        <v>0</v>
      </c>
      <c r="C254" s="0" t="str">
        <f aca="false">IF(B254=1,SUM($B$2:B254),"")</f>
        <v/>
      </c>
      <c r="D254" s="0" t="n">
        <f aca="false">IF(AND(食数記録!$A254=プレビュー!$C$3,食数記録!$B254="昼",食数記録!$F254="男性入所",食数記録!$D254="欠食"),1,0)</f>
        <v>0</v>
      </c>
      <c r="E254" s="0" t="str">
        <f aca="false">IF(D254=1,SUM($D$2:D254),"")</f>
        <v/>
      </c>
      <c r="F254" s="0" t="n">
        <f aca="false">IF(AND(食数記録!$A254=プレビュー!$C$3,食数記録!$B254="夕",食数記録!$F254="男性入所",食数記録!$D254="欠食"),1,0)</f>
        <v>0</v>
      </c>
      <c r="G254" s="0" t="str">
        <f aca="false">IF(F254=1,SUM($F$2:F254),"")</f>
        <v/>
      </c>
      <c r="H254" s="0" t="n">
        <f aca="false">IF(AND(食数記録!$A254=プレビュー!$C$3,食数記録!$B254="朝",食数記録!$F254="女性入所",食数記録!$D254="欠食"),1,0)</f>
        <v>0</v>
      </c>
      <c r="I254" s="0" t="str">
        <f aca="false">IF(H254=1,SUM($H$2:H254),"")</f>
        <v/>
      </c>
      <c r="J254" s="0" t="n">
        <f aca="false">IF(AND(食数記録!$A254=プレビュー!$C$3,食数記録!$B254="昼",食数記録!$F254="女性入所",食数記録!$D254="欠食"),1,0)</f>
        <v>0</v>
      </c>
      <c r="K254" s="0" t="str">
        <f aca="false">IF(J254=1,SUM($J$2:J254),"")</f>
        <v/>
      </c>
      <c r="L254" s="0" t="n">
        <f aca="false">IF(AND(食数記録!$A254=プレビュー!$C$3,食数記録!$B254="夕",食数記録!$F254="女性入所",食数記録!$D254="欠食"),1,0)</f>
        <v>0</v>
      </c>
      <c r="M254" s="0" t="str">
        <f aca="false">IF(L254=1,SUM($L$2:L254),"")</f>
        <v/>
      </c>
      <c r="N254" s="0" t="n">
        <f aca="false">IF(AND(食数記録!$A254=プレビュー!$C$3,食数記録!$B254="朝",食数記録!$F254="男性GH",食数記録!$D254="臨時喫食"),1,0)</f>
        <v>0</v>
      </c>
      <c r="O254" s="0" t="str">
        <f aca="false">IF(N254=1,SUM($N$2:N254),"")</f>
        <v/>
      </c>
      <c r="P254" s="0" t="n">
        <f aca="false">IF(AND(食数記録!$A254=プレビュー!$C$3,食数記録!$B254="昼",食数記録!$F254="男性GH",食数記録!$D254="臨時喫食"),1,0)</f>
        <v>0</v>
      </c>
      <c r="Q254" s="0" t="str">
        <f aca="false">IF(P254=1,SUM($P$2:P254),"")</f>
        <v/>
      </c>
      <c r="R254" s="0" t="n">
        <f aca="false">IF(AND(食数記録!$A254=プレビュー!$C$3,食数記録!$B254="夕",食数記録!$F254="男性GH",食数記録!$D254="臨時喫食"),1,0)</f>
        <v>0</v>
      </c>
      <c r="S254" s="0" t="str">
        <f aca="false">IF(R254=1,SUM($R$2:R254),"")</f>
        <v/>
      </c>
      <c r="T254" s="0" t="n">
        <f aca="false">IF(AND(食数記録!$A254=プレビュー!$C$3,食数記録!$B254="朝",食数記録!$F254="女性GH",食数記録!$D254="臨時喫食"),1,0)</f>
        <v>0</v>
      </c>
      <c r="U254" s="0" t="str">
        <f aca="false">IF(T254=1,SUM($T$2:T254),"")</f>
        <v/>
      </c>
      <c r="V254" s="0" t="n">
        <f aca="false">IF(AND(食数記録!$A254=プレビュー!$C$3,食数記録!$B254="昼",食数記録!$F254="女性GH",食数記録!$D254="臨時喫食"),1,0)</f>
        <v>0</v>
      </c>
      <c r="W254" s="0" t="str">
        <f aca="false">IF(V254=1,SUM($V$2:V254),"")</f>
        <v/>
      </c>
      <c r="X254" s="0" t="n">
        <f aca="false">IF(AND(食数記録!$A254=プレビュー!$C$3,食数記録!$B254="夕",食数記録!$F254="女性GH",食数記録!$D254="臨時喫食"),1,0)</f>
        <v>0</v>
      </c>
      <c r="Y254" s="0" t="str">
        <f aca="false">IF(X254=1,SUM($X$2:X254),"")</f>
        <v/>
      </c>
    </row>
    <row r="255" customFormat="false" ht="15" hidden="false" customHeight="false" outlineLevel="0" collapsed="false">
      <c r="B255" s="0" t="n">
        <f aca="false">IF(AND(食数記録!$A255=プレビュー!$C$3,食数記録!$B255="朝",食数記録!$F255="男性入所",食数記録!$D255="欠食"),1,0)</f>
        <v>0</v>
      </c>
      <c r="C255" s="0" t="str">
        <f aca="false">IF(B255=1,SUM($B$2:B255),"")</f>
        <v/>
      </c>
      <c r="D255" s="0" t="n">
        <f aca="false">IF(AND(食数記録!$A255=プレビュー!$C$3,食数記録!$B255="昼",食数記録!$F255="男性入所",食数記録!$D255="欠食"),1,0)</f>
        <v>0</v>
      </c>
      <c r="E255" s="0" t="str">
        <f aca="false">IF(D255=1,SUM($D$2:D255),"")</f>
        <v/>
      </c>
      <c r="F255" s="0" t="n">
        <f aca="false">IF(AND(食数記録!$A255=プレビュー!$C$3,食数記録!$B255="夕",食数記録!$F255="男性入所",食数記録!$D255="欠食"),1,0)</f>
        <v>0</v>
      </c>
      <c r="G255" s="0" t="str">
        <f aca="false">IF(F255=1,SUM($F$2:F255),"")</f>
        <v/>
      </c>
      <c r="H255" s="0" t="n">
        <f aca="false">IF(AND(食数記録!$A255=プレビュー!$C$3,食数記録!$B255="朝",食数記録!$F255="女性入所",食数記録!$D255="欠食"),1,0)</f>
        <v>0</v>
      </c>
      <c r="I255" s="0" t="str">
        <f aca="false">IF(H255=1,SUM($H$2:H255),"")</f>
        <v/>
      </c>
      <c r="J255" s="0" t="n">
        <f aca="false">IF(AND(食数記録!$A255=プレビュー!$C$3,食数記録!$B255="昼",食数記録!$F255="女性入所",食数記録!$D255="欠食"),1,0)</f>
        <v>0</v>
      </c>
      <c r="K255" s="0" t="str">
        <f aca="false">IF(J255=1,SUM($J$2:J255),"")</f>
        <v/>
      </c>
      <c r="L255" s="0" t="n">
        <f aca="false">IF(AND(食数記録!$A255=プレビュー!$C$3,食数記録!$B255="夕",食数記録!$F255="女性入所",食数記録!$D255="欠食"),1,0)</f>
        <v>0</v>
      </c>
      <c r="M255" s="0" t="str">
        <f aca="false">IF(L255=1,SUM($L$2:L255),"")</f>
        <v/>
      </c>
      <c r="N255" s="0" t="n">
        <f aca="false">IF(AND(食数記録!$A255=プレビュー!$C$3,食数記録!$B255="朝",食数記録!$F255="男性GH",食数記録!$D255="臨時喫食"),1,0)</f>
        <v>0</v>
      </c>
      <c r="O255" s="0" t="str">
        <f aca="false">IF(N255=1,SUM($N$2:N255),"")</f>
        <v/>
      </c>
      <c r="P255" s="0" t="n">
        <f aca="false">IF(AND(食数記録!$A255=プレビュー!$C$3,食数記録!$B255="昼",食数記録!$F255="男性GH",食数記録!$D255="臨時喫食"),1,0)</f>
        <v>0</v>
      </c>
      <c r="Q255" s="0" t="str">
        <f aca="false">IF(P255=1,SUM($P$2:P255),"")</f>
        <v/>
      </c>
      <c r="R255" s="0" t="n">
        <f aca="false">IF(AND(食数記録!$A255=プレビュー!$C$3,食数記録!$B255="夕",食数記録!$F255="男性GH",食数記録!$D255="臨時喫食"),1,0)</f>
        <v>0</v>
      </c>
      <c r="S255" s="0" t="str">
        <f aca="false">IF(R255=1,SUM($R$2:R255),"")</f>
        <v/>
      </c>
      <c r="T255" s="0" t="n">
        <f aca="false">IF(AND(食数記録!$A255=プレビュー!$C$3,食数記録!$B255="朝",食数記録!$F255="女性GH",食数記録!$D255="臨時喫食"),1,0)</f>
        <v>0</v>
      </c>
      <c r="U255" s="0" t="str">
        <f aca="false">IF(T255=1,SUM($T$2:T255),"")</f>
        <v/>
      </c>
      <c r="V255" s="0" t="n">
        <f aca="false">IF(AND(食数記録!$A255=プレビュー!$C$3,食数記録!$B255="昼",食数記録!$F255="女性GH",食数記録!$D255="臨時喫食"),1,0)</f>
        <v>0</v>
      </c>
      <c r="W255" s="0" t="str">
        <f aca="false">IF(V255=1,SUM($V$2:V255),"")</f>
        <v/>
      </c>
      <c r="X255" s="0" t="n">
        <f aca="false">IF(AND(食数記録!$A255=プレビュー!$C$3,食数記録!$B255="夕",食数記録!$F255="女性GH",食数記録!$D255="臨時喫食"),1,0)</f>
        <v>0</v>
      </c>
      <c r="Y255" s="0" t="str">
        <f aca="false">IF(X255=1,SUM($X$2:X255),"")</f>
        <v/>
      </c>
    </row>
    <row r="256" customFormat="false" ht="15" hidden="false" customHeight="false" outlineLevel="0" collapsed="false">
      <c r="B256" s="0" t="n">
        <f aca="false">IF(AND(食数記録!$A256=プレビュー!$C$3,食数記録!$B256="朝",食数記録!$F256="男性入所",食数記録!$D256="欠食"),1,0)</f>
        <v>0</v>
      </c>
      <c r="C256" s="0" t="str">
        <f aca="false">IF(B256=1,SUM($B$2:B256),"")</f>
        <v/>
      </c>
      <c r="D256" s="0" t="n">
        <f aca="false">IF(AND(食数記録!$A256=プレビュー!$C$3,食数記録!$B256="昼",食数記録!$F256="男性入所",食数記録!$D256="欠食"),1,0)</f>
        <v>0</v>
      </c>
      <c r="E256" s="0" t="str">
        <f aca="false">IF(D256=1,SUM($D$2:D256),"")</f>
        <v/>
      </c>
      <c r="F256" s="0" t="n">
        <f aca="false">IF(AND(食数記録!$A256=プレビュー!$C$3,食数記録!$B256="夕",食数記録!$F256="男性入所",食数記録!$D256="欠食"),1,0)</f>
        <v>0</v>
      </c>
      <c r="G256" s="0" t="str">
        <f aca="false">IF(F256=1,SUM($F$2:F256),"")</f>
        <v/>
      </c>
      <c r="H256" s="0" t="n">
        <f aca="false">IF(AND(食数記録!$A256=プレビュー!$C$3,食数記録!$B256="朝",食数記録!$F256="女性入所",食数記録!$D256="欠食"),1,0)</f>
        <v>0</v>
      </c>
      <c r="I256" s="0" t="str">
        <f aca="false">IF(H256=1,SUM($H$2:H256),"")</f>
        <v/>
      </c>
      <c r="J256" s="0" t="n">
        <f aca="false">IF(AND(食数記録!$A256=プレビュー!$C$3,食数記録!$B256="昼",食数記録!$F256="女性入所",食数記録!$D256="欠食"),1,0)</f>
        <v>0</v>
      </c>
      <c r="K256" s="0" t="str">
        <f aca="false">IF(J256=1,SUM($J$2:J256),"")</f>
        <v/>
      </c>
      <c r="L256" s="0" t="n">
        <f aca="false">IF(AND(食数記録!$A256=プレビュー!$C$3,食数記録!$B256="夕",食数記録!$F256="女性入所",食数記録!$D256="欠食"),1,0)</f>
        <v>0</v>
      </c>
      <c r="M256" s="0" t="str">
        <f aca="false">IF(L256=1,SUM($L$2:L256),"")</f>
        <v/>
      </c>
      <c r="N256" s="0" t="n">
        <f aca="false">IF(AND(食数記録!$A256=プレビュー!$C$3,食数記録!$B256="朝",食数記録!$F256="男性GH",食数記録!$D256="臨時喫食"),1,0)</f>
        <v>0</v>
      </c>
      <c r="O256" s="0" t="str">
        <f aca="false">IF(N256=1,SUM($N$2:N256),"")</f>
        <v/>
      </c>
      <c r="P256" s="0" t="n">
        <f aca="false">IF(AND(食数記録!$A256=プレビュー!$C$3,食数記録!$B256="昼",食数記録!$F256="男性GH",食数記録!$D256="臨時喫食"),1,0)</f>
        <v>0</v>
      </c>
      <c r="Q256" s="0" t="str">
        <f aca="false">IF(P256=1,SUM($P$2:P256),"")</f>
        <v/>
      </c>
      <c r="R256" s="0" t="n">
        <f aca="false">IF(AND(食数記録!$A256=プレビュー!$C$3,食数記録!$B256="夕",食数記録!$F256="男性GH",食数記録!$D256="臨時喫食"),1,0)</f>
        <v>0</v>
      </c>
      <c r="S256" s="0" t="str">
        <f aca="false">IF(R256=1,SUM($R$2:R256),"")</f>
        <v/>
      </c>
      <c r="T256" s="0" t="n">
        <f aca="false">IF(AND(食数記録!$A256=プレビュー!$C$3,食数記録!$B256="朝",食数記録!$F256="女性GH",食数記録!$D256="臨時喫食"),1,0)</f>
        <v>0</v>
      </c>
      <c r="U256" s="0" t="str">
        <f aca="false">IF(T256=1,SUM($T$2:T256),"")</f>
        <v/>
      </c>
      <c r="V256" s="0" t="n">
        <f aca="false">IF(AND(食数記録!$A256=プレビュー!$C$3,食数記録!$B256="昼",食数記録!$F256="女性GH",食数記録!$D256="臨時喫食"),1,0)</f>
        <v>0</v>
      </c>
      <c r="W256" s="0" t="str">
        <f aca="false">IF(V256=1,SUM($V$2:V256),"")</f>
        <v/>
      </c>
      <c r="X256" s="0" t="n">
        <f aca="false">IF(AND(食数記録!$A256=プレビュー!$C$3,食数記録!$B256="夕",食数記録!$F256="女性GH",食数記録!$D256="臨時喫食"),1,0)</f>
        <v>0</v>
      </c>
      <c r="Y256" s="0" t="str">
        <f aca="false">IF(X256=1,SUM($X$2:X256),"")</f>
        <v/>
      </c>
    </row>
    <row r="257" customFormat="false" ht="15" hidden="false" customHeight="false" outlineLevel="0" collapsed="false">
      <c r="B257" s="0" t="n">
        <f aca="false">IF(AND(食数記録!$A257=プレビュー!$C$3,食数記録!$B257="朝",食数記録!$F257="男性入所",食数記録!$D257="欠食"),1,0)</f>
        <v>0</v>
      </c>
      <c r="C257" s="0" t="str">
        <f aca="false">IF(B257=1,SUM($B$2:B257),"")</f>
        <v/>
      </c>
      <c r="D257" s="0" t="n">
        <f aca="false">IF(AND(食数記録!$A257=プレビュー!$C$3,食数記録!$B257="昼",食数記録!$F257="男性入所",食数記録!$D257="欠食"),1,0)</f>
        <v>0</v>
      </c>
      <c r="E257" s="0" t="str">
        <f aca="false">IF(D257=1,SUM($D$2:D257),"")</f>
        <v/>
      </c>
      <c r="F257" s="0" t="n">
        <f aca="false">IF(AND(食数記録!$A257=プレビュー!$C$3,食数記録!$B257="夕",食数記録!$F257="男性入所",食数記録!$D257="欠食"),1,0)</f>
        <v>0</v>
      </c>
      <c r="G257" s="0" t="str">
        <f aca="false">IF(F257=1,SUM($F$2:F257),"")</f>
        <v/>
      </c>
      <c r="H257" s="0" t="n">
        <f aca="false">IF(AND(食数記録!$A257=プレビュー!$C$3,食数記録!$B257="朝",食数記録!$F257="女性入所",食数記録!$D257="欠食"),1,0)</f>
        <v>0</v>
      </c>
      <c r="I257" s="0" t="str">
        <f aca="false">IF(H257=1,SUM($H$2:H257),"")</f>
        <v/>
      </c>
      <c r="J257" s="0" t="n">
        <f aca="false">IF(AND(食数記録!$A257=プレビュー!$C$3,食数記録!$B257="昼",食数記録!$F257="女性入所",食数記録!$D257="欠食"),1,0)</f>
        <v>0</v>
      </c>
      <c r="K257" s="0" t="str">
        <f aca="false">IF(J257=1,SUM($J$2:J257),"")</f>
        <v/>
      </c>
      <c r="L257" s="0" t="n">
        <f aca="false">IF(AND(食数記録!$A257=プレビュー!$C$3,食数記録!$B257="夕",食数記録!$F257="女性入所",食数記録!$D257="欠食"),1,0)</f>
        <v>0</v>
      </c>
      <c r="M257" s="0" t="str">
        <f aca="false">IF(L257=1,SUM($L$2:L257),"")</f>
        <v/>
      </c>
      <c r="N257" s="0" t="n">
        <f aca="false">IF(AND(食数記録!$A257=プレビュー!$C$3,食数記録!$B257="朝",食数記録!$F257="男性GH",食数記録!$D257="臨時喫食"),1,0)</f>
        <v>0</v>
      </c>
      <c r="O257" s="0" t="str">
        <f aca="false">IF(N257=1,SUM($N$2:N257),"")</f>
        <v/>
      </c>
      <c r="P257" s="0" t="n">
        <f aca="false">IF(AND(食数記録!$A257=プレビュー!$C$3,食数記録!$B257="昼",食数記録!$F257="男性GH",食数記録!$D257="臨時喫食"),1,0)</f>
        <v>0</v>
      </c>
      <c r="Q257" s="0" t="str">
        <f aca="false">IF(P257=1,SUM($P$2:P257),"")</f>
        <v/>
      </c>
      <c r="R257" s="0" t="n">
        <f aca="false">IF(AND(食数記録!$A257=プレビュー!$C$3,食数記録!$B257="夕",食数記録!$F257="男性GH",食数記録!$D257="臨時喫食"),1,0)</f>
        <v>0</v>
      </c>
      <c r="S257" s="0" t="str">
        <f aca="false">IF(R257=1,SUM($R$2:R257),"")</f>
        <v/>
      </c>
      <c r="T257" s="0" t="n">
        <f aca="false">IF(AND(食数記録!$A257=プレビュー!$C$3,食数記録!$B257="朝",食数記録!$F257="女性GH",食数記録!$D257="臨時喫食"),1,0)</f>
        <v>0</v>
      </c>
      <c r="U257" s="0" t="str">
        <f aca="false">IF(T257=1,SUM($T$2:T257),"")</f>
        <v/>
      </c>
      <c r="V257" s="0" t="n">
        <f aca="false">IF(AND(食数記録!$A257=プレビュー!$C$3,食数記録!$B257="昼",食数記録!$F257="女性GH",食数記録!$D257="臨時喫食"),1,0)</f>
        <v>0</v>
      </c>
      <c r="W257" s="0" t="str">
        <f aca="false">IF(V257=1,SUM($V$2:V257),"")</f>
        <v/>
      </c>
      <c r="X257" s="0" t="n">
        <f aca="false">IF(AND(食数記録!$A257=プレビュー!$C$3,食数記録!$B257="夕",食数記録!$F257="女性GH",食数記録!$D257="臨時喫食"),1,0)</f>
        <v>0</v>
      </c>
      <c r="Y257" s="0" t="str">
        <f aca="false">IF(X257=1,SUM($X$2:X257),"")</f>
        <v/>
      </c>
    </row>
    <row r="258" customFormat="false" ht="15" hidden="false" customHeight="false" outlineLevel="0" collapsed="false">
      <c r="B258" s="0" t="n">
        <f aca="false">IF(AND(食数記録!$A258=プレビュー!$C$3,食数記録!$B258="朝",食数記録!$F258="男性入所",食数記録!$D258="欠食"),1,0)</f>
        <v>0</v>
      </c>
      <c r="C258" s="0" t="str">
        <f aca="false">IF(B258=1,SUM($B$2:B258),"")</f>
        <v/>
      </c>
      <c r="D258" s="0" t="n">
        <f aca="false">IF(AND(食数記録!$A258=プレビュー!$C$3,食数記録!$B258="昼",食数記録!$F258="男性入所",食数記録!$D258="欠食"),1,0)</f>
        <v>0</v>
      </c>
      <c r="E258" s="0" t="str">
        <f aca="false">IF(D258=1,SUM($D$2:D258),"")</f>
        <v/>
      </c>
      <c r="F258" s="0" t="n">
        <f aca="false">IF(AND(食数記録!$A258=プレビュー!$C$3,食数記録!$B258="夕",食数記録!$F258="男性入所",食数記録!$D258="欠食"),1,0)</f>
        <v>0</v>
      </c>
      <c r="G258" s="0" t="str">
        <f aca="false">IF(F258=1,SUM($F$2:F258),"")</f>
        <v/>
      </c>
      <c r="H258" s="0" t="n">
        <f aca="false">IF(AND(食数記録!$A258=プレビュー!$C$3,食数記録!$B258="朝",食数記録!$F258="女性入所",食数記録!$D258="欠食"),1,0)</f>
        <v>0</v>
      </c>
      <c r="I258" s="0" t="str">
        <f aca="false">IF(H258=1,SUM($H$2:H258),"")</f>
        <v/>
      </c>
      <c r="J258" s="0" t="n">
        <f aca="false">IF(AND(食数記録!$A258=プレビュー!$C$3,食数記録!$B258="昼",食数記録!$F258="女性入所",食数記録!$D258="欠食"),1,0)</f>
        <v>0</v>
      </c>
      <c r="K258" s="0" t="str">
        <f aca="false">IF(J258=1,SUM($J$2:J258),"")</f>
        <v/>
      </c>
      <c r="L258" s="0" t="n">
        <f aca="false">IF(AND(食数記録!$A258=プレビュー!$C$3,食数記録!$B258="夕",食数記録!$F258="女性入所",食数記録!$D258="欠食"),1,0)</f>
        <v>0</v>
      </c>
      <c r="M258" s="0" t="str">
        <f aca="false">IF(L258=1,SUM($L$2:L258),"")</f>
        <v/>
      </c>
      <c r="N258" s="0" t="n">
        <f aca="false">IF(AND(食数記録!$A258=プレビュー!$C$3,食数記録!$B258="朝",食数記録!$F258="男性GH",食数記録!$D258="臨時喫食"),1,0)</f>
        <v>0</v>
      </c>
      <c r="O258" s="0" t="str">
        <f aca="false">IF(N258=1,SUM($N$2:N258),"")</f>
        <v/>
      </c>
      <c r="P258" s="0" t="n">
        <f aca="false">IF(AND(食数記録!$A258=プレビュー!$C$3,食数記録!$B258="昼",食数記録!$F258="男性GH",食数記録!$D258="臨時喫食"),1,0)</f>
        <v>0</v>
      </c>
      <c r="Q258" s="0" t="str">
        <f aca="false">IF(P258=1,SUM($P$2:P258),"")</f>
        <v/>
      </c>
      <c r="R258" s="0" t="n">
        <f aca="false">IF(AND(食数記録!$A258=プレビュー!$C$3,食数記録!$B258="夕",食数記録!$F258="男性GH",食数記録!$D258="臨時喫食"),1,0)</f>
        <v>0</v>
      </c>
      <c r="S258" s="0" t="str">
        <f aca="false">IF(R258=1,SUM($R$2:R258),"")</f>
        <v/>
      </c>
      <c r="T258" s="0" t="n">
        <f aca="false">IF(AND(食数記録!$A258=プレビュー!$C$3,食数記録!$B258="朝",食数記録!$F258="女性GH",食数記録!$D258="臨時喫食"),1,0)</f>
        <v>0</v>
      </c>
      <c r="U258" s="0" t="str">
        <f aca="false">IF(T258=1,SUM($T$2:T258),"")</f>
        <v/>
      </c>
      <c r="V258" s="0" t="n">
        <f aca="false">IF(AND(食数記録!$A258=プレビュー!$C$3,食数記録!$B258="昼",食数記録!$F258="女性GH",食数記録!$D258="臨時喫食"),1,0)</f>
        <v>0</v>
      </c>
      <c r="W258" s="0" t="str">
        <f aca="false">IF(V258=1,SUM($V$2:V258),"")</f>
        <v/>
      </c>
      <c r="X258" s="0" t="n">
        <f aca="false">IF(AND(食数記録!$A258=プレビュー!$C$3,食数記録!$B258="夕",食数記録!$F258="女性GH",食数記録!$D258="臨時喫食"),1,0)</f>
        <v>0</v>
      </c>
      <c r="Y258" s="0" t="str">
        <f aca="false">IF(X258=1,SUM($X$2:X258),"")</f>
        <v/>
      </c>
    </row>
    <row r="259" customFormat="false" ht="15" hidden="false" customHeight="false" outlineLevel="0" collapsed="false">
      <c r="B259" s="0" t="n">
        <f aca="false">IF(AND(食数記録!$A259=プレビュー!$C$3,食数記録!$B259="朝",食数記録!$F259="男性入所",食数記録!$D259="欠食"),1,0)</f>
        <v>0</v>
      </c>
      <c r="C259" s="0" t="str">
        <f aca="false">IF(B259=1,SUM($B$2:B259),"")</f>
        <v/>
      </c>
      <c r="D259" s="0" t="n">
        <f aca="false">IF(AND(食数記録!$A259=プレビュー!$C$3,食数記録!$B259="昼",食数記録!$F259="男性入所",食数記録!$D259="欠食"),1,0)</f>
        <v>0</v>
      </c>
      <c r="E259" s="0" t="str">
        <f aca="false">IF(D259=1,SUM($D$2:D259),"")</f>
        <v/>
      </c>
      <c r="F259" s="0" t="n">
        <f aca="false">IF(AND(食数記録!$A259=プレビュー!$C$3,食数記録!$B259="夕",食数記録!$F259="男性入所",食数記録!$D259="欠食"),1,0)</f>
        <v>0</v>
      </c>
      <c r="G259" s="0" t="str">
        <f aca="false">IF(F259=1,SUM($F$2:F259),"")</f>
        <v/>
      </c>
      <c r="H259" s="0" t="n">
        <f aca="false">IF(AND(食数記録!$A259=プレビュー!$C$3,食数記録!$B259="朝",食数記録!$F259="女性入所",食数記録!$D259="欠食"),1,0)</f>
        <v>0</v>
      </c>
      <c r="I259" s="0" t="str">
        <f aca="false">IF(H259=1,SUM($H$2:H259),"")</f>
        <v/>
      </c>
      <c r="J259" s="0" t="n">
        <f aca="false">IF(AND(食数記録!$A259=プレビュー!$C$3,食数記録!$B259="昼",食数記録!$F259="女性入所",食数記録!$D259="欠食"),1,0)</f>
        <v>0</v>
      </c>
      <c r="K259" s="0" t="str">
        <f aca="false">IF(J259=1,SUM($J$2:J259),"")</f>
        <v/>
      </c>
      <c r="L259" s="0" t="n">
        <f aca="false">IF(AND(食数記録!$A259=プレビュー!$C$3,食数記録!$B259="夕",食数記録!$F259="女性入所",食数記録!$D259="欠食"),1,0)</f>
        <v>0</v>
      </c>
      <c r="M259" s="0" t="str">
        <f aca="false">IF(L259=1,SUM($L$2:L259),"")</f>
        <v/>
      </c>
      <c r="N259" s="0" t="n">
        <f aca="false">IF(AND(食数記録!$A259=プレビュー!$C$3,食数記録!$B259="朝",食数記録!$F259="男性GH",食数記録!$D259="臨時喫食"),1,0)</f>
        <v>0</v>
      </c>
      <c r="O259" s="0" t="str">
        <f aca="false">IF(N259=1,SUM($N$2:N259),"")</f>
        <v/>
      </c>
      <c r="P259" s="0" t="n">
        <f aca="false">IF(AND(食数記録!$A259=プレビュー!$C$3,食数記録!$B259="昼",食数記録!$F259="男性GH",食数記録!$D259="臨時喫食"),1,0)</f>
        <v>0</v>
      </c>
      <c r="Q259" s="0" t="str">
        <f aca="false">IF(P259=1,SUM($P$2:P259),"")</f>
        <v/>
      </c>
      <c r="R259" s="0" t="n">
        <f aca="false">IF(AND(食数記録!$A259=プレビュー!$C$3,食数記録!$B259="夕",食数記録!$F259="男性GH",食数記録!$D259="臨時喫食"),1,0)</f>
        <v>0</v>
      </c>
      <c r="S259" s="0" t="str">
        <f aca="false">IF(R259=1,SUM($R$2:R259),"")</f>
        <v/>
      </c>
      <c r="T259" s="0" t="n">
        <f aca="false">IF(AND(食数記録!$A259=プレビュー!$C$3,食数記録!$B259="朝",食数記録!$F259="女性GH",食数記録!$D259="臨時喫食"),1,0)</f>
        <v>0</v>
      </c>
      <c r="U259" s="0" t="str">
        <f aca="false">IF(T259=1,SUM($T$2:T259),"")</f>
        <v/>
      </c>
      <c r="V259" s="0" t="n">
        <f aca="false">IF(AND(食数記録!$A259=プレビュー!$C$3,食数記録!$B259="昼",食数記録!$F259="女性GH",食数記録!$D259="臨時喫食"),1,0)</f>
        <v>0</v>
      </c>
      <c r="W259" s="0" t="str">
        <f aca="false">IF(V259=1,SUM($V$2:V259),"")</f>
        <v/>
      </c>
      <c r="X259" s="0" t="n">
        <f aca="false">IF(AND(食数記録!$A259=プレビュー!$C$3,食数記録!$B259="夕",食数記録!$F259="女性GH",食数記録!$D259="臨時喫食"),1,0)</f>
        <v>0</v>
      </c>
      <c r="Y259" s="0" t="str">
        <f aca="false">IF(X259=1,SUM($X$2:X259),"")</f>
        <v/>
      </c>
    </row>
    <row r="260" customFormat="false" ht="15" hidden="false" customHeight="false" outlineLevel="0" collapsed="false">
      <c r="B260" s="0" t="n">
        <f aca="false">IF(AND(食数記録!$A260=プレビュー!$C$3,食数記録!$B260="朝",食数記録!$F260="男性入所",食数記録!$D260="欠食"),1,0)</f>
        <v>0</v>
      </c>
      <c r="C260" s="0" t="str">
        <f aca="false">IF(B260=1,SUM($B$2:B260),"")</f>
        <v/>
      </c>
      <c r="D260" s="0" t="n">
        <f aca="false">IF(AND(食数記録!$A260=プレビュー!$C$3,食数記録!$B260="昼",食数記録!$F260="男性入所",食数記録!$D260="欠食"),1,0)</f>
        <v>0</v>
      </c>
      <c r="E260" s="0" t="str">
        <f aca="false">IF(D260=1,SUM($D$2:D260),"")</f>
        <v/>
      </c>
      <c r="F260" s="0" t="n">
        <f aca="false">IF(AND(食数記録!$A260=プレビュー!$C$3,食数記録!$B260="夕",食数記録!$F260="男性入所",食数記録!$D260="欠食"),1,0)</f>
        <v>0</v>
      </c>
      <c r="G260" s="0" t="str">
        <f aca="false">IF(F260=1,SUM($F$2:F260),"")</f>
        <v/>
      </c>
      <c r="H260" s="0" t="n">
        <f aca="false">IF(AND(食数記録!$A260=プレビュー!$C$3,食数記録!$B260="朝",食数記録!$F260="女性入所",食数記録!$D260="欠食"),1,0)</f>
        <v>0</v>
      </c>
      <c r="I260" s="0" t="str">
        <f aca="false">IF(H260=1,SUM($H$2:H260),"")</f>
        <v/>
      </c>
      <c r="J260" s="0" t="n">
        <f aca="false">IF(AND(食数記録!$A260=プレビュー!$C$3,食数記録!$B260="昼",食数記録!$F260="女性入所",食数記録!$D260="欠食"),1,0)</f>
        <v>0</v>
      </c>
      <c r="K260" s="0" t="str">
        <f aca="false">IF(J260=1,SUM($J$2:J260),"")</f>
        <v/>
      </c>
      <c r="L260" s="0" t="n">
        <f aca="false">IF(AND(食数記録!$A260=プレビュー!$C$3,食数記録!$B260="夕",食数記録!$F260="女性入所",食数記録!$D260="欠食"),1,0)</f>
        <v>0</v>
      </c>
      <c r="M260" s="0" t="str">
        <f aca="false">IF(L260=1,SUM($L$2:L260),"")</f>
        <v/>
      </c>
      <c r="N260" s="0" t="n">
        <f aca="false">IF(AND(食数記録!$A260=プレビュー!$C$3,食数記録!$B260="朝",食数記録!$F260="男性GH",食数記録!$D260="臨時喫食"),1,0)</f>
        <v>0</v>
      </c>
      <c r="O260" s="0" t="str">
        <f aca="false">IF(N260=1,SUM($N$2:N260),"")</f>
        <v/>
      </c>
      <c r="P260" s="0" t="n">
        <f aca="false">IF(AND(食数記録!$A260=プレビュー!$C$3,食数記録!$B260="昼",食数記録!$F260="男性GH",食数記録!$D260="臨時喫食"),1,0)</f>
        <v>0</v>
      </c>
      <c r="Q260" s="0" t="str">
        <f aca="false">IF(P260=1,SUM($P$2:P260),"")</f>
        <v/>
      </c>
      <c r="R260" s="0" t="n">
        <f aca="false">IF(AND(食数記録!$A260=プレビュー!$C$3,食数記録!$B260="夕",食数記録!$F260="男性GH",食数記録!$D260="臨時喫食"),1,0)</f>
        <v>0</v>
      </c>
      <c r="S260" s="0" t="str">
        <f aca="false">IF(R260=1,SUM($R$2:R260),"")</f>
        <v/>
      </c>
      <c r="T260" s="0" t="n">
        <f aca="false">IF(AND(食数記録!$A260=プレビュー!$C$3,食数記録!$B260="朝",食数記録!$F260="女性GH",食数記録!$D260="臨時喫食"),1,0)</f>
        <v>0</v>
      </c>
      <c r="U260" s="0" t="str">
        <f aca="false">IF(T260=1,SUM($T$2:T260),"")</f>
        <v/>
      </c>
      <c r="V260" s="0" t="n">
        <f aca="false">IF(AND(食数記録!$A260=プレビュー!$C$3,食数記録!$B260="昼",食数記録!$F260="女性GH",食数記録!$D260="臨時喫食"),1,0)</f>
        <v>0</v>
      </c>
      <c r="W260" s="0" t="str">
        <f aca="false">IF(V260=1,SUM($V$2:V260),"")</f>
        <v/>
      </c>
      <c r="X260" s="0" t="n">
        <f aca="false">IF(AND(食数記録!$A260=プレビュー!$C$3,食数記録!$B260="夕",食数記録!$F260="女性GH",食数記録!$D260="臨時喫食"),1,0)</f>
        <v>0</v>
      </c>
      <c r="Y260" s="0" t="str">
        <f aca="false">IF(X260=1,SUM($X$2:X260),"")</f>
        <v/>
      </c>
    </row>
    <row r="261" customFormat="false" ht="15" hidden="false" customHeight="false" outlineLevel="0" collapsed="false">
      <c r="B261" s="0" t="n">
        <f aca="false">IF(AND(食数記録!$A261=プレビュー!$C$3,食数記録!$B261="朝",食数記録!$F261="男性入所",食数記録!$D261="欠食"),1,0)</f>
        <v>0</v>
      </c>
      <c r="C261" s="0" t="str">
        <f aca="false">IF(B261=1,SUM($B$2:B261),"")</f>
        <v/>
      </c>
      <c r="D261" s="0" t="n">
        <f aca="false">IF(AND(食数記録!$A261=プレビュー!$C$3,食数記録!$B261="昼",食数記録!$F261="男性入所",食数記録!$D261="欠食"),1,0)</f>
        <v>0</v>
      </c>
      <c r="E261" s="0" t="str">
        <f aca="false">IF(D261=1,SUM($D$2:D261),"")</f>
        <v/>
      </c>
      <c r="F261" s="0" t="n">
        <f aca="false">IF(AND(食数記録!$A261=プレビュー!$C$3,食数記録!$B261="夕",食数記録!$F261="男性入所",食数記録!$D261="欠食"),1,0)</f>
        <v>0</v>
      </c>
      <c r="G261" s="0" t="str">
        <f aca="false">IF(F261=1,SUM($F$2:F261),"")</f>
        <v/>
      </c>
      <c r="H261" s="0" t="n">
        <f aca="false">IF(AND(食数記録!$A261=プレビュー!$C$3,食数記録!$B261="朝",食数記録!$F261="女性入所",食数記録!$D261="欠食"),1,0)</f>
        <v>0</v>
      </c>
      <c r="I261" s="0" t="str">
        <f aca="false">IF(H261=1,SUM($H$2:H261),"")</f>
        <v/>
      </c>
      <c r="J261" s="0" t="n">
        <f aca="false">IF(AND(食数記録!$A261=プレビュー!$C$3,食数記録!$B261="昼",食数記録!$F261="女性入所",食数記録!$D261="欠食"),1,0)</f>
        <v>0</v>
      </c>
      <c r="K261" s="0" t="str">
        <f aca="false">IF(J261=1,SUM($J$2:J261),"")</f>
        <v/>
      </c>
      <c r="L261" s="0" t="n">
        <f aca="false">IF(AND(食数記録!$A261=プレビュー!$C$3,食数記録!$B261="夕",食数記録!$F261="女性入所",食数記録!$D261="欠食"),1,0)</f>
        <v>0</v>
      </c>
      <c r="M261" s="0" t="str">
        <f aca="false">IF(L261=1,SUM($L$2:L261),"")</f>
        <v/>
      </c>
      <c r="N261" s="0" t="n">
        <f aca="false">IF(AND(食数記録!$A261=プレビュー!$C$3,食数記録!$B261="朝",食数記録!$F261="男性GH",食数記録!$D261="臨時喫食"),1,0)</f>
        <v>0</v>
      </c>
      <c r="O261" s="0" t="str">
        <f aca="false">IF(N261=1,SUM($N$2:N261),"")</f>
        <v/>
      </c>
      <c r="P261" s="0" t="n">
        <f aca="false">IF(AND(食数記録!$A261=プレビュー!$C$3,食数記録!$B261="昼",食数記録!$F261="男性GH",食数記録!$D261="臨時喫食"),1,0)</f>
        <v>0</v>
      </c>
      <c r="Q261" s="0" t="str">
        <f aca="false">IF(P261=1,SUM($P$2:P261),"")</f>
        <v/>
      </c>
      <c r="R261" s="0" t="n">
        <f aca="false">IF(AND(食数記録!$A261=プレビュー!$C$3,食数記録!$B261="夕",食数記録!$F261="男性GH",食数記録!$D261="臨時喫食"),1,0)</f>
        <v>0</v>
      </c>
      <c r="S261" s="0" t="str">
        <f aca="false">IF(R261=1,SUM($R$2:R261),"")</f>
        <v/>
      </c>
      <c r="T261" s="0" t="n">
        <f aca="false">IF(AND(食数記録!$A261=プレビュー!$C$3,食数記録!$B261="朝",食数記録!$F261="女性GH",食数記録!$D261="臨時喫食"),1,0)</f>
        <v>0</v>
      </c>
      <c r="U261" s="0" t="str">
        <f aca="false">IF(T261=1,SUM($T$2:T261),"")</f>
        <v/>
      </c>
      <c r="V261" s="0" t="n">
        <f aca="false">IF(AND(食数記録!$A261=プレビュー!$C$3,食数記録!$B261="昼",食数記録!$F261="女性GH",食数記録!$D261="臨時喫食"),1,0)</f>
        <v>0</v>
      </c>
      <c r="W261" s="0" t="str">
        <f aca="false">IF(V261=1,SUM($V$2:V261),"")</f>
        <v/>
      </c>
      <c r="X261" s="0" t="n">
        <f aca="false">IF(AND(食数記録!$A261=プレビュー!$C$3,食数記録!$B261="夕",食数記録!$F261="女性GH",食数記録!$D261="臨時喫食"),1,0)</f>
        <v>0</v>
      </c>
      <c r="Y261" s="0" t="str">
        <f aca="false">IF(X261=1,SUM($X$2:X261),"")</f>
        <v/>
      </c>
    </row>
    <row r="262" customFormat="false" ht="15" hidden="false" customHeight="false" outlineLevel="0" collapsed="false">
      <c r="B262" s="0" t="n">
        <f aca="false">IF(AND(食数記録!$A262=プレビュー!$C$3,食数記録!$B262="朝",食数記録!$F262="男性入所",食数記録!$D262="欠食"),1,0)</f>
        <v>0</v>
      </c>
      <c r="C262" s="0" t="str">
        <f aca="false">IF(B262=1,SUM($B$2:B262),"")</f>
        <v/>
      </c>
      <c r="D262" s="0" t="n">
        <f aca="false">IF(AND(食数記録!$A262=プレビュー!$C$3,食数記録!$B262="昼",食数記録!$F262="男性入所",食数記録!$D262="欠食"),1,0)</f>
        <v>0</v>
      </c>
      <c r="E262" s="0" t="str">
        <f aca="false">IF(D262=1,SUM($D$2:D262),"")</f>
        <v/>
      </c>
      <c r="F262" s="0" t="n">
        <f aca="false">IF(AND(食数記録!$A262=プレビュー!$C$3,食数記録!$B262="夕",食数記録!$F262="男性入所",食数記録!$D262="欠食"),1,0)</f>
        <v>0</v>
      </c>
      <c r="G262" s="0" t="str">
        <f aca="false">IF(F262=1,SUM($F$2:F262),"")</f>
        <v/>
      </c>
      <c r="H262" s="0" t="n">
        <f aca="false">IF(AND(食数記録!$A262=プレビュー!$C$3,食数記録!$B262="朝",食数記録!$F262="女性入所",食数記録!$D262="欠食"),1,0)</f>
        <v>0</v>
      </c>
      <c r="I262" s="0" t="str">
        <f aca="false">IF(H262=1,SUM($H$2:H262),"")</f>
        <v/>
      </c>
      <c r="J262" s="0" t="n">
        <f aca="false">IF(AND(食数記録!$A262=プレビュー!$C$3,食数記録!$B262="昼",食数記録!$F262="女性入所",食数記録!$D262="欠食"),1,0)</f>
        <v>0</v>
      </c>
      <c r="K262" s="0" t="str">
        <f aca="false">IF(J262=1,SUM($J$2:J262),"")</f>
        <v/>
      </c>
      <c r="L262" s="0" t="n">
        <f aca="false">IF(AND(食数記録!$A262=プレビュー!$C$3,食数記録!$B262="夕",食数記録!$F262="女性入所",食数記録!$D262="欠食"),1,0)</f>
        <v>0</v>
      </c>
      <c r="M262" s="0" t="str">
        <f aca="false">IF(L262=1,SUM($L$2:L262),"")</f>
        <v/>
      </c>
      <c r="N262" s="0" t="n">
        <f aca="false">IF(AND(食数記録!$A262=プレビュー!$C$3,食数記録!$B262="朝",食数記録!$F262="男性GH",食数記録!$D262="臨時喫食"),1,0)</f>
        <v>0</v>
      </c>
      <c r="O262" s="0" t="str">
        <f aca="false">IF(N262=1,SUM($N$2:N262),"")</f>
        <v/>
      </c>
      <c r="P262" s="0" t="n">
        <f aca="false">IF(AND(食数記録!$A262=プレビュー!$C$3,食数記録!$B262="昼",食数記録!$F262="男性GH",食数記録!$D262="臨時喫食"),1,0)</f>
        <v>0</v>
      </c>
      <c r="Q262" s="0" t="str">
        <f aca="false">IF(P262=1,SUM($P$2:P262),"")</f>
        <v/>
      </c>
      <c r="R262" s="0" t="n">
        <f aca="false">IF(AND(食数記録!$A262=プレビュー!$C$3,食数記録!$B262="夕",食数記録!$F262="男性GH",食数記録!$D262="臨時喫食"),1,0)</f>
        <v>0</v>
      </c>
      <c r="S262" s="0" t="str">
        <f aca="false">IF(R262=1,SUM($R$2:R262),"")</f>
        <v/>
      </c>
      <c r="T262" s="0" t="n">
        <f aca="false">IF(AND(食数記録!$A262=プレビュー!$C$3,食数記録!$B262="朝",食数記録!$F262="女性GH",食数記録!$D262="臨時喫食"),1,0)</f>
        <v>0</v>
      </c>
      <c r="U262" s="0" t="str">
        <f aca="false">IF(T262=1,SUM($T$2:T262),"")</f>
        <v/>
      </c>
      <c r="V262" s="0" t="n">
        <f aca="false">IF(AND(食数記録!$A262=プレビュー!$C$3,食数記録!$B262="昼",食数記録!$F262="女性GH",食数記録!$D262="臨時喫食"),1,0)</f>
        <v>0</v>
      </c>
      <c r="W262" s="0" t="str">
        <f aca="false">IF(V262=1,SUM($V$2:V262),"")</f>
        <v/>
      </c>
      <c r="X262" s="0" t="n">
        <f aca="false">IF(AND(食数記録!$A262=プレビュー!$C$3,食数記録!$B262="夕",食数記録!$F262="女性GH",食数記録!$D262="臨時喫食"),1,0)</f>
        <v>0</v>
      </c>
      <c r="Y262" s="0" t="str">
        <f aca="false">IF(X262=1,SUM($X$2:X262),"")</f>
        <v/>
      </c>
    </row>
    <row r="263" customFormat="false" ht="15" hidden="false" customHeight="false" outlineLevel="0" collapsed="false">
      <c r="B263" s="0" t="n">
        <f aca="false">IF(AND(食数記録!$A263=プレビュー!$C$3,食数記録!$B263="朝",食数記録!$F263="男性入所",食数記録!$D263="欠食"),1,0)</f>
        <v>0</v>
      </c>
      <c r="C263" s="0" t="str">
        <f aca="false">IF(B263=1,SUM($B$2:B263),"")</f>
        <v/>
      </c>
      <c r="D263" s="0" t="n">
        <f aca="false">IF(AND(食数記録!$A263=プレビュー!$C$3,食数記録!$B263="昼",食数記録!$F263="男性入所",食数記録!$D263="欠食"),1,0)</f>
        <v>0</v>
      </c>
      <c r="E263" s="0" t="str">
        <f aca="false">IF(D263=1,SUM($D$2:D263),"")</f>
        <v/>
      </c>
      <c r="F263" s="0" t="n">
        <f aca="false">IF(AND(食数記録!$A263=プレビュー!$C$3,食数記録!$B263="夕",食数記録!$F263="男性入所",食数記録!$D263="欠食"),1,0)</f>
        <v>0</v>
      </c>
      <c r="G263" s="0" t="str">
        <f aca="false">IF(F263=1,SUM($F$2:F263),"")</f>
        <v/>
      </c>
      <c r="H263" s="0" t="n">
        <f aca="false">IF(AND(食数記録!$A263=プレビュー!$C$3,食数記録!$B263="朝",食数記録!$F263="女性入所",食数記録!$D263="欠食"),1,0)</f>
        <v>0</v>
      </c>
      <c r="I263" s="0" t="str">
        <f aca="false">IF(H263=1,SUM($H$2:H263),"")</f>
        <v/>
      </c>
      <c r="J263" s="0" t="n">
        <f aca="false">IF(AND(食数記録!$A263=プレビュー!$C$3,食数記録!$B263="昼",食数記録!$F263="女性入所",食数記録!$D263="欠食"),1,0)</f>
        <v>0</v>
      </c>
      <c r="K263" s="0" t="str">
        <f aca="false">IF(J263=1,SUM($J$2:J263),"")</f>
        <v/>
      </c>
      <c r="L263" s="0" t="n">
        <f aca="false">IF(AND(食数記録!$A263=プレビュー!$C$3,食数記録!$B263="夕",食数記録!$F263="女性入所",食数記録!$D263="欠食"),1,0)</f>
        <v>0</v>
      </c>
      <c r="M263" s="0" t="str">
        <f aca="false">IF(L263=1,SUM($L$2:L263),"")</f>
        <v/>
      </c>
      <c r="N263" s="0" t="n">
        <f aca="false">IF(AND(食数記録!$A263=プレビュー!$C$3,食数記録!$B263="朝",食数記録!$F263="男性GH",食数記録!$D263="臨時喫食"),1,0)</f>
        <v>0</v>
      </c>
      <c r="O263" s="0" t="str">
        <f aca="false">IF(N263=1,SUM($N$2:N263),"")</f>
        <v/>
      </c>
      <c r="P263" s="0" t="n">
        <f aca="false">IF(AND(食数記録!$A263=プレビュー!$C$3,食数記録!$B263="昼",食数記録!$F263="男性GH",食数記録!$D263="臨時喫食"),1,0)</f>
        <v>0</v>
      </c>
      <c r="Q263" s="0" t="str">
        <f aca="false">IF(P263=1,SUM($P$2:P263),"")</f>
        <v/>
      </c>
      <c r="R263" s="0" t="n">
        <f aca="false">IF(AND(食数記録!$A263=プレビュー!$C$3,食数記録!$B263="夕",食数記録!$F263="男性GH",食数記録!$D263="臨時喫食"),1,0)</f>
        <v>0</v>
      </c>
      <c r="S263" s="0" t="str">
        <f aca="false">IF(R263=1,SUM($R$2:R263),"")</f>
        <v/>
      </c>
      <c r="T263" s="0" t="n">
        <f aca="false">IF(AND(食数記録!$A263=プレビュー!$C$3,食数記録!$B263="朝",食数記録!$F263="女性GH",食数記録!$D263="臨時喫食"),1,0)</f>
        <v>0</v>
      </c>
      <c r="U263" s="0" t="str">
        <f aca="false">IF(T263=1,SUM($T$2:T263),"")</f>
        <v/>
      </c>
      <c r="V263" s="0" t="n">
        <f aca="false">IF(AND(食数記録!$A263=プレビュー!$C$3,食数記録!$B263="昼",食数記録!$F263="女性GH",食数記録!$D263="臨時喫食"),1,0)</f>
        <v>0</v>
      </c>
      <c r="W263" s="0" t="str">
        <f aca="false">IF(V263=1,SUM($V$2:V263),"")</f>
        <v/>
      </c>
      <c r="X263" s="0" t="n">
        <f aca="false">IF(AND(食数記録!$A263=プレビュー!$C$3,食数記録!$B263="夕",食数記録!$F263="女性GH",食数記録!$D263="臨時喫食"),1,0)</f>
        <v>0</v>
      </c>
      <c r="Y263" s="0" t="str">
        <f aca="false">IF(X263=1,SUM($X$2:X263),"")</f>
        <v/>
      </c>
    </row>
    <row r="264" customFormat="false" ht="15" hidden="false" customHeight="false" outlineLevel="0" collapsed="false">
      <c r="B264" s="0" t="n">
        <f aca="false">IF(AND(食数記録!$A264=プレビュー!$C$3,食数記録!$B264="朝",食数記録!$F264="男性入所",食数記録!$D264="欠食"),1,0)</f>
        <v>0</v>
      </c>
      <c r="C264" s="0" t="str">
        <f aca="false">IF(B264=1,SUM($B$2:B264),"")</f>
        <v/>
      </c>
      <c r="D264" s="0" t="n">
        <f aca="false">IF(AND(食数記録!$A264=プレビュー!$C$3,食数記録!$B264="昼",食数記録!$F264="男性入所",食数記録!$D264="欠食"),1,0)</f>
        <v>0</v>
      </c>
      <c r="E264" s="0" t="str">
        <f aca="false">IF(D264=1,SUM($D$2:D264),"")</f>
        <v/>
      </c>
      <c r="F264" s="0" t="n">
        <f aca="false">IF(AND(食数記録!$A264=プレビュー!$C$3,食数記録!$B264="夕",食数記録!$F264="男性入所",食数記録!$D264="欠食"),1,0)</f>
        <v>0</v>
      </c>
      <c r="G264" s="0" t="str">
        <f aca="false">IF(F264=1,SUM($F$2:F264),"")</f>
        <v/>
      </c>
      <c r="H264" s="0" t="n">
        <f aca="false">IF(AND(食数記録!$A264=プレビュー!$C$3,食数記録!$B264="朝",食数記録!$F264="女性入所",食数記録!$D264="欠食"),1,0)</f>
        <v>0</v>
      </c>
      <c r="I264" s="0" t="str">
        <f aca="false">IF(H264=1,SUM($H$2:H264),"")</f>
        <v/>
      </c>
      <c r="J264" s="0" t="n">
        <f aca="false">IF(AND(食数記録!$A264=プレビュー!$C$3,食数記録!$B264="昼",食数記録!$F264="女性入所",食数記録!$D264="欠食"),1,0)</f>
        <v>0</v>
      </c>
      <c r="K264" s="0" t="str">
        <f aca="false">IF(J264=1,SUM($J$2:J264),"")</f>
        <v/>
      </c>
      <c r="L264" s="0" t="n">
        <f aca="false">IF(AND(食数記録!$A264=プレビュー!$C$3,食数記録!$B264="夕",食数記録!$F264="女性入所",食数記録!$D264="欠食"),1,0)</f>
        <v>0</v>
      </c>
      <c r="M264" s="0" t="str">
        <f aca="false">IF(L264=1,SUM($L$2:L264),"")</f>
        <v/>
      </c>
      <c r="N264" s="0" t="n">
        <f aca="false">IF(AND(食数記録!$A264=プレビュー!$C$3,食数記録!$B264="朝",食数記録!$F264="男性GH",食数記録!$D264="臨時喫食"),1,0)</f>
        <v>0</v>
      </c>
      <c r="O264" s="0" t="str">
        <f aca="false">IF(N264=1,SUM($N$2:N264),"")</f>
        <v/>
      </c>
      <c r="P264" s="0" t="n">
        <f aca="false">IF(AND(食数記録!$A264=プレビュー!$C$3,食数記録!$B264="昼",食数記録!$F264="男性GH",食数記録!$D264="臨時喫食"),1,0)</f>
        <v>0</v>
      </c>
      <c r="Q264" s="0" t="str">
        <f aca="false">IF(P264=1,SUM($P$2:P264),"")</f>
        <v/>
      </c>
      <c r="R264" s="0" t="n">
        <f aca="false">IF(AND(食数記録!$A264=プレビュー!$C$3,食数記録!$B264="夕",食数記録!$F264="男性GH",食数記録!$D264="臨時喫食"),1,0)</f>
        <v>0</v>
      </c>
      <c r="S264" s="0" t="str">
        <f aca="false">IF(R264=1,SUM($R$2:R264),"")</f>
        <v/>
      </c>
      <c r="T264" s="0" t="n">
        <f aca="false">IF(AND(食数記録!$A264=プレビュー!$C$3,食数記録!$B264="朝",食数記録!$F264="女性GH",食数記録!$D264="臨時喫食"),1,0)</f>
        <v>0</v>
      </c>
      <c r="U264" s="0" t="str">
        <f aca="false">IF(T264=1,SUM($T$2:T264),"")</f>
        <v/>
      </c>
      <c r="V264" s="0" t="n">
        <f aca="false">IF(AND(食数記録!$A264=プレビュー!$C$3,食数記録!$B264="昼",食数記録!$F264="女性GH",食数記録!$D264="臨時喫食"),1,0)</f>
        <v>0</v>
      </c>
      <c r="W264" s="0" t="str">
        <f aca="false">IF(V264=1,SUM($V$2:V264),"")</f>
        <v/>
      </c>
      <c r="X264" s="0" t="n">
        <f aca="false">IF(AND(食数記録!$A264=プレビュー!$C$3,食数記録!$B264="夕",食数記録!$F264="女性GH",食数記録!$D264="臨時喫食"),1,0)</f>
        <v>0</v>
      </c>
      <c r="Y264" s="0" t="str">
        <f aca="false">IF(X264=1,SUM($X$2:X264),"")</f>
        <v/>
      </c>
    </row>
    <row r="265" customFormat="false" ht="15" hidden="false" customHeight="false" outlineLevel="0" collapsed="false">
      <c r="B265" s="0" t="n">
        <f aca="false">IF(AND(食数記録!$A265=プレビュー!$C$3,食数記録!$B265="朝",食数記録!$F265="男性入所",食数記録!$D265="欠食"),1,0)</f>
        <v>0</v>
      </c>
      <c r="C265" s="0" t="str">
        <f aca="false">IF(B265=1,SUM($B$2:B265),"")</f>
        <v/>
      </c>
      <c r="D265" s="0" t="n">
        <f aca="false">IF(AND(食数記録!$A265=プレビュー!$C$3,食数記録!$B265="昼",食数記録!$F265="男性入所",食数記録!$D265="欠食"),1,0)</f>
        <v>0</v>
      </c>
      <c r="E265" s="0" t="str">
        <f aca="false">IF(D265=1,SUM($D$2:D265),"")</f>
        <v/>
      </c>
      <c r="F265" s="0" t="n">
        <f aca="false">IF(AND(食数記録!$A265=プレビュー!$C$3,食数記録!$B265="夕",食数記録!$F265="男性入所",食数記録!$D265="欠食"),1,0)</f>
        <v>0</v>
      </c>
      <c r="G265" s="0" t="str">
        <f aca="false">IF(F265=1,SUM($F$2:F265),"")</f>
        <v/>
      </c>
      <c r="H265" s="0" t="n">
        <f aca="false">IF(AND(食数記録!$A265=プレビュー!$C$3,食数記録!$B265="朝",食数記録!$F265="女性入所",食数記録!$D265="欠食"),1,0)</f>
        <v>0</v>
      </c>
      <c r="I265" s="0" t="str">
        <f aca="false">IF(H265=1,SUM($H$2:H265),"")</f>
        <v/>
      </c>
      <c r="J265" s="0" t="n">
        <f aca="false">IF(AND(食数記録!$A265=プレビュー!$C$3,食数記録!$B265="昼",食数記録!$F265="女性入所",食数記録!$D265="欠食"),1,0)</f>
        <v>0</v>
      </c>
      <c r="K265" s="0" t="str">
        <f aca="false">IF(J265=1,SUM($J$2:J265),"")</f>
        <v/>
      </c>
      <c r="L265" s="0" t="n">
        <f aca="false">IF(AND(食数記録!$A265=プレビュー!$C$3,食数記録!$B265="夕",食数記録!$F265="女性入所",食数記録!$D265="欠食"),1,0)</f>
        <v>0</v>
      </c>
      <c r="M265" s="0" t="str">
        <f aca="false">IF(L265=1,SUM($L$2:L265),"")</f>
        <v/>
      </c>
      <c r="N265" s="0" t="n">
        <f aca="false">IF(AND(食数記録!$A265=プレビュー!$C$3,食数記録!$B265="朝",食数記録!$F265="男性GH",食数記録!$D265="臨時喫食"),1,0)</f>
        <v>0</v>
      </c>
      <c r="O265" s="0" t="str">
        <f aca="false">IF(N265=1,SUM($N$2:N265),"")</f>
        <v/>
      </c>
      <c r="P265" s="0" t="n">
        <f aca="false">IF(AND(食数記録!$A265=プレビュー!$C$3,食数記録!$B265="昼",食数記録!$F265="男性GH",食数記録!$D265="臨時喫食"),1,0)</f>
        <v>0</v>
      </c>
      <c r="Q265" s="0" t="str">
        <f aca="false">IF(P265=1,SUM($P$2:P265),"")</f>
        <v/>
      </c>
      <c r="R265" s="0" t="n">
        <f aca="false">IF(AND(食数記録!$A265=プレビュー!$C$3,食数記録!$B265="夕",食数記録!$F265="男性GH",食数記録!$D265="臨時喫食"),1,0)</f>
        <v>0</v>
      </c>
      <c r="S265" s="0" t="str">
        <f aca="false">IF(R265=1,SUM($R$2:R265),"")</f>
        <v/>
      </c>
      <c r="T265" s="0" t="n">
        <f aca="false">IF(AND(食数記録!$A265=プレビュー!$C$3,食数記録!$B265="朝",食数記録!$F265="女性GH",食数記録!$D265="臨時喫食"),1,0)</f>
        <v>0</v>
      </c>
      <c r="U265" s="0" t="str">
        <f aca="false">IF(T265=1,SUM($T$2:T265),"")</f>
        <v/>
      </c>
      <c r="V265" s="0" t="n">
        <f aca="false">IF(AND(食数記録!$A265=プレビュー!$C$3,食数記録!$B265="昼",食数記録!$F265="女性GH",食数記録!$D265="臨時喫食"),1,0)</f>
        <v>0</v>
      </c>
      <c r="W265" s="0" t="str">
        <f aca="false">IF(V265=1,SUM($V$2:V265),"")</f>
        <v/>
      </c>
      <c r="X265" s="0" t="n">
        <f aca="false">IF(AND(食数記録!$A265=プレビュー!$C$3,食数記録!$B265="夕",食数記録!$F265="女性GH",食数記録!$D265="臨時喫食"),1,0)</f>
        <v>0</v>
      </c>
      <c r="Y265" s="0" t="str">
        <f aca="false">IF(X265=1,SUM($X$2:X265),"")</f>
        <v/>
      </c>
    </row>
    <row r="266" customFormat="false" ht="15" hidden="false" customHeight="false" outlineLevel="0" collapsed="false">
      <c r="B266" s="0" t="n">
        <f aca="false">IF(AND(食数記録!$A266=プレビュー!$C$3,食数記録!$B266="朝",食数記録!$F266="男性入所",食数記録!$D266="欠食"),1,0)</f>
        <v>0</v>
      </c>
      <c r="C266" s="0" t="str">
        <f aca="false">IF(B266=1,SUM($B$2:B266),"")</f>
        <v/>
      </c>
      <c r="D266" s="0" t="n">
        <f aca="false">IF(AND(食数記録!$A266=プレビュー!$C$3,食数記録!$B266="昼",食数記録!$F266="男性入所",食数記録!$D266="欠食"),1,0)</f>
        <v>0</v>
      </c>
      <c r="E266" s="0" t="str">
        <f aca="false">IF(D266=1,SUM($D$2:D266),"")</f>
        <v/>
      </c>
      <c r="F266" s="0" t="n">
        <f aca="false">IF(AND(食数記録!$A266=プレビュー!$C$3,食数記録!$B266="夕",食数記録!$F266="男性入所",食数記録!$D266="欠食"),1,0)</f>
        <v>0</v>
      </c>
      <c r="G266" s="0" t="str">
        <f aca="false">IF(F266=1,SUM($F$2:F266),"")</f>
        <v/>
      </c>
      <c r="H266" s="0" t="n">
        <f aca="false">IF(AND(食数記録!$A266=プレビュー!$C$3,食数記録!$B266="朝",食数記録!$F266="女性入所",食数記録!$D266="欠食"),1,0)</f>
        <v>0</v>
      </c>
      <c r="I266" s="0" t="str">
        <f aca="false">IF(H266=1,SUM($H$2:H266),"")</f>
        <v/>
      </c>
      <c r="J266" s="0" t="n">
        <f aca="false">IF(AND(食数記録!$A266=プレビュー!$C$3,食数記録!$B266="昼",食数記録!$F266="女性入所",食数記録!$D266="欠食"),1,0)</f>
        <v>0</v>
      </c>
      <c r="K266" s="0" t="str">
        <f aca="false">IF(J266=1,SUM($J$2:J266),"")</f>
        <v/>
      </c>
      <c r="L266" s="0" t="n">
        <f aca="false">IF(AND(食数記録!$A266=プレビュー!$C$3,食数記録!$B266="夕",食数記録!$F266="女性入所",食数記録!$D266="欠食"),1,0)</f>
        <v>0</v>
      </c>
      <c r="M266" s="0" t="str">
        <f aca="false">IF(L266=1,SUM($L$2:L266),"")</f>
        <v/>
      </c>
      <c r="N266" s="0" t="n">
        <f aca="false">IF(AND(食数記録!$A266=プレビュー!$C$3,食数記録!$B266="朝",食数記録!$F266="男性GH",食数記録!$D266="臨時喫食"),1,0)</f>
        <v>0</v>
      </c>
      <c r="O266" s="0" t="str">
        <f aca="false">IF(N266=1,SUM($N$2:N266),"")</f>
        <v/>
      </c>
      <c r="P266" s="0" t="n">
        <f aca="false">IF(AND(食数記録!$A266=プレビュー!$C$3,食数記録!$B266="昼",食数記録!$F266="男性GH",食数記録!$D266="臨時喫食"),1,0)</f>
        <v>0</v>
      </c>
      <c r="Q266" s="0" t="str">
        <f aca="false">IF(P266=1,SUM($P$2:P266),"")</f>
        <v/>
      </c>
      <c r="R266" s="0" t="n">
        <f aca="false">IF(AND(食数記録!$A266=プレビュー!$C$3,食数記録!$B266="夕",食数記録!$F266="男性GH",食数記録!$D266="臨時喫食"),1,0)</f>
        <v>0</v>
      </c>
      <c r="S266" s="0" t="str">
        <f aca="false">IF(R266=1,SUM($R$2:R266),"")</f>
        <v/>
      </c>
      <c r="T266" s="0" t="n">
        <f aca="false">IF(AND(食数記録!$A266=プレビュー!$C$3,食数記録!$B266="朝",食数記録!$F266="女性GH",食数記録!$D266="臨時喫食"),1,0)</f>
        <v>0</v>
      </c>
      <c r="U266" s="0" t="str">
        <f aca="false">IF(T266=1,SUM($T$2:T266),"")</f>
        <v/>
      </c>
      <c r="V266" s="0" t="n">
        <f aca="false">IF(AND(食数記録!$A266=プレビュー!$C$3,食数記録!$B266="昼",食数記録!$F266="女性GH",食数記録!$D266="臨時喫食"),1,0)</f>
        <v>0</v>
      </c>
      <c r="W266" s="0" t="str">
        <f aca="false">IF(V266=1,SUM($V$2:V266),"")</f>
        <v/>
      </c>
      <c r="X266" s="0" t="n">
        <f aca="false">IF(AND(食数記録!$A266=プレビュー!$C$3,食数記録!$B266="夕",食数記録!$F266="女性GH",食数記録!$D266="臨時喫食"),1,0)</f>
        <v>0</v>
      </c>
      <c r="Y266" s="0" t="str">
        <f aca="false">IF(X266=1,SUM($X$2:X266),"")</f>
        <v/>
      </c>
    </row>
    <row r="267" customFormat="false" ht="15" hidden="false" customHeight="false" outlineLevel="0" collapsed="false">
      <c r="B267" s="0" t="n">
        <f aca="false">IF(AND(食数記録!$A267=プレビュー!$C$3,食数記録!$B267="朝",食数記録!$F267="男性入所",食数記録!$D267="欠食"),1,0)</f>
        <v>0</v>
      </c>
      <c r="C267" s="0" t="str">
        <f aca="false">IF(B267=1,SUM($B$2:B267),"")</f>
        <v/>
      </c>
      <c r="D267" s="0" t="n">
        <f aca="false">IF(AND(食数記録!$A267=プレビュー!$C$3,食数記録!$B267="昼",食数記録!$F267="男性入所",食数記録!$D267="欠食"),1,0)</f>
        <v>0</v>
      </c>
      <c r="E267" s="0" t="str">
        <f aca="false">IF(D267=1,SUM($D$2:D267),"")</f>
        <v/>
      </c>
      <c r="F267" s="0" t="n">
        <f aca="false">IF(AND(食数記録!$A267=プレビュー!$C$3,食数記録!$B267="夕",食数記録!$F267="男性入所",食数記録!$D267="欠食"),1,0)</f>
        <v>0</v>
      </c>
      <c r="G267" s="0" t="str">
        <f aca="false">IF(F267=1,SUM($F$2:F267),"")</f>
        <v/>
      </c>
      <c r="H267" s="0" t="n">
        <f aca="false">IF(AND(食数記録!$A267=プレビュー!$C$3,食数記録!$B267="朝",食数記録!$F267="女性入所",食数記録!$D267="欠食"),1,0)</f>
        <v>0</v>
      </c>
      <c r="I267" s="0" t="str">
        <f aca="false">IF(H267=1,SUM($H$2:H267),"")</f>
        <v/>
      </c>
      <c r="J267" s="0" t="n">
        <f aca="false">IF(AND(食数記録!$A267=プレビュー!$C$3,食数記録!$B267="昼",食数記録!$F267="女性入所",食数記録!$D267="欠食"),1,0)</f>
        <v>0</v>
      </c>
      <c r="K267" s="0" t="str">
        <f aca="false">IF(J267=1,SUM($J$2:J267),"")</f>
        <v/>
      </c>
      <c r="L267" s="0" t="n">
        <f aca="false">IF(AND(食数記録!$A267=プレビュー!$C$3,食数記録!$B267="夕",食数記録!$F267="女性入所",食数記録!$D267="欠食"),1,0)</f>
        <v>0</v>
      </c>
      <c r="M267" s="0" t="str">
        <f aca="false">IF(L267=1,SUM($L$2:L267),"")</f>
        <v/>
      </c>
      <c r="N267" s="0" t="n">
        <f aca="false">IF(AND(食数記録!$A267=プレビュー!$C$3,食数記録!$B267="朝",食数記録!$F267="男性GH",食数記録!$D267="臨時喫食"),1,0)</f>
        <v>0</v>
      </c>
      <c r="O267" s="0" t="str">
        <f aca="false">IF(N267=1,SUM($N$2:N267),"")</f>
        <v/>
      </c>
      <c r="P267" s="0" t="n">
        <f aca="false">IF(AND(食数記録!$A267=プレビュー!$C$3,食数記録!$B267="昼",食数記録!$F267="男性GH",食数記録!$D267="臨時喫食"),1,0)</f>
        <v>0</v>
      </c>
      <c r="Q267" s="0" t="str">
        <f aca="false">IF(P267=1,SUM($P$2:P267),"")</f>
        <v/>
      </c>
      <c r="R267" s="0" t="n">
        <f aca="false">IF(AND(食数記録!$A267=プレビュー!$C$3,食数記録!$B267="夕",食数記録!$F267="男性GH",食数記録!$D267="臨時喫食"),1,0)</f>
        <v>0</v>
      </c>
      <c r="S267" s="0" t="str">
        <f aca="false">IF(R267=1,SUM($R$2:R267),"")</f>
        <v/>
      </c>
      <c r="T267" s="0" t="n">
        <f aca="false">IF(AND(食数記録!$A267=プレビュー!$C$3,食数記録!$B267="朝",食数記録!$F267="女性GH",食数記録!$D267="臨時喫食"),1,0)</f>
        <v>0</v>
      </c>
      <c r="U267" s="0" t="str">
        <f aca="false">IF(T267=1,SUM($T$2:T267),"")</f>
        <v/>
      </c>
      <c r="V267" s="0" t="n">
        <f aca="false">IF(AND(食数記録!$A267=プレビュー!$C$3,食数記録!$B267="昼",食数記録!$F267="女性GH",食数記録!$D267="臨時喫食"),1,0)</f>
        <v>0</v>
      </c>
      <c r="W267" s="0" t="str">
        <f aca="false">IF(V267=1,SUM($V$2:V267),"")</f>
        <v/>
      </c>
      <c r="X267" s="0" t="n">
        <f aca="false">IF(AND(食数記録!$A267=プレビュー!$C$3,食数記録!$B267="夕",食数記録!$F267="女性GH",食数記録!$D267="臨時喫食"),1,0)</f>
        <v>0</v>
      </c>
      <c r="Y267" s="0" t="str">
        <f aca="false">IF(X267=1,SUM($X$2:X267),"")</f>
        <v/>
      </c>
    </row>
    <row r="268" customFormat="false" ht="15" hidden="false" customHeight="false" outlineLevel="0" collapsed="false">
      <c r="B268" s="0" t="n">
        <f aca="false">IF(AND(食数記録!$A268=プレビュー!$C$3,食数記録!$B268="朝",食数記録!$F268="男性入所",食数記録!$D268="欠食"),1,0)</f>
        <v>0</v>
      </c>
      <c r="C268" s="0" t="str">
        <f aca="false">IF(B268=1,SUM($B$2:B268),"")</f>
        <v/>
      </c>
      <c r="D268" s="0" t="n">
        <f aca="false">IF(AND(食数記録!$A268=プレビュー!$C$3,食数記録!$B268="昼",食数記録!$F268="男性入所",食数記録!$D268="欠食"),1,0)</f>
        <v>0</v>
      </c>
      <c r="E268" s="0" t="str">
        <f aca="false">IF(D268=1,SUM($D$2:D268),"")</f>
        <v/>
      </c>
      <c r="F268" s="0" t="n">
        <f aca="false">IF(AND(食数記録!$A268=プレビュー!$C$3,食数記録!$B268="夕",食数記録!$F268="男性入所",食数記録!$D268="欠食"),1,0)</f>
        <v>0</v>
      </c>
      <c r="G268" s="0" t="str">
        <f aca="false">IF(F268=1,SUM($F$2:F268),"")</f>
        <v/>
      </c>
      <c r="H268" s="0" t="n">
        <f aca="false">IF(AND(食数記録!$A268=プレビュー!$C$3,食数記録!$B268="朝",食数記録!$F268="女性入所",食数記録!$D268="欠食"),1,0)</f>
        <v>0</v>
      </c>
      <c r="I268" s="0" t="str">
        <f aca="false">IF(H268=1,SUM($H$2:H268),"")</f>
        <v/>
      </c>
      <c r="J268" s="0" t="n">
        <f aca="false">IF(AND(食数記録!$A268=プレビュー!$C$3,食数記録!$B268="昼",食数記録!$F268="女性入所",食数記録!$D268="欠食"),1,0)</f>
        <v>0</v>
      </c>
      <c r="K268" s="0" t="str">
        <f aca="false">IF(J268=1,SUM($J$2:J268),"")</f>
        <v/>
      </c>
      <c r="L268" s="0" t="n">
        <f aca="false">IF(AND(食数記録!$A268=プレビュー!$C$3,食数記録!$B268="夕",食数記録!$F268="女性入所",食数記録!$D268="欠食"),1,0)</f>
        <v>0</v>
      </c>
      <c r="M268" s="0" t="str">
        <f aca="false">IF(L268=1,SUM($L$2:L268),"")</f>
        <v/>
      </c>
      <c r="N268" s="0" t="n">
        <f aca="false">IF(AND(食数記録!$A268=プレビュー!$C$3,食数記録!$B268="朝",食数記録!$F268="男性GH",食数記録!$D268="臨時喫食"),1,0)</f>
        <v>0</v>
      </c>
      <c r="O268" s="0" t="str">
        <f aca="false">IF(N268=1,SUM($N$2:N268),"")</f>
        <v/>
      </c>
      <c r="P268" s="0" t="n">
        <f aca="false">IF(AND(食数記録!$A268=プレビュー!$C$3,食数記録!$B268="昼",食数記録!$F268="男性GH",食数記録!$D268="臨時喫食"),1,0)</f>
        <v>0</v>
      </c>
      <c r="Q268" s="0" t="str">
        <f aca="false">IF(P268=1,SUM($P$2:P268),"")</f>
        <v/>
      </c>
      <c r="R268" s="0" t="n">
        <f aca="false">IF(AND(食数記録!$A268=プレビュー!$C$3,食数記録!$B268="夕",食数記録!$F268="男性GH",食数記録!$D268="臨時喫食"),1,0)</f>
        <v>0</v>
      </c>
      <c r="S268" s="0" t="str">
        <f aca="false">IF(R268=1,SUM($R$2:R268),"")</f>
        <v/>
      </c>
      <c r="T268" s="0" t="n">
        <f aca="false">IF(AND(食数記録!$A268=プレビュー!$C$3,食数記録!$B268="朝",食数記録!$F268="女性GH",食数記録!$D268="臨時喫食"),1,0)</f>
        <v>0</v>
      </c>
      <c r="U268" s="0" t="str">
        <f aca="false">IF(T268=1,SUM($T$2:T268),"")</f>
        <v/>
      </c>
      <c r="V268" s="0" t="n">
        <f aca="false">IF(AND(食数記録!$A268=プレビュー!$C$3,食数記録!$B268="昼",食数記録!$F268="女性GH",食数記録!$D268="臨時喫食"),1,0)</f>
        <v>0</v>
      </c>
      <c r="W268" s="0" t="str">
        <f aca="false">IF(V268=1,SUM($V$2:V268),"")</f>
        <v/>
      </c>
      <c r="X268" s="0" t="n">
        <f aca="false">IF(AND(食数記録!$A268=プレビュー!$C$3,食数記録!$B268="夕",食数記録!$F268="女性GH",食数記録!$D268="臨時喫食"),1,0)</f>
        <v>0</v>
      </c>
      <c r="Y268" s="0" t="str">
        <f aca="false">IF(X268=1,SUM($X$2:X268),"")</f>
        <v/>
      </c>
    </row>
    <row r="269" customFormat="false" ht="15" hidden="false" customHeight="false" outlineLevel="0" collapsed="false">
      <c r="B269" s="0" t="n">
        <f aca="false">IF(AND(食数記録!$A269=プレビュー!$C$3,食数記録!$B269="朝",食数記録!$F269="男性入所",食数記録!$D269="欠食"),1,0)</f>
        <v>0</v>
      </c>
      <c r="C269" s="0" t="str">
        <f aca="false">IF(B269=1,SUM($B$2:B269),"")</f>
        <v/>
      </c>
      <c r="D269" s="0" t="n">
        <f aca="false">IF(AND(食数記録!$A269=プレビュー!$C$3,食数記録!$B269="昼",食数記録!$F269="男性入所",食数記録!$D269="欠食"),1,0)</f>
        <v>0</v>
      </c>
      <c r="E269" s="0" t="str">
        <f aca="false">IF(D269=1,SUM($D$2:D269),"")</f>
        <v/>
      </c>
      <c r="F269" s="0" t="n">
        <f aca="false">IF(AND(食数記録!$A269=プレビュー!$C$3,食数記録!$B269="夕",食数記録!$F269="男性入所",食数記録!$D269="欠食"),1,0)</f>
        <v>0</v>
      </c>
      <c r="G269" s="0" t="str">
        <f aca="false">IF(F269=1,SUM($F$2:F269),"")</f>
        <v/>
      </c>
      <c r="H269" s="0" t="n">
        <f aca="false">IF(AND(食数記録!$A269=プレビュー!$C$3,食数記録!$B269="朝",食数記録!$F269="女性入所",食数記録!$D269="欠食"),1,0)</f>
        <v>0</v>
      </c>
      <c r="I269" s="0" t="str">
        <f aca="false">IF(H269=1,SUM($H$2:H269),"")</f>
        <v/>
      </c>
      <c r="J269" s="0" t="n">
        <f aca="false">IF(AND(食数記録!$A269=プレビュー!$C$3,食数記録!$B269="昼",食数記録!$F269="女性入所",食数記録!$D269="欠食"),1,0)</f>
        <v>0</v>
      </c>
      <c r="K269" s="0" t="str">
        <f aca="false">IF(J269=1,SUM($J$2:J269),"")</f>
        <v/>
      </c>
      <c r="L269" s="0" t="n">
        <f aca="false">IF(AND(食数記録!$A269=プレビュー!$C$3,食数記録!$B269="夕",食数記録!$F269="女性入所",食数記録!$D269="欠食"),1,0)</f>
        <v>0</v>
      </c>
      <c r="M269" s="0" t="str">
        <f aca="false">IF(L269=1,SUM($L$2:L269),"")</f>
        <v/>
      </c>
      <c r="N269" s="0" t="n">
        <f aca="false">IF(AND(食数記録!$A269=プレビュー!$C$3,食数記録!$B269="朝",食数記録!$F269="男性GH",食数記録!$D269="臨時喫食"),1,0)</f>
        <v>0</v>
      </c>
      <c r="O269" s="0" t="str">
        <f aca="false">IF(N269=1,SUM($N$2:N269),"")</f>
        <v/>
      </c>
      <c r="P269" s="0" t="n">
        <f aca="false">IF(AND(食数記録!$A269=プレビュー!$C$3,食数記録!$B269="昼",食数記録!$F269="男性GH",食数記録!$D269="臨時喫食"),1,0)</f>
        <v>0</v>
      </c>
      <c r="Q269" s="0" t="str">
        <f aca="false">IF(P269=1,SUM($P$2:P269),"")</f>
        <v/>
      </c>
      <c r="R269" s="0" t="n">
        <f aca="false">IF(AND(食数記録!$A269=プレビュー!$C$3,食数記録!$B269="夕",食数記録!$F269="男性GH",食数記録!$D269="臨時喫食"),1,0)</f>
        <v>0</v>
      </c>
      <c r="S269" s="0" t="str">
        <f aca="false">IF(R269=1,SUM($R$2:R269),"")</f>
        <v/>
      </c>
      <c r="T269" s="0" t="n">
        <f aca="false">IF(AND(食数記録!$A269=プレビュー!$C$3,食数記録!$B269="朝",食数記録!$F269="女性GH",食数記録!$D269="臨時喫食"),1,0)</f>
        <v>0</v>
      </c>
      <c r="U269" s="0" t="str">
        <f aca="false">IF(T269=1,SUM($T$2:T269),"")</f>
        <v/>
      </c>
      <c r="V269" s="0" t="n">
        <f aca="false">IF(AND(食数記録!$A269=プレビュー!$C$3,食数記録!$B269="昼",食数記録!$F269="女性GH",食数記録!$D269="臨時喫食"),1,0)</f>
        <v>0</v>
      </c>
      <c r="W269" s="0" t="str">
        <f aca="false">IF(V269=1,SUM($V$2:V269),"")</f>
        <v/>
      </c>
      <c r="X269" s="0" t="n">
        <f aca="false">IF(AND(食数記録!$A269=プレビュー!$C$3,食数記録!$B269="夕",食数記録!$F269="女性GH",食数記録!$D269="臨時喫食"),1,0)</f>
        <v>0</v>
      </c>
      <c r="Y269" s="0" t="str">
        <f aca="false">IF(X269=1,SUM($X$2:X269),"")</f>
        <v/>
      </c>
    </row>
    <row r="270" customFormat="false" ht="15" hidden="false" customHeight="false" outlineLevel="0" collapsed="false">
      <c r="B270" s="0" t="n">
        <f aca="false">IF(AND(食数記録!$A270=プレビュー!$C$3,食数記録!$B270="朝",食数記録!$F270="男性入所",食数記録!$D270="欠食"),1,0)</f>
        <v>0</v>
      </c>
      <c r="C270" s="0" t="str">
        <f aca="false">IF(B270=1,SUM($B$2:B270),"")</f>
        <v/>
      </c>
      <c r="D270" s="0" t="n">
        <f aca="false">IF(AND(食数記録!$A270=プレビュー!$C$3,食数記録!$B270="昼",食数記録!$F270="男性入所",食数記録!$D270="欠食"),1,0)</f>
        <v>0</v>
      </c>
      <c r="E270" s="0" t="str">
        <f aca="false">IF(D270=1,SUM($D$2:D270),"")</f>
        <v/>
      </c>
      <c r="F270" s="0" t="n">
        <f aca="false">IF(AND(食数記録!$A270=プレビュー!$C$3,食数記録!$B270="夕",食数記録!$F270="男性入所",食数記録!$D270="欠食"),1,0)</f>
        <v>0</v>
      </c>
      <c r="G270" s="0" t="str">
        <f aca="false">IF(F270=1,SUM($F$2:F270),"")</f>
        <v/>
      </c>
      <c r="H270" s="0" t="n">
        <f aca="false">IF(AND(食数記録!$A270=プレビュー!$C$3,食数記録!$B270="朝",食数記録!$F270="女性入所",食数記録!$D270="欠食"),1,0)</f>
        <v>0</v>
      </c>
      <c r="I270" s="0" t="str">
        <f aca="false">IF(H270=1,SUM($H$2:H270),"")</f>
        <v/>
      </c>
      <c r="J270" s="0" t="n">
        <f aca="false">IF(AND(食数記録!$A270=プレビュー!$C$3,食数記録!$B270="昼",食数記録!$F270="女性入所",食数記録!$D270="欠食"),1,0)</f>
        <v>0</v>
      </c>
      <c r="K270" s="0" t="str">
        <f aca="false">IF(J270=1,SUM($J$2:J270),"")</f>
        <v/>
      </c>
      <c r="L270" s="0" t="n">
        <f aca="false">IF(AND(食数記録!$A270=プレビュー!$C$3,食数記録!$B270="夕",食数記録!$F270="女性入所",食数記録!$D270="欠食"),1,0)</f>
        <v>0</v>
      </c>
      <c r="M270" s="0" t="str">
        <f aca="false">IF(L270=1,SUM($L$2:L270),"")</f>
        <v/>
      </c>
      <c r="N270" s="0" t="n">
        <f aca="false">IF(AND(食数記録!$A270=プレビュー!$C$3,食数記録!$B270="朝",食数記録!$F270="男性GH",食数記録!$D270="臨時喫食"),1,0)</f>
        <v>0</v>
      </c>
      <c r="O270" s="0" t="str">
        <f aca="false">IF(N270=1,SUM($N$2:N270),"")</f>
        <v/>
      </c>
      <c r="P270" s="0" t="n">
        <f aca="false">IF(AND(食数記録!$A270=プレビュー!$C$3,食数記録!$B270="昼",食数記録!$F270="男性GH",食数記録!$D270="臨時喫食"),1,0)</f>
        <v>0</v>
      </c>
      <c r="Q270" s="0" t="str">
        <f aca="false">IF(P270=1,SUM($P$2:P270),"")</f>
        <v/>
      </c>
      <c r="R270" s="0" t="n">
        <f aca="false">IF(AND(食数記録!$A270=プレビュー!$C$3,食数記録!$B270="夕",食数記録!$F270="男性GH",食数記録!$D270="臨時喫食"),1,0)</f>
        <v>0</v>
      </c>
      <c r="S270" s="0" t="str">
        <f aca="false">IF(R270=1,SUM($R$2:R270),"")</f>
        <v/>
      </c>
      <c r="T270" s="0" t="n">
        <f aca="false">IF(AND(食数記録!$A270=プレビュー!$C$3,食数記録!$B270="朝",食数記録!$F270="女性GH",食数記録!$D270="臨時喫食"),1,0)</f>
        <v>0</v>
      </c>
      <c r="U270" s="0" t="str">
        <f aca="false">IF(T270=1,SUM($T$2:T270),"")</f>
        <v/>
      </c>
      <c r="V270" s="0" t="n">
        <f aca="false">IF(AND(食数記録!$A270=プレビュー!$C$3,食数記録!$B270="昼",食数記録!$F270="女性GH",食数記録!$D270="臨時喫食"),1,0)</f>
        <v>0</v>
      </c>
      <c r="W270" s="0" t="str">
        <f aca="false">IF(V270=1,SUM($V$2:V270),"")</f>
        <v/>
      </c>
      <c r="X270" s="0" t="n">
        <f aca="false">IF(AND(食数記録!$A270=プレビュー!$C$3,食数記録!$B270="夕",食数記録!$F270="女性GH",食数記録!$D270="臨時喫食"),1,0)</f>
        <v>0</v>
      </c>
      <c r="Y270" s="0" t="str">
        <f aca="false">IF(X270=1,SUM($X$2:X270),"")</f>
        <v/>
      </c>
    </row>
    <row r="271" customFormat="false" ht="15" hidden="false" customHeight="false" outlineLevel="0" collapsed="false">
      <c r="B271" s="0" t="n">
        <f aca="false">IF(AND(食数記録!$A271=プレビュー!$C$3,食数記録!$B271="朝",食数記録!$F271="男性入所",食数記録!$D271="欠食"),1,0)</f>
        <v>0</v>
      </c>
      <c r="C271" s="0" t="str">
        <f aca="false">IF(B271=1,SUM($B$2:B271),"")</f>
        <v/>
      </c>
      <c r="D271" s="0" t="n">
        <f aca="false">IF(AND(食数記録!$A271=プレビュー!$C$3,食数記録!$B271="昼",食数記録!$F271="男性入所",食数記録!$D271="欠食"),1,0)</f>
        <v>0</v>
      </c>
      <c r="E271" s="0" t="str">
        <f aca="false">IF(D271=1,SUM($D$2:D271),"")</f>
        <v/>
      </c>
      <c r="F271" s="0" t="n">
        <f aca="false">IF(AND(食数記録!$A271=プレビュー!$C$3,食数記録!$B271="夕",食数記録!$F271="男性入所",食数記録!$D271="欠食"),1,0)</f>
        <v>0</v>
      </c>
      <c r="G271" s="0" t="str">
        <f aca="false">IF(F271=1,SUM($F$2:F271),"")</f>
        <v/>
      </c>
      <c r="H271" s="0" t="n">
        <f aca="false">IF(AND(食数記録!$A271=プレビュー!$C$3,食数記録!$B271="朝",食数記録!$F271="女性入所",食数記録!$D271="欠食"),1,0)</f>
        <v>0</v>
      </c>
      <c r="I271" s="0" t="str">
        <f aca="false">IF(H271=1,SUM($H$2:H271),"")</f>
        <v/>
      </c>
      <c r="J271" s="0" t="n">
        <f aca="false">IF(AND(食数記録!$A271=プレビュー!$C$3,食数記録!$B271="昼",食数記録!$F271="女性入所",食数記録!$D271="欠食"),1,0)</f>
        <v>0</v>
      </c>
      <c r="K271" s="0" t="str">
        <f aca="false">IF(J271=1,SUM($J$2:J271),"")</f>
        <v/>
      </c>
      <c r="L271" s="0" t="n">
        <f aca="false">IF(AND(食数記録!$A271=プレビュー!$C$3,食数記録!$B271="夕",食数記録!$F271="女性入所",食数記録!$D271="欠食"),1,0)</f>
        <v>0</v>
      </c>
      <c r="M271" s="0" t="str">
        <f aca="false">IF(L271=1,SUM($L$2:L271),"")</f>
        <v/>
      </c>
      <c r="N271" s="0" t="n">
        <f aca="false">IF(AND(食数記録!$A271=プレビュー!$C$3,食数記録!$B271="朝",食数記録!$F271="男性GH",食数記録!$D271="臨時喫食"),1,0)</f>
        <v>0</v>
      </c>
      <c r="O271" s="0" t="str">
        <f aca="false">IF(N271=1,SUM($N$2:N271),"")</f>
        <v/>
      </c>
      <c r="P271" s="0" t="n">
        <f aca="false">IF(AND(食数記録!$A271=プレビュー!$C$3,食数記録!$B271="昼",食数記録!$F271="男性GH",食数記録!$D271="臨時喫食"),1,0)</f>
        <v>0</v>
      </c>
      <c r="Q271" s="0" t="str">
        <f aca="false">IF(P271=1,SUM($P$2:P271),"")</f>
        <v/>
      </c>
      <c r="R271" s="0" t="n">
        <f aca="false">IF(AND(食数記録!$A271=プレビュー!$C$3,食数記録!$B271="夕",食数記録!$F271="男性GH",食数記録!$D271="臨時喫食"),1,0)</f>
        <v>0</v>
      </c>
      <c r="S271" s="0" t="str">
        <f aca="false">IF(R271=1,SUM($R$2:R271),"")</f>
        <v/>
      </c>
      <c r="T271" s="0" t="n">
        <f aca="false">IF(AND(食数記録!$A271=プレビュー!$C$3,食数記録!$B271="朝",食数記録!$F271="女性GH",食数記録!$D271="臨時喫食"),1,0)</f>
        <v>0</v>
      </c>
      <c r="U271" s="0" t="str">
        <f aca="false">IF(T271=1,SUM($T$2:T271),"")</f>
        <v/>
      </c>
      <c r="V271" s="0" t="n">
        <f aca="false">IF(AND(食数記録!$A271=プレビュー!$C$3,食数記録!$B271="昼",食数記録!$F271="女性GH",食数記録!$D271="臨時喫食"),1,0)</f>
        <v>0</v>
      </c>
      <c r="W271" s="0" t="str">
        <f aca="false">IF(V271=1,SUM($V$2:V271),"")</f>
        <v/>
      </c>
      <c r="X271" s="0" t="n">
        <f aca="false">IF(AND(食数記録!$A271=プレビュー!$C$3,食数記録!$B271="夕",食数記録!$F271="女性GH",食数記録!$D271="臨時喫食"),1,0)</f>
        <v>0</v>
      </c>
      <c r="Y271" s="0" t="str">
        <f aca="false">IF(X271=1,SUM($X$2:X271),"")</f>
        <v/>
      </c>
    </row>
    <row r="272" customFormat="false" ht="15" hidden="false" customHeight="false" outlineLevel="0" collapsed="false">
      <c r="B272" s="0" t="n">
        <f aca="false">IF(AND(食数記録!$A272=プレビュー!$C$3,食数記録!$B272="朝",食数記録!$F272="男性入所",食数記録!$D272="欠食"),1,0)</f>
        <v>0</v>
      </c>
      <c r="C272" s="0" t="str">
        <f aca="false">IF(B272=1,SUM($B$2:B272),"")</f>
        <v/>
      </c>
      <c r="D272" s="0" t="n">
        <f aca="false">IF(AND(食数記録!$A272=プレビュー!$C$3,食数記録!$B272="昼",食数記録!$F272="男性入所",食数記録!$D272="欠食"),1,0)</f>
        <v>0</v>
      </c>
      <c r="E272" s="0" t="str">
        <f aca="false">IF(D272=1,SUM($D$2:D272),"")</f>
        <v/>
      </c>
      <c r="F272" s="0" t="n">
        <f aca="false">IF(AND(食数記録!$A272=プレビュー!$C$3,食数記録!$B272="夕",食数記録!$F272="男性入所",食数記録!$D272="欠食"),1,0)</f>
        <v>0</v>
      </c>
      <c r="G272" s="0" t="str">
        <f aca="false">IF(F272=1,SUM($F$2:F272),"")</f>
        <v/>
      </c>
      <c r="H272" s="0" t="n">
        <f aca="false">IF(AND(食数記録!$A272=プレビュー!$C$3,食数記録!$B272="朝",食数記録!$F272="女性入所",食数記録!$D272="欠食"),1,0)</f>
        <v>0</v>
      </c>
      <c r="I272" s="0" t="str">
        <f aca="false">IF(H272=1,SUM($H$2:H272),"")</f>
        <v/>
      </c>
      <c r="J272" s="0" t="n">
        <f aca="false">IF(AND(食数記録!$A272=プレビュー!$C$3,食数記録!$B272="昼",食数記録!$F272="女性入所",食数記録!$D272="欠食"),1,0)</f>
        <v>0</v>
      </c>
      <c r="K272" s="0" t="str">
        <f aca="false">IF(J272=1,SUM($J$2:J272),"")</f>
        <v/>
      </c>
      <c r="L272" s="0" t="n">
        <f aca="false">IF(AND(食数記録!$A272=プレビュー!$C$3,食数記録!$B272="夕",食数記録!$F272="女性入所",食数記録!$D272="欠食"),1,0)</f>
        <v>0</v>
      </c>
      <c r="M272" s="0" t="str">
        <f aca="false">IF(L272=1,SUM($L$2:L272),"")</f>
        <v/>
      </c>
      <c r="N272" s="0" t="n">
        <f aca="false">IF(AND(食数記録!$A272=プレビュー!$C$3,食数記録!$B272="朝",食数記録!$F272="男性GH",食数記録!$D272="臨時喫食"),1,0)</f>
        <v>0</v>
      </c>
      <c r="O272" s="0" t="str">
        <f aca="false">IF(N272=1,SUM($N$2:N272),"")</f>
        <v/>
      </c>
      <c r="P272" s="0" t="n">
        <f aca="false">IF(AND(食数記録!$A272=プレビュー!$C$3,食数記録!$B272="昼",食数記録!$F272="男性GH",食数記録!$D272="臨時喫食"),1,0)</f>
        <v>0</v>
      </c>
      <c r="Q272" s="0" t="str">
        <f aca="false">IF(P272=1,SUM($P$2:P272),"")</f>
        <v/>
      </c>
      <c r="R272" s="0" t="n">
        <f aca="false">IF(AND(食数記録!$A272=プレビュー!$C$3,食数記録!$B272="夕",食数記録!$F272="男性GH",食数記録!$D272="臨時喫食"),1,0)</f>
        <v>0</v>
      </c>
      <c r="S272" s="0" t="str">
        <f aca="false">IF(R272=1,SUM($R$2:R272),"")</f>
        <v/>
      </c>
      <c r="T272" s="0" t="n">
        <f aca="false">IF(AND(食数記録!$A272=プレビュー!$C$3,食数記録!$B272="朝",食数記録!$F272="女性GH",食数記録!$D272="臨時喫食"),1,0)</f>
        <v>0</v>
      </c>
      <c r="U272" s="0" t="str">
        <f aca="false">IF(T272=1,SUM($T$2:T272),"")</f>
        <v/>
      </c>
      <c r="V272" s="0" t="n">
        <f aca="false">IF(AND(食数記録!$A272=プレビュー!$C$3,食数記録!$B272="昼",食数記録!$F272="女性GH",食数記録!$D272="臨時喫食"),1,0)</f>
        <v>0</v>
      </c>
      <c r="W272" s="0" t="str">
        <f aca="false">IF(V272=1,SUM($V$2:V272),"")</f>
        <v/>
      </c>
      <c r="X272" s="0" t="n">
        <f aca="false">IF(AND(食数記録!$A272=プレビュー!$C$3,食数記録!$B272="夕",食数記録!$F272="女性GH",食数記録!$D272="臨時喫食"),1,0)</f>
        <v>0</v>
      </c>
      <c r="Y272" s="0" t="str">
        <f aca="false">IF(X272=1,SUM($X$2:X272),"")</f>
        <v/>
      </c>
    </row>
    <row r="273" customFormat="false" ht="15" hidden="false" customHeight="false" outlineLevel="0" collapsed="false">
      <c r="B273" s="0" t="n">
        <f aca="false">IF(AND(食数記録!$A273=プレビュー!$C$3,食数記録!$B273="朝",食数記録!$F273="男性入所",食数記録!$D273="欠食"),1,0)</f>
        <v>0</v>
      </c>
      <c r="C273" s="0" t="str">
        <f aca="false">IF(B273=1,SUM($B$2:B273),"")</f>
        <v/>
      </c>
      <c r="D273" s="0" t="n">
        <f aca="false">IF(AND(食数記録!$A273=プレビュー!$C$3,食数記録!$B273="昼",食数記録!$F273="男性入所",食数記録!$D273="欠食"),1,0)</f>
        <v>0</v>
      </c>
      <c r="E273" s="0" t="str">
        <f aca="false">IF(D273=1,SUM($D$2:D273),"")</f>
        <v/>
      </c>
      <c r="F273" s="0" t="n">
        <f aca="false">IF(AND(食数記録!$A273=プレビュー!$C$3,食数記録!$B273="夕",食数記録!$F273="男性入所",食数記録!$D273="欠食"),1,0)</f>
        <v>0</v>
      </c>
      <c r="G273" s="0" t="str">
        <f aca="false">IF(F273=1,SUM($F$2:F273),"")</f>
        <v/>
      </c>
      <c r="H273" s="0" t="n">
        <f aca="false">IF(AND(食数記録!$A273=プレビュー!$C$3,食数記録!$B273="朝",食数記録!$F273="女性入所",食数記録!$D273="欠食"),1,0)</f>
        <v>0</v>
      </c>
      <c r="I273" s="0" t="str">
        <f aca="false">IF(H273=1,SUM($H$2:H273),"")</f>
        <v/>
      </c>
      <c r="J273" s="0" t="n">
        <f aca="false">IF(AND(食数記録!$A273=プレビュー!$C$3,食数記録!$B273="昼",食数記録!$F273="女性入所",食数記録!$D273="欠食"),1,0)</f>
        <v>0</v>
      </c>
      <c r="K273" s="0" t="str">
        <f aca="false">IF(J273=1,SUM($J$2:J273),"")</f>
        <v/>
      </c>
      <c r="L273" s="0" t="n">
        <f aca="false">IF(AND(食数記録!$A273=プレビュー!$C$3,食数記録!$B273="夕",食数記録!$F273="女性入所",食数記録!$D273="欠食"),1,0)</f>
        <v>0</v>
      </c>
      <c r="M273" s="0" t="str">
        <f aca="false">IF(L273=1,SUM($L$2:L273),"")</f>
        <v/>
      </c>
      <c r="N273" s="0" t="n">
        <f aca="false">IF(AND(食数記録!$A273=プレビュー!$C$3,食数記録!$B273="朝",食数記録!$F273="男性GH",食数記録!$D273="臨時喫食"),1,0)</f>
        <v>0</v>
      </c>
      <c r="O273" s="0" t="str">
        <f aca="false">IF(N273=1,SUM($N$2:N273),"")</f>
        <v/>
      </c>
      <c r="P273" s="0" t="n">
        <f aca="false">IF(AND(食数記録!$A273=プレビュー!$C$3,食数記録!$B273="昼",食数記録!$F273="男性GH",食数記録!$D273="臨時喫食"),1,0)</f>
        <v>0</v>
      </c>
      <c r="Q273" s="0" t="str">
        <f aca="false">IF(P273=1,SUM($P$2:P273),"")</f>
        <v/>
      </c>
      <c r="R273" s="0" t="n">
        <f aca="false">IF(AND(食数記録!$A273=プレビュー!$C$3,食数記録!$B273="夕",食数記録!$F273="男性GH",食数記録!$D273="臨時喫食"),1,0)</f>
        <v>0</v>
      </c>
      <c r="S273" s="0" t="str">
        <f aca="false">IF(R273=1,SUM($R$2:R273),"")</f>
        <v/>
      </c>
      <c r="T273" s="0" t="n">
        <f aca="false">IF(AND(食数記録!$A273=プレビュー!$C$3,食数記録!$B273="朝",食数記録!$F273="女性GH",食数記録!$D273="臨時喫食"),1,0)</f>
        <v>0</v>
      </c>
      <c r="U273" s="0" t="str">
        <f aca="false">IF(T273=1,SUM($T$2:T273),"")</f>
        <v/>
      </c>
      <c r="V273" s="0" t="n">
        <f aca="false">IF(AND(食数記録!$A273=プレビュー!$C$3,食数記録!$B273="昼",食数記録!$F273="女性GH",食数記録!$D273="臨時喫食"),1,0)</f>
        <v>0</v>
      </c>
      <c r="W273" s="0" t="str">
        <f aca="false">IF(V273=1,SUM($V$2:V273),"")</f>
        <v/>
      </c>
      <c r="X273" s="0" t="n">
        <f aca="false">IF(AND(食数記録!$A273=プレビュー!$C$3,食数記録!$B273="夕",食数記録!$F273="女性GH",食数記録!$D273="臨時喫食"),1,0)</f>
        <v>0</v>
      </c>
      <c r="Y273" s="0" t="str">
        <f aca="false">IF(X273=1,SUM($X$2:X273),"")</f>
        <v/>
      </c>
    </row>
    <row r="274" customFormat="false" ht="15" hidden="false" customHeight="false" outlineLevel="0" collapsed="false">
      <c r="B274" s="0" t="n">
        <f aca="false">IF(AND(食数記録!$A274=プレビュー!$C$3,食数記録!$B274="朝",食数記録!$F274="男性入所",食数記録!$D274="欠食"),1,0)</f>
        <v>0</v>
      </c>
      <c r="C274" s="0" t="str">
        <f aca="false">IF(B274=1,SUM($B$2:B274),"")</f>
        <v/>
      </c>
      <c r="D274" s="0" t="n">
        <f aca="false">IF(AND(食数記録!$A274=プレビュー!$C$3,食数記録!$B274="昼",食数記録!$F274="男性入所",食数記録!$D274="欠食"),1,0)</f>
        <v>0</v>
      </c>
      <c r="E274" s="0" t="str">
        <f aca="false">IF(D274=1,SUM($D$2:D274),"")</f>
        <v/>
      </c>
      <c r="F274" s="0" t="n">
        <f aca="false">IF(AND(食数記録!$A274=プレビュー!$C$3,食数記録!$B274="夕",食数記録!$F274="男性入所",食数記録!$D274="欠食"),1,0)</f>
        <v>0</v>
      </c>
      <c r="G274" s="0" t="str">
        <f aca="false">IF(F274=1,SUM($F$2:F274),"")</f>
        <v/>
      </c>
      <c r="H274" s="0" t="n">
        <f aca="false">IF(AND(食数記録!$A274=プレビュー!$C$3,食数記録!$B274="朝",食数記録!$F274="女性入所",食数記録!$D274="欠食"),1,0)</f>
        <v>0</v>
      </c>
      <c r="I274" s="0" t="str">
        <f aca="false">IF(H274=1,SUM($H$2:H274),"")</f>
        <v/>
      </c>
      <c r="J274" s="0" t="n">
        <f aca="false">IF(AND(食数記録!$A274=プレビュー!$C$3,食数記録!$B274="昼",食数記録!$F274="女性入所",食数記録!$D274="欠食"),1,0)</f>
        <v>0</v>
      </c>
      <c r="K274" s="0" t="str">
        <f aca="false">IF(J274=1,SUM($J$2:J274),"")</f>
        <v/>
      </c>
      <c r="L274" s="0" t="n">
        <f aca="false">IF(AND(食数記録!$A274=プレビュー!$C$3,食数記録!$B274="夕",食数記録!$F274="女性入所",食数記録!$D274="欠食"),1,0)</f>
        <v>0</v>
      </c>
      <c r="M274" s="0" t="str">
        <f aca="false">IF(L274=1,SUM($L$2:L274),"")</f>
        <v/>
      </c>
      <c r="N274" s="0" t="n">
        <f aca="false">IF(AND(食数記録!$A274=プレビュー!$C$3,食数記録!$B274="朝",食数記録!$F274="男性GH",食数記録!$D274="臨時喫食"),1,0)</f>
        <v>0</v>
      </c>
      <c r="O274" s="0" t="str">
        <f aca="false">IF(N274=1,SUM($N$2:N274),"")</f>
        <v/>
      </c>
      <c r="P274" s="0" t="n">
        <f aca="false">IF(AND(食数記録!$A274=プレビュー!$C$3,食数記録!$B274="昼",食数記録!$F274="男性GH",食数記録!$D274="臨時喫食"),1,0)</f>
        <v>0</v>
      </c>
      <c r="Q274" s="0" t="str">
        <f aca="false">IF(P274=1,SUM($P$2:P274),"")</f>
        <v/>
      </c>
      <c r="R274" s="0" t="n">
        <f aca="false">IF(AND(食数記録!$A274=プレビュー!$C$3,食数記録!$B274="夕",食数記録!$F274="男性GH",食数記録!$D274="臨時喫食"),1,0)</f>
        <v>0</v>
      </c>
      <c r="S274" s="0" t="str">
        <f aca="false">IF(R274=1,SUM($R$2:R274),"")</f>
        <v/>
      </c>
      <c r="T274" s="0" t="n">
        <f aca="false">IF(AND(食数記録!$A274=プレビュー!$C$3,食数記録!$B274="朝",食数記録!$F274="女性GH",食数記録!$D274="臨時喫食"),1,0)</f>
        <v>0</v>
      </c>
      <c r="U274" s="0" t="str">
        <f aca="false">IF(T274=1,SUM($T$2:T274),"")</f>
        <v/>
      </c>
      <c r="V274" s="0" t="n">
        <f aca="false">IF(AND(食数記録!$A274=プレビュー!$C$3,食数記録!$B274="昼",食数記録!$F274="女性GH",食数記録!$D274="臨時喫食"),1,0)</f>
        <v>0</v>
      </c>
      <c r="W274" s="0" t="str">
        <f aca="false">IF(V274=1,SUM($V$2:V274),"")</f>
        <v/>
      </c>
      <c r="X274" s="0" t="n">
        <f aca="false">IF(AND(食数記録!$A274=プレビュー!$C$3,食数記録!$B274="夕",食数記録!$F274="女性GH",食数記録!$D274="臨時喫食"),1,0)</f>
        <v>0</v>
      </c>
      <c r="Y274" s="0" t="str">
        <f aca="false">IF(X274=1,SUM($X$2:X274),"")</f>
        <v/>
      </c>
    </row>
    <row r="275" customFormat="false" ht="15" hidden="false" customHeight="false" outlineLevel="0" collapsed="false">
      <c r="B275" s="0" t="n">
        <f aca="false">IF(AND(食数記録!$A275=プレビュー!$C$3,食数記録!$B275="朝",食数記録!$F275="男性入所",食数記録!$D275="欠食"),1,0)</f>
        <v>0</v>
      </c>
      <c r="C275" s="0" t="str">
        <f aca="false">IF(B275=1,SUM($B$2:B275),"")</f>
        <v/>
      </c>
      <c r="D275" s="0" t="n">
        <f aca="false">IF(AND(食数記録!$A275=プレビュー!$C$3,食数記録!$B275="昼",食数記録!$F275="男性入所",食数記録!$D275="欠食"),1,0)</f>
        <v>0</v>
      </c>
      <c r="E275" s="0" t="str">
        <f aca="false">IF(D275=1,SUM($D$2:D275),"")</f>
        <v/>
      </c>
      <c r="F275" s="0" t="n">
        <f aca="false">IF(AND(食数記録!$A275=プレビュー!$C$3,食数記録!$B275="夕",食数記録!$F275="男性入所",食数記録!$D275="欠食"),1,0)</f>
        <v>0</v>
      </c>
      <c r="G275" s="0" t="str">
        <f aca="false">IF(F275=1,SUM($F$2:F275),"")</f>
        <v/>
      </c>
      <c r="H275" s="0" t="n">
        <f aca="false">IF(AND(食数記録!$A275=プレビュー!$C$3,食数記録!$B275="朝",食数記録!$F275="女性入所",食数記録!$D275="欠食"),1,0)</f>
        <v>0</v>
      </c>
      <c r="I275" s="0" t="str">
        <f aca="false">IF(H275=1,SUM($H$2:H275),"")</f>
        <v/>
      </c>
      <c r="J275" s="0" t="n">
        <f aca="false">IF(AND(食数記録!$A275=プレビュー!$C$3,食数記録!$B275="昼",食数記録!$F275="女性入所",食数記録!$D275="欠食"),1,0)</f>
        <v>0</v>
      </c>
      <c r="K275" s="0" t="str">
        <f aca="false">IF(J275=1,SUM($J$2:J275),"")</f>
        <v/>
      </c>
      <c r="L275" s="0" t="n">
        <f aca="false">IF(AND(食数記録!$A275=プレビュー!$C$3,食数記録!$B275="夕",食数記録!$F275="女性入所",食数記録!$D275="欠食"),1,0)</f>
        <v>0</v>
      </c>
      <c r="M275" s="0" t="str">
        <f aca="false">IF(L275=1,SUM($L$2:L275),"")</f>
        <v/>
      </c>
      <c r="N275" s="0" t="n">
        <f aca="false">IF(AND(食数記録!$A275=プレビュー!$C$3,食数記録!$B275="朝",食数記録!$F275="男性GH",食数記録!$D275="臨時喫食"),1,0)</f>
        <v>0</v>
      </c>
      <c r="O275" s="0" t="str">
        <f aca="false">IF(N275=1,SUM($N$2:N275),"")</f>
        <v/>
      </c>
      <c r="P275" s="0" t="n">
        <f aca="false">IF(AND(食数記録!$A275=プレビュー!$C$3,食数記録!$B275="昼",食数記録!$F275="男性GH",食数記録!$D275="臨時喫食"),1,0)</f>
        <v>0</v>
      </c>
      <c r="Q275" s="0" t="str">
        <f aca="false">IF(P275=1,SUM($P$2:P275),"")</f>
        <v/>
      </c>
      <c r="R275" s="0" t="n">
        <f aca="false">IF(AND(食数記録!$A275=プレビュー!$C$3,食数記録!$B275="夕",食数記録!$F275="男性GH",食数記録!$D275="臨時喫食"),1,0)</f>
        <v>0</v>
      </c>
      <c r="S275" s="0" t="str">
        <f aca="false">IF(R275=1,SUM($R$2:R275),"")</f>
        <v/>
      </c>
      <c r="T275" s="0" t="n">
        <f aca="false">IF(AND(食数記録!$A275=プレビュー!$C$3,食数記録!$B275="朝",食数記録!$F275="女性GH",食数記録!$D275="臨時喫食"),1,0)</f>
        <v>0</v>
      </c>
      <c r="U275" s="0" t="str">
        <f aca="false">IF(T275=1,SUM($T$2:T275),"")</f>
        <v/>
      </c>
      <c r="V275" s="0" t="n">
        <f aca="false">IF(AND(食数記録!$A275=プレビュー!$C$3,食数記録!$B275="昼",食数記録!$F275="女性GH",食数記録!$D275="臨時喫食"),1,0)</f>
        <v>0</v>
      </c>
      <c r="W275" s="0" t="str">
        <f aca="false">IF(V275=1,SUM($V$2:V275),"")</f>
        <v/>
      </c>
      <c r="X275" s="0" t="n">
        <f aca="false">IF(AND(食数記録!$A275=プレビュー!$C$3,食数記録!$B275="夕",食数記録!$F275="女性GH",食数記録!$D275="臨時喫食"),1,0)</f>
        <v>0</v>
      </c>
      <c r="Y275" s="0" t="str">
        <f aca="false">IF(X275=1,SUM($X$2:X275),"")</f>
        <v/>
      </c>
    </row>
    <row r="276" customFormat="false" ht="15" hidden="false" customHeight="false" outlineLevel="0" collapsed="false">
      <c r="B276" s="0" t="n">
        <f aca="false">IF(AND(食数記録!$A276=プレビュー!$C$3,食数記録!$B276="朝",食数記録!$F276="男性入所",食数記録!$D276="欠食"),1,0)</f>
        <v>0</v>
      </c>
      <c r="C276" s="0" t="str">
        <f aca="false">IF(B276=1,SUM($B$2:B276),"")</f>
        <v/>
      </c>
      <c r="D276" s="0" t="n">
        <f aca="false">IF(AND(食数記録!$A276=プレビュー!$C$3,食数記録!$B276="昼",食数記録!$F276="男性入所",食数記録!$D276="欠食"),1,0)</f>
        <v>0</v>
      </c>
      <c r="E276" s="0" t="str">
        <f aca="false">IF(D276=1,SUM($D$2:D276),"")</f>
        <v/>
      </c>
      <c r="F276" s="0" t="n">
        <f aca="false">IF(AND(食数記録!$A276=プレビュー!$C$3,食数記録!$B276="夕",食数記録!$F276="男性入所",食数記録!$D276="欠食"),1,0)</f>
        <v>0</v>
      </c>
      <c r="G276" s="0" t="str">
        <f aca="false">IF(F276=1,SUM($F$2:F276),"")</f>
        <v/>
      </c>
      <c r="H276" s="0" t="n">
        <f aca="false">IF(AND(食数記録!$A276=プレビュー!$C$3,食数記録!$B276="朝",食数記録!$F276="女性入所",食数記録!$D276="欠食"),1,0)</f>
        <v>0</v>
      </c>
      <c r="I276" s="0" t="str">
        <f aca="false">IF(H276=1,SUM($H$2:H276),"")</f>
        <v/>
      </c>
      <c r="J276" s="0" t="n">
        <f aca="false">IF(AND(食数記録!$A276=プレビュー!$C$3,食数記録!$B276="昼",食数記録!$F276="女性入所",食数記録!$D276="欠食"),1,0)</f>
        <v>0</v>
      </c>
      <c r="K276" s="0" t="str">
        <f aca="false">IF(J276=1,SUM($J$2:J276),"")</f>
        <v/>
      </c>
      <c r="L276" s="0" t="n">
        <f aca="false">IF(AND(食数記録!$A276=プレビュー!$C$3,食数記録!$B276="夕",食数記録!$F276="女性入所",食数記録!$D276="欠食"),1,0)</f>
        <v>0</v>
      </c>
      <c r="M276" s="0" t="str">
        <f aca="false">IF(L276=1,SUM($L$2:L276),"")</f>
        <v/>
      </c>
      <c r="N276" s="0" t="n">
        <f aca="false">IF(AND(食数記録!$A276=プレビュー!$C$3,食数記録!$B276="朝",食数記録!$F276="男性GH",食数記録!$D276="臨時喫食"),1,0)</f>
        <v>0</v>
      </c>
      <c r="O276" s="0" t="str">
        <f aca="false">IF(N276=1,SUM($N$2:N276),"")</f>
        <v/>
      </c>
      <c r="P276" s="0" t="n">
        <f aca="false">IF(AND(食数記録!$A276=プレビュー!$C$3,食数記録!$B276="昼",食数記録!$F276="男性GH",食数記録!$D276="臨時喫食"),1,0)</f>
        <v>0</v>
      </c>
      <c r="Q276" s="0" t="str">
        <f aca="false">IF(P276=1,SUM($P$2:P276),"")</f>
        <v/>
      </c>
      <c r="R276" s="0" t="n">
        <f aca="false">IF(AND(食数記録!$A276=プレビュー!$C$3,食数記録!$B276="夕",食数記録!$F276="男性GH",食数記録!$D276="臨時喫食"),1,0)</f>
        <v>0</v>
      </c>
      <c r="S276" s="0" t="str">
        <f aca="false">IF(R276=1,SUM($R$2:R276),"")</f>
        <v/>
      </c>
      <c r="T276" s="0" t="n">
        <f aca="false">IF(AND(食数記録!$A276=プレビュー!$C$3,食数記録!$B276="朝",食数記録!$F276="女性GH",食数記録!$D276="臨時喫食"),1,0)</f>
        <v>0</v>
      </c>
      <c r="U276" s="0" t="str">
        <f aca="false">IF(T276=1,SUM($T$2:T276),"")</f>
        <v/>
      </c>
      <c r="V276" s="0" t="n">
        <f aca="false">IF(AND(食数記録!$A276=プレビュー!$C$3,食数記録!$B276="昼",食数記録!$F276="女性GH",食数記録!$D276="臨時喫食"),1,0)</f>
        <v>0</v>
      </c>
      <c r="W276" s="0" t="str">
        <f aca="false">IF(V276=1,SUM($V$2:V276),"")</f>
        <v/>
      </c>
      <c r="X276" s="0" t="n">
        <f aca="false">IF(AND(食数記録!$A276=プレビュー!$C$3,食数記録!$B276="夕",食数記録!$F276="女性GH",食数記録!$D276="臨時喫食"),1,0)</f>
        <v>0</v>
      </c>
      <c r="Y276" s="0" t="str">
        <f aca="false">IF(X276=1,SUM($X$2:X276),"")</f>
        <v/>
      </c>
    </row>
    <row r="277" customFormat="false" ht="15" hidden="false" customHeight="false" outlineLevel="0" collapsed="false">
      <c r="B277" s="0" t="n">
        <f aca="false">IF(AND(食数記録!$A277=プレビュー!$C$3,食数記録!$B277="朝",食数記録!$F277="男性入所",食数記録!$D277="欠食"),1,0)</f>
        <v>0</v>
      </c>
      <c r="C277" s="0" t="str">
        <f aca="false">IF(B277=1,SUM($B$2:B277),"")</f>
        <v/>
      </c>
      <c r="D277" s="0" t="n">
        <f aca="false">IF(AND(食数記録!$A277=プレビュー!$C$3,食数記録!$B277="昼",食数記録!$F277="男性入所",食数記録!$D277="欠食"),1,0)</f>
        <v>0</v>
      </c>
      <c r="E277" s="0" t="str">
        <f aca="false">IF(D277=1,SUM($D$2:D277),"")</f>
        <v/>
      </c>
      <c r="F277" s="0" t="n">
        <f aca="false">IF(AND(食数記録!$A277=プレビュー!$C$3,食数記録!$B277="夕",食数記録!$F277="男性入所",食数記録!$D277="欠食"),1,0)</f>
        <v>0</v>
      </c>
      <c r="G277" s="0" t="str">
        <f aca="false">IF(F277=1,SUM($F$2:F277),"")</f>
        <v/>
      </c>
      <c r="H277" s="0" t="n">
        <f aca="false">IF(AND(食数記録!$A277=プレビュー!$C$3,食数記録!$B277="朝",食数記録!$F277="女性入所",食数記録!$D277="欠食"),1,0)</f>
        <v>0</v>
      </c>
      <c r="I277" s="0" t="str">
        <f aca="false">IF(H277=1,SUM($H$2:H277),"")</f>
        <v/>
      </c>
      <c r="J277" s="0" t="n">
        <f aca="false">IF(AND(食数記録!$A277=プレビュー!$C$3,食数記録!$B277="昼",食数記録!$F277="女性入所",食数記録!$D277="欠食"),1,0)</f>
        <v>0</v>
      </c>
      <c r="K277" s="0" t="str">
        <f aca="false">IF(J277=1,SUM($J$2:J277),"")</f>
        <v/>
      </c>
      <c r="L277" s="0" t="n">
        <f aca="false">IF(AND(食数記録!$A277=プレビュー!$C$3,食数記録!$B277="夕",食数記録!$F277="女性入所",食数記録!$D277="欠食"),1,0)</f>
        <v>0</v>
      </c>
      <c r="M277" s="0" t="str">
        <f aca="false">IF(L277=1,SUM($L$2:L277),"")</f>
        <v/>
      </c>
      <c r="N277" s="0" t="n">
        <f aca="false">IF(AND(食数記録!$A277=プレビュー!$C$3,食数記録!$B277="朝",食数記録!$F277="男性GH",食数記録!$D277="臨時喫食"),1,0)</f>
        <v>0</v>
      </c>
      <c r="O277" s="0" t="str">
        <f aca="false">IF(N277=1,SUM($N$2:N277),"")</f>
        <v/>
      </c>
      <c r="P277" s="0" t="n">
        <f aca="false">IF(AND(食数記録!$A277=プレビュー!$C$3,食数記録!$B277="昼",食数記録!$F277="男性GH",食数記録!$D277="臨時喫食"),1,0)</f>
        <v>0</v>
      </c>
      <c r="Q277" s="0" t="str">
        <f aca="false">IF(P277=1,SUM($P$2:P277),"")</f>
        <v/>
      </c>
      <c r="R277" s="0" t="n">
        <f aca="false">IF(AND(食数記録!$A277=プレビュー!$C$3,食数記録!$B277="夕",食数記録!$F277="男性GH",食数記録!$D277="臨時喫食"),1,0)</f>
        <v>0</v>
      </c>
      <c r="S277" s="0" t="str">
        <f aca="false">IF(R277=1,SUM($R$2:R277),"")</f>
        <v/>
      </c>
      <c r="T277" s="0" t="n">
        <f aca="false">IF(AND(食数記録!$A277=プレビュー!$C$3,食数記録!$B277="朝",食数記録!$F277="女性GH",食数記録!$D277="臨時喫食"),1,0)</f>
        <v>0</v>
      </c>
      <c r="U277" s="0" t="str">
        <f aca="false">IF(T277=1,SUM($T$2:T277),"")</f>
        <v/>
      </c>
      <c r="V277" s="0" t="n">
        <f aca="false">IF(AND(食数記録!$A277=プレビュー!$C$3,食数記録!$B277="昼",食数記録!$F277="女性GH",食数記録!$D277="臨時喫食"),1,0)</f>
        <v>0</v>
      </c>
      <c r="W277" s="0" t="str">
        <f aca="false">IF(V277=1,SUM($V$2:V277),"")</f>
        <v/>
      </c>
      <c r="X277" s="0" t="n">
        <f aca="false">IF(AND(食数記録!$A277=プレビュー!$C$3,食数記録!$B277="夕",食数記録!$F277="女性GH",食数記録!$D277="臨時喫食"),1,0)</f>
        <v>0</v>
      </c>
      <c r="Y277" s="0" t="str">
        <f aca="false">IF(X277=1,SUM($X$2:X277),"")</f>
        <v/>
      </c>
    </row>
    <row r="278" customFormat="false" ht="15" hidden="false" customHeight="false" outlineLevel="0" collapsed="false">
      <c r="B278" s="0" t="n">
        <f aca="false">IF(AND(食数記録!$A278=プレビュー!$C$3,食数記録!$B278="朝",食数記録!$F278="男性入所",食数記録!$D278="欠食"),1,0)</f>
        <v>0</v>
      </c>
      <c r="C278" s="0" t="str">
        <f aca="false">IF(B278=1,SUM($B$2:B278),"")</f>
        <v/>
      </c>
      <c r="D278" s="0" t="n">
        <f aca="false">IF(AND(食数記録!$A278=プレビュー!$C$3,食数記録!$B278="昼",食数記録!$F278="男性入所",食数記録!$D278="欠食"),1,0)</f>
        <v>0</v>
      </c>
      <c r="E278" s="0" t="str">
        <f aca="false">IF(D278=1,SUM($D$2:D278),"")</f>
        <v/>
      </c>
      <c r="F278" s="0" t="n">
        <f aca="false">IF(AND(食数記録!$A278=プレビュー!$C$3,食数記録!$B278="夕",食数記録!$F278="男性入所",食数記録!$D278="欠食"),1,0)</f>
        <v>0</v>
      </c>
      <c r="G278" s="0" t="str">
        <f aca="false">IF(F278=1,SUM($F$2:F278),"")</f>
        <v/>
      </c>
      <c r="H278" s="0" t="n">
        <f aca="false">IF(AND(食数記録!$A278=プレビュー!$C$3,食数記録!$B278="朝",食数記録!$F278="女性入所",食数記録!$D278="欠食"),1,0)</f>
        <v>0</v>
      </c>
      <c r="I278" s="0" t="str">
        <f aca="false">IF(H278=1,SUM($H$2:H278),"")</f>
        <v/>
      </c>
      <c r="J278" s="0" t="n">
        <f aca="false">IF(AND(食数記録!$A278=プレビュー!$C$3,食数記録!$B278="昼",食数記録!$F278="女性入所",食数記録!$D278="欠食"),1,0)</f>
        <v>0</v>
      </c>
      <c r="K278" s="0" t="str">
        <f aca="false">IF(J278=1,SUM($J$2:J278),"")</f>
        <v/>
      </c>
      <c r="L278" s="0" t="n">
        <f aca="false">IF(AND(食数記録!$A278=プレビュー!$C$3,食数記録!$B278="夕",食数記録!$F278="女性入所",食数記録!$D278="欠食"),1,0)</f>
        <v>0</v>
      </c>
      <c r="M278" s="0" t="str">
        <f aca="false">IF(L278=1,SUM($L$2:L278),"")</f>
        <v/>
      </c>
      <c r="N278" s="0" t="n">
        <f aca="false">IF(AND(食数記録!$A278=プレビュー!$C$3,食数記録!$B278="朝",食数記録!$F278="男性GH",食数記録!$D278="臨時喫食"),1,0)</f>
        <v>0</v>
      </c>
      <c r="O278" s="0" t="str">
        <f aca="false">IF(N278=1,SUM($N$2:N278),"")</f>
        <v/>
      </c>
      <c r="P278" s="0" t="n">
        <f aca="false">IF(AND(食数記録!$A278=プレビュー!$C$3,食数記録!$B278="昼",食数記録!$F278="男性GH",食数記録!$D278="臨時喫食"),1,0)</f>
        <v>0</v>
      </c>
      <c r="Q278" s="0" t="str">
        <f aca="false">IF(P278=1,SUM($P$2:P278),"")</f>
        <v/>
      </c>
      <c r="R278" s="0" t="n">
        <f aca="false">IF(AND(食数記録!$A278=プレビュー!$C$3,食数記録!$B278="夕",食数記録!$F278="男性GH",食数記録!$D278="臨時喫食"),1,0)</f>
        <v>0</v>
      </c>
      <c r="S278" s="0" t="str">
        <f aca="false">IF(R278=1,SUM($R$2:R278),"")</f>
        <v/>
      </c>
      <c r="T278" s="0" t="n">
        <f aca="false">IF(AND(食数記録!$A278=プレビュー!$C$3,食数記録!$B278="朝",食数記録!$F278="女性GH",食数記録!$D278="臨時喫食"),1,0)</f>
        <v>0</v>
      </c>
      <c r="U278" s="0" t="str">
        <f aca="false">IF(T278=1,SUM($T$2:T278),"")</f>
        <v/>
      </c>
      <c r="V278" s="0" t="n">
        <f aca="false">IF(AND(食数記録!$A278=プレビュー!$C$3,食数記録!$B278="昼",食数記録!$F278="女性GH",食数記録!$D278="臨時喫食"),1,0)</f>
        <v>0</v>
      </c>
      <c r="W278" s="0" t="str">
        <f aca="false">IF(V278=1,SUM($V$2:V278),"")</f>
        <v/>
      </c>
      <c r="X278" s="0" t="n">
        <f aca="false">IF(AND(食数記録!$A278=プレビュー!$C$3,食数記録!$B278="夕",食数記録!$F278="女性GH",食数記録!$D278="臨時喫食"),1,0)</f>
        <v>0</v>
      </c>
      <c r="Y278" s="0" t="str">
        <f aca="false">IF(X278=1,SUM($X$2:X278),"")</f>
        <v/>
      </c>
    </row>
    <row r="279" customFormat="false" ht="15" hidden="false" customHeight="false" outlineLevel="0" collapsed="false">
      <c r="B279" s="0" t="n">
        <f aca="false">IF(AND(食数記録!$A279=プレビュー!$C$3,食数記録!$B279="朝",食数記録!$F279="男性入所",食数記録!$D279="欠食"),1,0)</f>
        <v>0</v>
      </c>
      <c r="C279" s="0" t="str">
        <f aca="false">IF(B279=1,SUM($B$2:B279),"")</f>
        <v/>
      </c>
      <c r="D279" s="0" t="n">
        <f aca="false">IF(AND(食数記録!$A279=プレビュー!$C$3,食数記録!$B279="昼",食数記録!$F279="男性入所",食数記録!$D279="欠食"),1,0)</f>
        <v>0</v>
      </c>
      <c r="E279" s="0" t="str">
        <f aca="false">IF(D279=1,SUM($D$2:D279),"")</f>
        <v/>
      </c>
      <c r="F279" s="0" t="n">
        <f aca="false">IF(AND(食数記録!$A279=プレビュー!$C$3,食数記録!$B279="夕",食数記録!$F279="男性入所",食数記録!$D279="欠食"),1,0)</f>
        <v>0</v>
      </c>
      <c r="G279" s="0" t="str">
        <f aca="false">IF(F279=1,SUM($F$2:F279),"")</f>
        <v/>
      </c>
      <c r="H279" s="0" t="n">
        <f aca="false">IF(AND(食数記録!$A279=プレビュー!$C$3,食数記録!$B279="朝",食数記録!$F279="女性入所",食数記録!$D279="欠食"),1,0)</f>
        <v>0</v>
      </c>
      <c r="I279" s="0" t="str">
        <f aca="false">IF(H279=1,SUM($H$2:H279),"")</f>
        <v/>
      </c>
      <c r="J279" s="0" t="n">
        <f aca="false">IF(AND(食数記録!$A279=プレビュー!$C$3,食数記録!$B279="昼",食数記録!$F279="女性入所",食数記録!$D279="欠食"),1,0)</f>
        <v>0</v>
      </c>
      <c r="K279" s="0" t="str">
        <f aca="false">IF(J279=1,SUM($J$2:J279),"")</f>
        <v/>
      </c>
      <c r="L279" s="0" t="n">
        <f aca="false">IF(AND(食数記録!$A279=プレビュー!$C$3,食数記録!$B279="夕",食数記録!$F279="女性入所",食数記録!$D279="欠食"),1,0)</f>
        <v>0</v>
      </c>
      <c r="M279" s="0" t="str">
        <f aca="false">IF(L279=1,SUM($L$2:L279),"")</f>
        <v/>
      </c>
      <c r="N279" s="0" t="n">
        <f aca="false">IF(AND(食数記録!$A279=プレビュー!$C$3,食数記録!$B279="朝",食数記録!$F279="男性GH",食数記録!$D279="臨時喫食"),1,0)</f>
        <v>0</v>
      </c>
      <c r="O279" s="0" t="str">
        <f aca="false">IF(N279=1,SUM($N$2:N279),"")</f>
        <v/>
      </c>
      <c r="P279" s="0" t="n">
        <f aca="false">IF(AND(食数記録!$A279=プレビュー!$C$3,食数記録!$B279="昼",食数記録!$F279="男性GH",食数記録!$D279="臨時喫食"),1,0)</f>
        <v>0</v>
      </c>
      <c r="Q279" s="0" t="str">
        <f aca="false">IF(P279=1,SUM($P$2:P279),"")</f>
        <v/>
      </c>
      <c r="R279" s="0" t="n">
        <f aca="false">IF(AND(食数記録!$A279=プレビュー!$C$3,食数記録!$B279="夕",食数記録!$F279="男性GH",食数記録!$D279="臨時喫食"),1,0)</f>
        <v>0</v>
      </c>
      <c r="S279" s="0" t="str">
        <f aca="false">IF(R279=1,SUM($R$2:R279),"")</f>
        <v/>
      </c>
      <c r="T279" s="0" t="n">
        <f aca="false">IF(AND(食数記録!$A279=プレビュー!$C$3,食数記録!$B279="朝",食数記録!$F279="女性GH",食数記録!$D279="臨時喫食"),1,0)</f>
        <v>0</v>
      </c>
      <c r="U279" s="0" t="str">
        <f aca="false">IF(T279=1,SUM($T$2:T279),"")</f>
        <v/>
      </c>
      <c r="V279" s="0" t="n">
        <f aca="false">IF(AND(食数記録!$A279=プレビュー!$C$3,食数記録!$B279="昼",食数記録!$F279="女性GH",食数記録!$D279="臨時喫食"),1,0)</f>
        <v>0</v>
      </c>
      <c r="W279" s="0" t="str">
        <f aca="false">IF(V279=1,SUM($V$2:V279),"")</f>
        <v/>
      </c>
      <c r="X279" s="0" t="n">
        <f aca="false">IF(AND(食数記録!$A279=プレビュー!$C$3,食数記録!$B279="夕",食数記録!$F279="女性GH",食数記録!$D279="臨時喫食"),1,0)</f>
        <v>0</v>
      </c>
      <c r="Y279" s="0" t="str">
        <f aca="false">IF(X279=1,SUM($X$2:X279),"")</f>
        <v/>
      </c>
    </row>
    <row r="280" customFormat="false" ht="15" hidden="false" customHeight="false" outlineLevel="0" collapsed="false">
      <c r="B280" s="0" t="n">
        <f aca="false">IF(AND(食数記録!$A280=プレビュー!$C$3,食数記録!$B280="朝",食数記録!$F280="男性入所",食数記録!$D280="欠食"),1,0)</f>
        <v>0</v>
      </c>
      <c r="C280" s="0" t="str">
        <f aca="false">IF(B280=1,SUM($B$2:B280),"")</f>
        <v/>
      </c>
      <c r="D280" s="0" t="n">
        <f aca="false">IF(AND(食数記録!$A280=プレビュー!$C$3,食数記録!$B280="昼",食数記録!$F280="男性入所",食数記録!$D280="欠食"),1,0)</f>
        <v>0</v>
      </c>
      <c r="E280" s="0" t="str">
        <f aca="false">IF(D280=1,SUM($D$2:D280),"")</f>
        <v/>
      </c>
      <c r="F280" s="0" t="n">
        <f aca="false">IF(AND(食数記録!$A280=プレビュー!$C$3,食数記録!$B280="夕",食数記録!$F280="男性入所",食数記録!$D280="欠食"),1,0)</f>
        <v>0</v>
      </c>
      <c r="G280" s="0" t="str">
        <f aca="false">IF(F280=1,SUM($F$2:F280),"")</f>
        <v/>
      </c>
      <c r="H280" s="0" t="n">
        <f aca="false">IF(AND(食数記録!$A280=プレビュー!$C$3,食数記録!$B280="朝",食数記録!$F280="女性入所",食数記録!$D280="欠食"),1,0)</f>
        <v>0</v>
      </c>
      <c r="I280" s="0" t="str">
        <f aca="false">IF(H280=1,SUM($H$2:H280),"")</f>
        <v/>
      </c>
      <c r="J280" s="0" t="n">
        <f aca="false">IF(AND(食数記録!$A280=プレビュー!$C$3,食数記録!$B280="昼",食数記録!$F280="女性入所",食数記録!$D280="欠食"),1,0)</f>
        <v>0</v>
      </c>
      <c r="K280" s="0" t="str">
        <f aca="false">IF(J280=1,SUM($J$2:J280),"")</f>
        <v/>
      </c>
      <c r="L280" s="0" t="n">
        <f aca="false">IF(AND(食数記録!$A280=プレビュー!$C$3,食数記録!$B280="夕",食数記録!$F280="女性入所",食数記録!$D280="欠食"),1,0)</f>
        <v>0</v>
      </c>
      <c r="M280" s="0" t="str">
        <f aca="false">IF(L280=1,SUM($L$2:L280),"")</f>
        <v/>
      </c>
      <c r="N280" s="0" t="n">
        <f aca="false">IF(AND(食数記録!$A280=プレビュー!$C$3,食数記録!$B280="朝",食数記録!$F280="男性GH",食数記録!$D280="臨時喫食"),1,0)</f>
        <v>0</v>
      </c>
      <c r="O280" s="0" t="str">
        <f aca="false">IF(N280=1,SUM($N$2:N280),"")</f>
        <v/>
      </c>
      <c r="P280" s="0" t="n">
        <f aca="false">IF(AND(食数記録!$A280=プレビュー!$C$3,食数記録!$B280="昼",食数記録!$F280="男性GH",食数記録!$D280="臨時喫食"),1,0)</f>
        <v>0</v>
      </c>
      <c r="Q280" s="0" t="str">
        <f aca="false">IF(P280=1,SUM($P$2:P280),"")</f>
        <v/>
      </c>
      <c r="R280" s="0" t="n">
        <f aca="false">IF(AND(食数記録!$A280=プレビュー!$C$3,食数記録!$B280="夕",食数記録!$F280="男性GH",食数記録!$D280="臨時喫食"),1,0)</f>
        <v>0</v>
      </c>
      <c r="S280" s="0" t="str">
        <f aca="false">IF(R280=1,SUM($R$2:R280),"")</f>
        <v/>
      </c>
      <c r="T280" s="0" t="n">
        <f aca="false">IF(AND(食数記録!$A280=プレビュー!$C$3,食数記録!$B280="朝",食数記録!$F280="女性GH",食数記録!$D280="臨時喫食"),1,0)</f>
        <v>0</v>
      </c>
      <c r="U280" s="0" t="str">
        <f aca="false">IF(T280=1,SUM($T$2:T280),"")</f>
        <v/>
      </c>
      <c r="V280" s="0" t="n">
        <f aca="false">IF(AND(食数記録!$A280=プレビュー!$C$3,食数記録!$B280="昼",食数記録!$F280="女性GH",食数記録!$D280="臨時喫食"),1,0)</f>
        <v>0</v>
      </c>
      <c r="W280" s="0" t="str">
        <f aca="false">IF(V280=1,SUM($V$2:V280),"")</f>
        <v/>
      </c>
      <c r="X280" s="0" t="n">
        <f aca="false">IF(AND(食数記録!$A280=プレビュー!$C$3,食数記録!$B280="夕",食数記録!$F280="女性GH",食数記録!$D280="臨時喫食"),1,0)</f>
        <v>0</v>
      </c>
      <c r="Y280" s="0" t="str">
        <f aca="false">IF(X280=1,SUM($X$2:X280),"")</f>
        <v/>
      </c>
    </row>
    <row r="281" customFormat="false" ht="15" hidden="false" customHeight="false" outlineLevel="0" collapsed="false">
      <c r="B281" s="0" t="n">
        <f aca="false">IF(AND(食数記録!$A281=プレビュー!$C$3,食数記録!$B281="朝",食数記録!$F281="男性入所",食数記録!$D281="欠食"),1,0)</f>
        <v>0</v>
      </c>
      <c r="C281" s="0" t="str">
        <f aca="false">IF(B281=1,SUM($B$2:B281),"")</f>
        <v/>
      </c>
      <c r="D281" s="0" t="n">
        <f aca="false">IF(AND(食数記録!$A281=プレビュー!$C$3,食数記録!$B281="昼",食数記録!$F281="男性入所",食数記録!$D281="欠食"),1,0)</f>
        <v>0</v>
      </c>
      <c r="E281" s="0" t="str">
        <f aca="false">IF(D281=1,SUM($D$2:D281),"")</f>
        <v/>
      </c>
      <c r="F281" s="0" t="n">
        <f aca="false">IF(AND(食数記録!$A281=プレビュー!$C$3,食数記録!$B281="夕",食数記録!$F281="男性入所",食数記録!$D281="欠食"),1,0)</f>
        <v>0</v>
      </c>
      <c r="G281" s="0" t="str">
        <f aca="false">IF(F281=1,SUM($F$2:F281),"")</f>
        <v/>
      </c>
      <c r="H281" s="0" t="n">
        <f aca="false">IF(AND(食数記録!$A281=プレビュー!$C$3,食数記録!$B281="朝",食数記録!$F281="女性入所",食数記録!$D281="欠食"),1,0)</f>
        <v>0</v>
      </c>
      <c r="I281" s="0" t="str">
        <f aca="false">IF(H281=1,SUM($H$2:H281),"")</f>
        <v/>
      </c>
      <c r="J281" s="0" t="n">
        <f aca="false">IF(AND(食数記録!$A281=プレビュー!$C$3,食数記録!$B281="昼",食数記録!$F281="女性入所",食数記録!$D281="欠食"),1,0)</f>
        <v>0</v>
      </c>
      <c r="K281" s="0" t="str">
        <f aca="false">IF(J281=1,SUM($J$2:J281),"")</f>
        <v/>
      </c>
      <c r="L281" s="0" t="n">
        <f aca="false">IF(AND(食数記録!$A281=プレビュー!$C$3,食数記録!$B281="夕",食数記録!$F281="女性入所",食数記録!$D281="欠食"),1,0)</f>
        <v>0</v>
      </c>
      <c r="M281" s="0" t="str">
        <f aca="false">IF(L281=1,SUM($L$2:L281),"")</f>
        <v/>
      </c>
      <c r="N281" s="0" t="n">
        <f aca="false">IF(AND(食数記録!$A281=プレビュー!$C$3,食数記録!$B281="朝",食数記録!$F281="男性GH",食数記録!$D281="臨時喫食"),1,0)</f>
        <v>0</v>
      </c>
      <c r="O281" s="0" t="str">
        <f aca="false">IF(N281=1,SUM($N$2:N281),"")</f>
        <v/>
      </c>
      <c r="P281" s="0" t="n">
        <f aca="false">IF(AND(食数記録!$A281=プレビュー!$C$3,食数記録!$B281="昼",食数記録!$F281="男性GH",食数記録!$D281="臨時喫食"),1,0)</f>
        <v>0</v>
      </c>
      <c r="Q281" s="0" t="str">
        <f aca="false">IF(P281=1,SUM($P$2:P281),"")</f>
        <v/>
      </c>
      <c r="R281" s="0" t="n">
        <f aca="false">IF(AND(食数記録!$A281=プレビュー!$C$3,食数記録!$B281="夕",食数記録!$F281="男性GH",食数記録!$D281="臨時喫食"),1,0)</f>
        <v>0</v>
      </c>
      <c r="S281" s="0" t="str">
        <f aca="false">IF(R281=1,SUM($R$2:R281),"")</f>
        <v/>
      </c>
      <c r="T281" s="0" t="n">
        <f aca="false">IF(AND(食数記録!$A281=プレビュー!$C$3,食数記録!$B281="朝",食数記録!$F281="女性GH",食数記録!$D281="臨時喫食"),1,0)</f>
        <v>0</v>
      </c>
      <c r="U281" s="0" t="str">
        <f aca="false">IF(T281=1,SUM($T$2:T281),"")</f>
        <v/>
      </c>
      <c r="V281" s="0" t="n">
        <f aca="false">IF(AND(食数記録!$A281=プレビュー!$C$3,食数記録!$B281="昼",食数記録!$F281="女性GH",食数記録!$D281="臨時喫食"),1,0)</f>
        <v>0</v>
      </c>
      <c r="W281" s="0" t="str">
        <f aca="false">IF(V281=1,SUM($V$2:V281),"")</f>
        <v/>
      </c>
      <c r="X281" s="0" t="n">
        <f aca="false">IF(AND(食数記録!$A281=プレビュー!$C$3,食数記録!$B281="夕",食数記録!$F281="女性GH",食数記録!$D281="臨時喫食"),1,0)</f>
        <v>0</v>
      </c>
      <c r="Y281" s="0" t="str">
        <f aca="false">IF(X281=1,SUM($X$2:X281),"")</f>
        <v/>
      </c>
    </row>
    <row r="282" customFormat="false" ht="15" hidden="false" customHeight="false" outlineLevel="0" collapsed="false">
      <c r="B282" s="0" t="n">
        <f aca="false">IF(AND(食数記録!$A282=プレビュー!$C$3,食数記録!$B282="朝",食数記録!$F282="男性入所",食数記録!$D282="欠食"),1,0)</f>
        <v>0</v>
      </c>
      <c r="C282" s="0" t="str">
        <f aca="false">IF(B282=1,SUM($B$2:B282),"")</f>
        <v/>
      </c>
      <c r="D282" s="0" t="n">
        <f aca="false">IF(AND(食数記録!$A282=プレビュー!$C$3,食数記録!$B282="昼",食数記録!$F282="男性入所",食数記録!$D282="欠食"),1,0)</f>
        <v>0</v>
      </c>
      <c r="E282" s="0" t="str">
        <f aca="false">IF(D282=1,SUM($D$2:D282),"")</f>
        <v/>
      </c>
      <c r="F282" s="0" t="n">
        <f aca="false">IF(AND(食数記録!$A282=プレビュー!$C$3,食数記録!$B282="夕",食数記録!$F282="男性入所",食数記録!$D282="欠食"),1,0)</f>
        <v>0</v>
      </c>
      <c r="G282" s="0" t="str">
        <f aca="false">IF(F282=1,SUM($F$2:F282),"")</f>
        <v/>
      </c>
      <c r="H282" s="0" t="n">
        <f aca="false">IF(AND(食数記録!$A282=プレビュー!$C$3,食数記録!$B282="朝",食数記録!$F282="女性入所",食数記録!$D282="欠食"),1,0)</f>
        <v>0</v>
      </c>
      <c r="I282" s="0" t="str">
        <f aca="false">IF(H282=1,SUM($H$2:H282),"")</f>
        <v/>
      </c>
      <c r="J282" s="0" t="n">
        <f aca="false">IF(AND(食数記録!$A282=プレビュー!$C$3,食数記録!$B282="昼",食数記録!$F282="女性入所",食数記録!$D282="欠食"),1,0)</f>
        <v>0</v>
      </c>
      <c r="K282" s="0" t="str">
        <f aca="false">IF(J282=1,SUM($J$2:J282),"")</f>
        <v/>
      </c>
      <c r="L282" s="0" t="n">
        <f aca="false">IF(AND(食数記録!$A282=プレビュー!$C$3,食数記録!$B282="夕",食数記録!$F282="女性入所",食数記録!$D282="欠食"),1,0)</f>
        <v>0</v>
      </c>
      <c r="M282" s="0" t="str">
        <f aca="false">IF(L282=1,SUM($L$2:L282),"")</f>
        <v/>
      </c>
      <c r="N282" s="0" t="n">
        <f aca="false">IF(AND(食数記録!$A282=プレビュー!$C$3,食数記録!$B282="朝",食数記録!$F282="男性GH",食数記録!$D282="臨時喫食"),1,0)</f>
        <v>0</v>
      </c>
      <c r="O282" s="0" t="str">
        <f aca="false">IF(N282=1,SUM($N$2:N282),"")</f>
        <v/>
      </c>
      <c r="P282" s="0" t="n">
        <f aca="false">IF(AND(食数記録!$A282=プレビュー!$C$3,食数記録!$B282="昼",食数記録!$F282="男性GH",食数記録!$D282="臨時喫食"),1,0)</f>
        <v>0</v>
      </c>
      <c r="Q282" s="0" t="str">
        <f aca="false">IF(P282=1,SUM($P$2:P282),"")</f>
        <v/>
      </c>
      <c r="R282" s="0" t="n">
        <f aca="false">IF(AND(食数記録!$A282=プレビュー!$C$3,食数記録!$B282="夕",食数記録!$F282="男性GH",食数記録!$D282="臨時喫食"),1,0)</f>
        <v>0</v>
      </c>
      <c r="S282" s="0" t="str">
        <f aca="false">IF(R282=1,SUM($R$2:R282),"")</f>
        <v/>
      </c>
      <c r="T282" s="0" t="n">
        <f aca="false">IF(AND(食数記録!$A282=プレビュー!$C$3,食数記録!$B282="朝",食数記録!$F282="女性GH",食数記録!$D282="臨時喫食"),1,0)</f>
        <v>0</v>
      </c>
      <c r="U282" s="0" t="str">
        <f aca="false">IF(T282=1,SUM($T$2:T282),"")</f>
        <v/>
      </c>
      <c r="V282" s="0" t="n">
        <f aca="false">IF(AND(食数記録!$A282=プレビュー!$C$3,食数記録!$B282="昼",食数記録!$F282="女性GH",食数記録!$D282="臨時喫食"),1,0)</f>
        <v>0</v>
      </c>
      <c r="W282" s="0" t="str">
        <f aca="false">IF(V282=1,SUM($V$2:V282),"")</f>
        <v/>
      </c>
      <c r="X282" s="0" t="n">
        <f aca="false">IF(AND(食数記録!$A282=プレビュー!$C$3,食数記録!$B282="夕",食数記録!$F282="女性GH",食数記録!$D282="臨時喫食"),1,0)</f>
        <v>0</v>
      </c>
      <c r="Y282" s="0" t="str">
        <f aca="false">IF(X282=1,SUM($X$2:X282),"")</f>
        <v/>
      </c>
    </row>
    <row r="283" customFormat="false" ht="15" hidden="false" customHeight="false" outlineLevel="0" collapsed="false">
      <c r="B283" s="0" t="n">
        <f aca="false">IF(AND(食数記録!$A283=プレビュー!$C$3,食数記録!$B283="朝",食数記録!$F283="男性入所",食数記録!$D283="欠食"),1,0)</f>
        <v>0</v>
      </c>
      <c r="C283" s="0" t="str">
        <f aca="false">IF(B283=1,SUM($B$2:B283),"")</f>
        <v/>
      </c>
      <c r="D283" s="0" t="n">
        <f aca="false">IF(AND(食数記録!$A283=プレビュー!$C$3,食数記録!$B283="昼",食数記録!$F283="男性入所",食数記録!$D283="欠食"),1,0)</f>
        <v>0</v>
      </c>
      <c r="E283" s="0" t="str">
        <f aca="false">IF(D283=1,SUM($D$2:D283),"")</f>
        <v/>
      </c>
      <c r="F283" s="0" t="n">
        <f aca="false">IF(AND(食数記録!$A283=プレビュー!$C$3,食数記録!$B283="夕",食数記録!$F283="男性入所",食数記録!$D283="欠食"),1,0)</f>
        <v>0</v>
      </c>
      <c r="G283" s="0" t="str">
        <f aca="false">IF(F283=1,SUM($F$2:F283),"")</f>
        <v/>
      </c>
      <c r="H283" s="0" t="n">
        <f aca="false">IF(AND(食数記録!$A283=プレビュー!$C$3,食数記録!$B283="朝",食数記録!$F283="女性入所",食数記録!$D283="欠食"),1,0)</f>
        <v>0</v>
      </c>
      <c r="I283" s="0" t="str">
        <f aca="false">IF(H283=1,SUM($H$2:H283),"")</f>
        <v/>
      </c>
      <c r="J283" s="0" t="n">
        <f aca="false">IF(AND(食数記録!$A283=プレビュー!$C$3,食数記録!$B283="昼",食数記録!$F283="女性入所",食数記録!$D283="欠食"),1,0)</f>
        <v>0</v>
      </c>
      <c r="K283" s="0" t="str">
        <f aca="false">IF(J283=1,SUM($J$2:J283),"")</f>
        <v/>
      </c>
      <c r="L283" s="0" t="n">
        <f aca="false">IF(AND(食数記録!$A283=プレビュー!$C$3,食数記録!$B283="夕",食数記録!$F283="女性入所",食数記録!$D283="欠食"),1,0)</f>
        <v>0</v>
      </c>
      <c r="M283" s="0" t="str">
        <f aca="false">IF(L283=1,SUM($L$2:L283),"")</f>
        <v/>
      </c>
      <c r="N283" s="0" t="n">
        <f aca="false">IF(AND(食数記録!$A283=プレビュー!$C$3,食数記録!$B283="朝",食数記録!$F283="男性GH",食数記録!$D283="臨時喫食"),1,0)</f>
        <v>0</v>
      </c>
      <c r="O283" s="0" t="str">
        <f aca="false">IF(N283=1,SUM($N$2:N283),"")</f>
        <v/>
      </c>
      <c r="P283" s="0" t="n">
        <f aca="false">IF(AND(食数記録!$A283=プレビュー!$C$3,食数記録!$B283="昼",食数記録!$F283="男性GH",食数記録!$D283="臨時喫食"),1,0)</f>
        <v>0</v>
      </c>
      <c r="Q283" s="0" t="str">
        <f aca="false">IF(P283=1,SUM($P$2:P283),"")</f>
        <v/>
      </c>
      <c r="R283" s="0" t="n">
        <f aca="false">IF(AND(食数記録!$A283=プレビュー!$C$3,食数記録!$B283="夕",食数記録!$F283="男性GH",食数記録!$D283="臨時喫食"),1,0)</f>
        <v>0</v>
      </c>
      <c r="S283" s="0" t="str">
        <f aca="false">IF(R283=1,SUM($R$2:R283),"")</f>
        <v/>
      </c>
      <c r="T283" s="0" t="n">
        <f aca="false">IF(AND(食数記録!$A283=プレビュー!$C$3,食数記録!$B283="朝",食数記録!$F283="女性GH",食数記録!$D283="臨時喫食"),1,0)</f>
        <v>0</v>
      </c>
      <c r="U283" s="0" t="str">
        <f aca="false">IF(T283=1,SUM($T$2:T283),"")</f>
        <v/>
      </c>
      <c r="V283" s="0" t="n">
        <f aca="false">IF(AND(食数記録!$A283=プレビュー!$C$3,食数記録!$B283="昼",食数記録!$F283="女性GH",食数記録!$D283="臨時喫食"),1,0)</f>
        <v>0</v>
      </c>
      <c r="W283" s="0" t="str">
        <f aca="false">IF(V283=1,SUM($V$2:V283),"")</f>
        <v/>
      </c>
      <c r="X283" s="0" t="n">
        <f aca="false">IF(AND(食数記録!$A283=プレビュー!$C$3,食数記録!$B283="夕",食数記録!$F283="女性GH",食数記録!$D283="臨時喫食"),1,0)</f>
        <v>0</v>
      </c>
      <c r="Y283" s="0" t="str">
        <f aca="false">IF(X283=1,SUM($X$2:X283),"")</f>
        <v/>
      </c>
    </row>
    <row r="284" customFormat="false" ht="15" hidden="false" customHeight="false" outlineLevel="0" collapsed="false">
      <c r="B284" s="0" t="n">
        <f aca="false">IF(AND(食数記録!$A284=プレビュー!$C$3,食数記録!$B284="朝",食数記録!$F284="男性入所",食数記録!$D284="欠食"),1,0)</f>
        <v>0</v>
      </c>
      <c r="C284" s="0" t="str">
        <f aca="false">IF(B284=1,SUM($B$2:B284),"")</f>
        <v/>
      </c>
      <c r="D284" s="0" t="n">
        <f aca="false">IF(AND(食数記録!$A284=プレビュー!$C$3,食数記録!$B284="昼",食数記録!$F284="男性入所",食数記録!$D284="欠食"),1,0)</f>
        <v>0</v>
      </c>
      <c r="E284" s="0" t="str">
        <f aca="false">IF(D284=1,SUM($D$2:D284),"")</f>
        <v/>
      </c>
      <c r="F284" s="0" t="n">
        <f aca="false">IF(AND(食数記録!$A284=プレビュー!$C$3,食数記録!$B284="夕",食数記録!$F284="男性入所",食数記録!$D284="欠食"),1,0)</f>
        <v>0</v>
      </c>
      <c r="G284" s="0" t="str">
        <f aca="false">IF(F284=1,SUM($F$2:F284),"")</f>
        <v/>
      </c>
      <c r="H284" s="0" t="n">
        <f aca="false">IF(AND(食数記録!$A284=プレビュー!$C$3,食数記録!$B284="朝",食数記録!$F284="女性入所",食数記録!$D284="欠食"),1,0)</f>
        <v>0</v>
      </c>
      <c r="I284" s="0" t="str">
        <f aca="false">IF(H284=1,SUM($H$2:H284),"")</f>
        <v/>
      </c>
      <c r="J284" s="0" t="n">
        <f aca="false">IF(AND(食数記録!$A284=プレビュー!$C$3,食数記録!$B284="昼",食数記録!$F284="女性入所",食数記録!$D284="欠食"),1,0)</f>
        <v>0</v>
      </c>
      <c r="K284" s="0" t="str">
        <f aca="false">IF(J284=1,SUM($J$2:J284),"")</f>
        <v/>
      </c>
      <c r="L284" s="0" t="n">
        <f aca="false">IF(AND(食数記録!$A284=プレビュー!$C$3,食数記録!$B284="夕",食数記録!$F284="女性入所",食数記録!$D284="欠食"),1,0)</f>
        <v>0</v>
      </c>
      <c r="M284" s="0" t="str">
        <f aca="false">IF(L284=1,SUM($L$2:L284),"")</f>
        <v/>
      </c>
      <c r="N284" s="0" t="n">
        <f aca="false">IF(AND(食数記録!$A284=プレビュー!$C$3,食数記録!$B284="朝",食数記録!$F284="男性GH",食数記録!$D284="臨時喫食"),1,0)</f>
        <v>0</v>
      </c>
      <c r="O284" s="0" t="str">
        <f aca="false">IF(N284=1,SUM($N$2:N284),"")</f>
        <v/>
      </c>
      <c r="P284" s="0" t="n">
        <f aca="false">IF(AND(食数記録!$A284=プレビュー!$C$3,食数記録!$B284="昼",食数記録!$F284="男性GH",食数記録!$D284="臨時喫食"),1,0)</f>
        <v>0</v>
      </c>
      <c r="Q284" s="0" t="str">
        <f aca="false">IF(P284=1,SUM($P$2:P284),"")</f>
        <v/>
      </c>
      <c r="R284" s="0" t="n">
        <f aca="false">IF(AND(食数記録!$A284=プレビュー!$C$3,食数記録!$B284="夕",食数記録!$F284="男性GH",食数記録!$D284="臨時喫食"),1,0)</f>
        <v>0</v>
      </c>
      <c r="S284" s="0" t="str">
        <f aca="false">IF(R284=1,SUM($R$2:R284),"")</f>
        <v/>
      </c>
      <c r="T284" s="0" t="n">
        <f aca="false">IF(AND(食数記録!$A284=プレビュー!$C$3,食数記録!$B284="朝",食数記録!$F284="女性GH",食数記録!$D284="臨時喫食"),1,0)</f>
        <v>0</v>
      </c>
      <c r="U284" s="0" t="str">
        <f aca="false">IF(T284=1,SUM($T$2:T284),"")</f>
        <v/>
      </c>
      <c r="V284" s="0" t="n">
        <f aca="false">IF(AND(食数記録!$A284=プレビュー!$C$3,食数記録!$B284="昼",食数記録!$F284="女性GH",食数記録!$D284="臨時喫食"),1,0)</f>
        <v>0</v>
      </c>
      <c r="W284" s="0" t="str">
        <f aca="false">IF(V284=1,SUM($V$2:V284),"")</f>
        <v/>
      </c>
      <c r="X284" s="0" t="n">
        <f aca="false">IF(AND(食数記録!$A284=プレビュー!$C$3,食数記録!$B284="夕",食数記録!$F284="女性GH",食数記録!$D284="臨時喫食"),1,0)</f>
        <v>0</v>
      </c>
      <c r="Y284" s="0" t="str">
        <f aca="false">IF(X284=1,SUM($X$2:X284),"")</f>
        <v/>
      </c>
    </row>
    <row r="285" customFormat="false" ht="15" hidden="false" customHeight="false" outlineLevel="0" collapsed="false">
      <c r="B285" s="0" t="n">
        <f aca="false">IF(AND(食数記録!$A285=プレビュー!$C$3,食数記録!$B285="朝",食数記録!$F285="男性入所",食数記録!$D285="欠食"),1,0)</f>
        <v>0</v>
      </c>
      <c r="C285" s="0" t="str">
        <f aca="false">IF(B285=1,SUM($B$2:B285),"")</f>
        <v/>
      </c>
      <c r="D285" s="0" t="n">
        <f aca="false">IF(AND(食数記録!$A285=プレビュー!$C$3,食数記録!$B285="昼",食数記録!$F285="男性入所",食数記録!$D285="欠食"),1,0)</f>
        <v>0</v>
      </c>
      <c r="E285" s="0" t="str">
        <f aca="false">IF(D285=1,SUM($D$2:D285),"")</f>
        <v/>
      </c>
      <c r="F285" s="0" t="n">
        <f aca="false">IF(AND(食数記録!$A285=プレビュー!$C$3,食数記録!$B285="夕",食数記録!$F285="男性入所",食数記録!$D285="欠食"),1,0)</f>
        <v>0</v>
      </c>
      <c r="G285" s="0" t="str">
        <f aca="false">IF(F285=1,SUM($F$2:F285),"")</f>
        <v/>
      </c>
      <c r="H285" s="0" t="n">
        <f aca="false">IF(AND(食数記録!$A285=プレビュー!$C$3,食数記録!$B285="朝",食数記録!$F285="女性入所",食数記録!$D285="欠食"),1,0)</f>
        <v>0</v>
      </c>
      <c r="I285" s="0" t="str">
        <f aca="false">IF(H285=1,SUM($H$2:H285),"")</f>
        <v/>
      </c>
      <c r="J285" s="0" t="n">
        <f aca="false">IF(AND(食数記録!$A285=プレビュー!$C$3,食数記録!$B285="昼",食数記録!$F285="女性入所",食数記録!$D285="欠食"),1,0)</f>
        <v>0</v>
      </c>
      <c r="K285" s="0" t="str">
        <f aca="false">IF(J285=1,SUM($J$2:J285),"")</f>
        <v/>
      </c>
      <c r="L285" s="0" t="n">
        <f aca="false">IF(AND(食数記録!$A285=プレビュー!$C$3,食数記録!$B285="夕",食数記録!$F285="女性入所",食数記録!$D285="欠食"),1,0)</f>
        <v>0</v>
      </c>
      <c r="M285" s="0" t="str">
        <f aca="false">IF(L285=1,SUM($L$2:L285),"")</f>
        <v/>
      </c>
      <c r="N285" s="0" t="n">
        <f aca="false">IF(AND(食数記録!$A285=プレビュー!$C$3,食数記録!$B285="朝",食数記録!$F285="男性GH",食数記録!$D285="臨時喫食"),1,0)</f>
        <v>0</v>
      </c>
      <c r="O285" s="0" t="str">
        <f aca="false">IF(N285=1,SUM($N$2:N285),"")</f>
        <v/>
      </c>
      <c r="P285" s="0" t="n">
        <f aca="false">IF(AND(食数記録!$A285=プレビュー!$C$3,食数記録!$B285="昼",食数記録!$F285="男性GH",食数記録!$D285="臨時喫食"),1,0)</f>
        <v>0</v>
      </c>
      <c r="Q285" s="0" t="str">
        <f aca="false">IF(P285=1,SUM($P$2:P285),"")</f>
        <v/>
      </c>
      <c r="R285" s="0" t="n">
        <f aca="false">IF(AND(食数記録!$A285=プレビュー!$C$3,食数記録!$B285="夕",食数記録!$F285="男性GH",食数記録!$D285="臨時喫食"),1,0)</f>
        <v>0</v>
      </c>
      <c r="S285" s="0" t="str">
        <f aca="false">IF(R285=1,SUM($R$2:R285),"")</f>
        <v/>
      </c>
      <c r="T285" s="0" t="n">
        <f aca="false">IF(AND(食数記録!$A285=プレビュー!$C$3,食数記録!$B285="朝",食数記録!$F285="女性GH",食数記録!$D285="臨時喫食"),1,0)</f>
        <v>0</v>
      </c>
      <c r="U285" s="0" t="str">
        <f aca="false">IF(T285=1,SUM($T$2:T285),"")</f>
        <v/>
      </c>
      <c r="V285" s="0" t="n">
        <f aca="false">IF(AND(食数記録!$A285=プレビュー!$C$3,食数記録!$B285="昼",食数記録!$F285="女性GH",食数記録!$D285="臨時喫食"),1,0)</f>
        <v>0</v>
      </c>
      <c r="W285" s="0" t="str">
        <f aca="false">IF(V285=1,SUM($V$2:V285),"")</f>
        <v/>
      </c>
      <c r="X285" s="0" t="n">
        <f aca="false">IF(AND(食数記録!$A285=プレビュー!$C$3,食数記録!$B285="夕",食数記録!$F285="女性GH",食数記録!$D285="臨時喫食"),1,0)</f>
        <v>0</v>
      </c>
      <c r="Y285" s="0" t="str">
        <f aca="false">IF(X285=1,SUM($X$2:X285),"")</f>
        <v/>
      </c>
    </row>
    <row r="286" customFormat="false" ht="15" hidden="false" customHeight="false" outlineLevel="0" collapsed="false">
      <c r="B286" s="0" t="n">
        <f aca="false">IF(AND(食数記録!$A286=プレビュー!$C$3,食数記録!$B286="朝",食数記録!$F286="男性入所",食数記録!$D286="欠食"),1,0)</f>
        <v>0</v>
      </c>
      <c r="C286" s="0" t="str">
        <f aca="false">IF(B286=1,SUM($B$2:B286),"")</f>
        <v/>
      </c>
      <c r="D286" s="0" t="n">
        <f aca="false">IF(AND(食数記録!$A286=プレビュー!$C$3,食数記録!$B286="昼",食数記録!$F286="男性入所",食数記録!$D286="欠食"),1,0)</f>
        <v>0</v>
      </c>
      <c r="E286" s="0" t="str">
        <f aca="false">IF(D286=1,SUM($D$2:D286),"")</f>
        <v/>
      </c>
      <c r="F286" s="0" t="n">
        <f aca="false">IF(AND(食数記録!$A286=プレビュー!$C$3,食数記録!$B286="夕",食数記録!$F286="男性入所",食数記録!$D286="欠食"),1,0)</f>
        <v>0</v>
      </c>
      <c r="G286" s="0" t="str">
        <f aca="false">IF(F286=1,SUM($F$2:F286),"")</f>
        <v/>
      </c>
      <c r="H286" s="0" t="n">
        <f aca="false">IF(AND(食数記録!$A286=プレビュー!$C$3,食数記録!$B286="朝",食数記録!$F286="女性入所",食数記録!$D286="欠食"),1,0)</f>
        <v>0</v>
      </c>
      <c r="I286" s="0" t="str">
        <f aca="false">IF(H286=1,SUM($H$2:H286),"")</f>
        <v/>
      </c>
      <c r="J286" s="0" t="n">
        <f aca="false">IF(AND(食数記録!$A286=プレビュー!$C$3,食数記録!$B286="昼",食数記録!$F286="女性入所",食数記録!$D286="欠食"),1,0)</f>
        <v>0</v>
      </c>
      <c r="K286" s="0" t="str">
        <f aca="false">IF(J286=1,SUM($J$2:J286),"")</f>
        <v/>
      </c>
      <c r="L286" s="0" t="n">
        <f aca="false">IF(AND(食数記録!$A286=プレビュー!$C$3,食数記録!$B286="夕",食数記録!$F286="女性入所",食数記録!$D286="欠食"),1,0)</f>
        <v>0</v>
      </c>
      <c r="M286" s="0" t="str">
        <f aca="false">IF(L286=1,SUM($L$2:L286),"")</f>
        <v/>
      </c>
      <c r="N286" s="0" t="n">
        <f aca="false">IF(AND(食数記録!$A286=プレビュー!$C$3,食数記録!$B286="朝",食数記録!$F286="男性GH",食数記録!$D286="臨時喫食"),1,0)</f>
        <v>0</v>
      </c>
      <c r="O286" s="0" t="str">
        <f aca="false">IF(N286=1,SUM($N$2:N286),"")</f>
        <v/>
      </c>
      <c r="P286" s="0" t="n">
        <f aca="false">IF(AND(食数記録!$A286=プレビュー!$C$3,食数記録!$B286="昼",食数記録!$F286="男性GH",食数記録!$D286="臨時喫食"),1,0)</f>
        <v>0</v>
      </c>
      <c r="Q286" s="0" t="str">
        <f aca="false">IF(P286=1,SUM($P$2:P286),"")</f>
        <v/>
      </c>
      <c r="R286" s="0" t="n">
        <f aca="false">IF(AND(食数記録!$A286=プレビュー!$C$3,食数記録!$B286="夕",食数記録!$F286="男性GH",食数記録!$D286="臨時喫食"),1,0)</f>
        <v>0</v>
      </c>
      <c r="S286" s="0" t="str">
        <f aca="false">IF(R286=1,SUM($R$2:R286),"")</f>
        <v/>
      </c>
      <c r="T286" s="0" t="n">
        <f aca="false">IF(AND(食数記録!$A286=プレビュー!$C$3,食数記録!$B286="朝",食数記録!$F286="女性GH",食数記録!$D286="臨時喫食"),1,0)</f>
        <v>0</v>
      </c>
      <c r="U286" s="0" t="str">
        <f aca="false">IF(T286=1,SUM($T$2:T286),"")</f>
        <v/>
      </c>
      <c r="V286" s="0" t="n">
        <f aca="false">IF(AND(食数記録!$A286=プレビュー!$C$3,食数記録!$B286="昼",食数記録!$F286="女性GH",食数記録!$D286="臨時喫食"),1,0)</f>
        <v>0</v>
      </c>
      <c r="W286" s="0" t="str">
        <f aca="false">IF(V286=1,SUM($V$2:V286),"")</f>
        <v/>
      </c>
      <c r="X286" s="0" t="n">
        <f aca="false">IF(AND(食数記録!$A286=プレビュー!$C$3,食数記録!$B286="夕",食数記録!$F286="女性GH",食数記録!$D286="臨時喫食"),1,0)</f>
        <v>0</v>
      </c>
      <c r="Y286" s="0" t="str">
        <f aca="false">IF(X286=1,SUM($X$2:X286),"")</f>
        <v/>
      </c>
    </row>
    <row r="287" customFormat="false" ht="15" hidden="false" customHeight="false" outlineLevel="0" collapsed="false">
      <c r="B287" s="0" t="n">
        <f aca="false">IF(AND(食数記録!$A287=プレビュー!$C$3,食数記録!$B287="朝",食数記録!$F287="男性入所",食数記録!$D287="欠食"),1,0)</f>
        <v>0</v>
      </c>
      <c r="C287" s="0" t="str">
        <f aca="false">IF(B287=1,SUM($B$2:B287),"")</f>
        <v/>
      </c>
      <c r="D287" s="0" t="n">
        <f aca="false">IF(AND(食数記録!$A287=プレビュー!$C$3,食数記録!$B287="昼",食数記録!$F287="男性入所",食数記録!$D287="欠食"),1,0)</f>
        <v>0</v>
      </c>
      <c r="E287" s="0" t="str">
        <f aca="false">IF(D287=1,SUM($D$2:D287),"")</f>
        <v/>
      </c>
      <c r="F287" s="0" t="n">
        <f aca="false">IF(AND(食数記録!$A287=プレビュー!$C$3,食数記録!$B287="夕",食数記録!$F287="男性入所",食数記録!$D287="欠食"),1,0)</f>
        <v>0</v>
      </c>
      <c r="G287" s="0" t="str">
        <f aca="false">IF(F287=1,SUM($F$2:F287),"")</f>
        <v/>
      </c>
      <c r="H287" s="0" t="n">
        <f aca="false">IF(AND(食数記録!$A287=プレビュー!$C$3,食数記録!$B287="朝",食数記録!$F287="女性入所",食数記録!$D287="欠食"),1,0)</f>
        <v>0</v>
      </c>
      <c r="I287" s="0" t="str">
        <f aca="false">IF(H287=1,SUM($H$2:H287),"")</f>
        <v/>
      </c>
      <c r="J287" s="0" t="n">
        <f aca="false">IF(AND(食数記録!$A287=プレビュー!$C$3,食数記録!$B287="昼",食数記録!$F287="女性入所",食数記録!$D287="欠食"),1,0)</f>
        <v>0</v>
      </c>
      <c r="K287" s="0" t="str">
        <f aca="false">IF(J287=1,SUM($J$2:J287),"")</f>
        <v/>
      </c>
      <c r="L287" s="0" t="n">
        <f aca="false">IF(AND(食数記録!$A287=プレビュー!$C$3,食数記録!$B287="夕",食数記録!$F287="女性入所",食数記録!$D287="欠食"),1,0)</f>
        <v>0</v>
      </c>
      <c r="M287" s="0" t="str">
        <f aca="false">IF(L287=1,SUM($L$2:L287),"")</f>
        <v/>
      </c>
      <c r="N287" s="0" t="n">
        <f aca="false">IF(AND(食数記録!$A287=プレビュー!$C$3,食数記録!$B287="朝",食数記録!$F287="男性GH",食数記録!$D287="臨時喫食"),1,0)</f>
        <v>0</v>
      </c>
      <c r="O287" s="0" t="str">
        <f aca="false">IF(N287=1,SUM($N$2:N287),"")</f>
        <v/>
      </c>
      <c r="P287" s="0" t="n">
        <f aca="false">IF(AND(食数記録!$A287=プレビュー!$C$3,食数記録!$B287="昼",食数記録!$F287="男性GH",食数記録!$D287="臨時喫食"),1,0)</f>
        <v>0</v>
      </c>
      <c r="Q287" s="0" t="str">
        <f aca="false">IF(P287=1,SUM($P$2:P287),"")</f>
        <v/>
      </c>
      <c r="R287" s="0" t="n">
        <f aca="false">IF(AND(食数記録!$A287=プレビュー!$C$3,食数記録!$B287="夕",食数記録!$F287="男性GH",食数記録!$D287="臨時喫食"),1,0)</f>
        <v>0</v>
      </c>
      <c r="S287" s="0" t="str">
        <f aca="false">IF(R287=1,SUM($R$2:R287),"")</f>
        <v/>
      </c>
      <c r="T287" s="0" t="n">
        <f aca="false">IF(AND(食数記録!$A287=プレビュー!$C$3,食数記録!$B287="朝",食数記録!$F287="女性GH",食数記録!$D287="臨時喫食"),1,0)</f>
        <v>0</v>
      </c>
      <c r="U287" s="0" t="str">
        <f aca="false">IF(T287=1,SUM($T$2:T287),"")</f>
        <v/>
      </c>
      <c r="V287" s="0" t="n">
        <f aca="false">IF(AND(食数記録!$A287=プレビュー!$C$3,食数記録!$B287="昼",食数記録!$F287="女性GH",食数記録!$D287="臨時喫食"),1,0)</f>
        <v>0</v>
      </c>
      <c r="W287" s="0" t="str">
        <f aca="false">IF(V287=1,SUM($V$2:V287),"")</f>
        <v/>
      </c>
      <c r="X287" s="0" t="n">
        <f aca="false">IF(AND(食数記録!$A287=プレビュー!$C$3,食数記録!$B287="夕",食数記録!$F287="女性GH",食数記録!$D287="臨時喫食"),1,0)</f>
        <v>0</v>
      </c>
      <c r="Y287" s="0" t="str">
        <f aca="false">IF(X287=1,SUM($X$2:X287),"")</f>
        <v/>
      </c>
    </row>
    <row r="288" customFormat="false" ht="15" hidden="false" customHeight="false" outlineLevel="0" collapsed="false">
      <c r="B288" s="0" t="n">
        <f aca="false">IF(AND(食数記録!$A288=プレビュー!$C$3,食数記録!$B288="朝",食数記録!$F288="男性入所",食数記録!$D288="欠食"),1,0)</f>
        <v>0</v>
      </c>
      <c r="C288" s="0" t="str">
        <f aca="false">IF(B288=1,SUM($B$2:B288),"")</f>
        <v/>
      </c>
      <c r="D288" s="0" t="n">
        <f aca="false">IF(AND(食数記録!$A288=プレビュー!$C$3,食数記録!$B288="昼",食数記録!$F288="男性入所",食数記録!$D288="欠食"),1,0)</f>
        <v>0</v>
      </c>
      <c r="E288" s="0" t="str">
        <f aca="false">IF(D288=1,SUM($D$2:D288),"")</f>
        <v/>
      </c>
      <c r="F288" s="0" t="n">
        <f aca="false">IF(AND(食数記録!$A288=プレビュー!$C$3,食数記録!$B288="夕",食数記録!$F288="男性入所",食数記録!$D288="欠食"),1,0)</f>
        <v>0</v>
      </c>
      <c r="G288" s="0" t="str">
        <f aca="false">IF(F288=1,SUM($F$2:F288),"")</f>
        <v/>
      </c>
      <c r="H288" s="0" t="n">
        <f aca="false">IF(AND(食数記録!$A288=プレビュー!$C$3,食数記録!$B288="朝",食数記録!$F288="女性入所",食数記録!$D288="欠食"),1,0)</f>
        <v>0</v>
      </c>
      <c r="I288" s="0" t="str">
        <f aca="false">IF(H288=1,SUM($H$2:H288),"")</f>
        <v/>
      </c>
      <c r="J288" s="0" t="n">
        <f aca="false">IF(AND(食数記録!$A288=プレビュー!$C$3,食数記録!$B288="昼",食数記録!$F288="女性入所",食数記録!$D288="欠食"),1,0)</f>
        <v>0</v>
      </c>
      <c r="K288" s="0" t="str">
        <f aca="false">IF(J288=1,SUM($J$2:J288),"")</f>
        <v/>
      </c>
      <c r="L288" s="0" t="n">
        <f aca="false">IF(AND(食数記録!$A288=プレビュー!$C$3,食数記録!$B288="夕",食数記録!$F288="女性入所",食数記録!$D288="欠食"),1,0)</f>
        <v>0</v>
      </c>
      <c r="M288" s="0" t="str">
        <f aca="false">IF(L288=1,SUM($L$2:L288),"")</f>
        <v/>
      </c>
      <c r="N288" s="0" t="n">
        <f aca="false">IF(AND(食数記録!$A288=プレビュー!$C$3,食数記録!$B288="朝",食数記録!$F288="男性GH",食数記録!$D288="臨時喫食"),1,0)</f>
        <v>0</v>
      </c>
      <c r="O288" s="0" t="str">
        <f aca="false">IF(N288=1,SUM($N$2:N288),"")</f>
        <v/>
      </c>
      <c r="P288" s="0" t="n">
        <f aca="false">IF(AND(食数記録!$A288=プレビュー!$C$3,食数記録!$B288="昼",食数記録!$F288="男性GH",食数記録!$D288="臨時喫食"),1,0)</f>
        <v>0</v>
      </c>
      <c r="Q288" s="0" t="str">
        <f aca="false">IF(P288=1,SUM($P$2:P288),"")</f>
        <v/>
      </c>
      <c r="R288" s="0" t="n">
        <f aca="false">IF(AND(食数記録!$A288=プレビュー!$C$3,食数記録!$B288="夕",食数記録!$F288="男性GH",食数記録!$D288="臨時喫食"),1,0)</f>
        <v>0</v>
      </c>
      <c r="S288" s="0" t="str">
        <f aca="false">IF(R288=1,SUM($R$2:R288),"")</f>
        <v/>
      </c>
      <c r="T288" s="0" t="n">
        <f aca="false">IF(AND(食数記録!$A288=プレビュー!$C$3,食数記録!$B288="朝",食数記録!$F288="女性GH",食数記録!$D288="臨時喫食"),1,0)</f>
        <v>0</v>
      </c>
      <c r="U288" s="0" t="str">
        <f aca="false">IF(T288=1,SUM($T$2:T288),"")</f>
        <v/>
      </c>
      <c r="V288" s="0" t="n">
        <f aca="false">IF(AND(食数記録!$A288=プレビュー!$C$3,食数記録!$B288="昼",食数記録!$F288="女性GH",食数記録!$D288="臨時喫食"),1,0)</f>
        <v>0</v>
      </c>
      <c r="W288" s="0" t="str">
        <f aca="false">IF(V288=1,SUM($V$2:V288),"")</f>
        <v/>
      </c>
      <c r="X288" s="0" t="n">
        <f aca="false">IF(AND(食数記録!$A288=プレビュー!$C$3,食数記録!$B288="夕",食数記録!$F288="女性GH",食数記録!$D288="臨時喫食"),1,0)</f>
        <v>0</v>
      </c>
      <c r="Y288" s="0" t="str">
        <f aca="false">IF(X288=1,SUM($X$2:X288),"")</f>
        <v/>
      </c>
    </row>
    <row r="289" customFormat="false" ht="15" hidden="false" customHeight="false" outlineLevel="0" collapsed="false">
      <c r="B289" s="0" t="n">
        <f aca="false">IF(AND(食数記録!$A289=プレビュー!$C$3,食数記録!$B289="朝",食数記録!$F289="男性入所",食数記録!$D289="欠食"),1,0)</f>
        <v>0</v>
      </c>
      <c r="C289" s="0" t="str">
        <f aca="false">IF(B289=1,SUM($B$2:B289),"")</f>
        <v/>
      </c>
      <c r="D289" s="0" t="n">
        <f aca="false">IF(AND(食数記録!$A289=プレビュー!$C$3,食数記録!$B289="昼",食数記録!$F289="男性入所",食数記録!$D289="欠食"),1,0)</f>
        <v>0</v>
      </c>
      <c r="E289" s="0" t="str">
        <f aca="false">IF(D289=1,SUM($D$2:D289),"")</f>
        <v/>
      </c>
      <c r="F289" s="0" t="n">
        <f aca="false">IF(AND(食数記録!$A289=プレビュー!$C$3,食数記録!$B289="夕",食数記録!$F289="男性入所",食数記録!$D289="欠食"),1,0)</f>
        <v>0</v>
      </c>
      <c r="G289" s="0" t="str">
        <f aca="false">IF(F289=1,SUM($F$2:F289),"")</f>
        <v/>
      </c>
      <c r="H289" s="0" t="n">
        <f aca="false">IF(AND(食数記録!$A289=プレビュー!$C$3,食数記録!$B289="朝",食数記録!$F289="女性入所",食数記録!$D289="欠食"),1,0)</f>
        <v>0</v>
      </c>
      <c r="I289" s="0" t="str">
        <f aca="false">IF(H289=1,SUM($H$2:H289),"")</f>
        <v/>
      </c>
      <c r="J289" s="0" t="n">
        <f aca="false">IF(AND(食数記録!$A289=プレビュー!$C$3,食数記録!$B289="昼",食数記録!$F289="女性入所",食数記録!$D289="欠食"),1,0)</f>
        <v>0</v>
      </c>
      <c r="K289" s="0" t="str">
        <f aca="false">IF(J289=1,SUM($J$2:J289),"")</f>
        <v/>
      </c>
      <c r="L289" s="0" t="n">
        <f aca="false">IF(AND(食数記録!$A289=プレビュー!$C$3,食数記録!$B289="夕",食数記録!$F289="女性入所",食数記録!$D289="欠食"),1,0)</f>
        <v>0</v>
      </c>
      <c r="M289" s="0" t="str">
        <f aca="false">IF(L289=1,SUM($L$2:L289),"")</f>
        <v/>
      </c>
      <c r="N289" s="0" t="n">
        <f aca="false">IF(AND(食数記録!$A289=プレビュー!$C$3,食数記録!$B289="朝",食数記録!$F289="男性GH",食数記録!$D289="臨時喫食"),1,0)</f>
        <v>0</v>
      </c>
      <c r="O289" s="0" t="str">
        <f aca="false">IF(N289=1,SUM($N$2:N289),"")</f>
        <v/>
      </c>
      <c r="P289" s="0" t="n">
        <f aca="false">IF(AND(食数記録!$A289=プレビュー!$C$3,食数記録!$B289="昼",食数記録!$F289="男性GH",食数記録!$D289="臨時喫食"),1,0)</f>
        <v>0</v>
      </c>
      <c r="Q289" s="0" t="str">
        <f aca="false">IF(P289=1,SUM($P$2:P289),"")</f>
        <v/>
      </c>
      <c r="R289" s="0" t="n">
        <f aca="false">IF(AND(食数記録!$A289=プレビュー!$C$3,食数記録!$B289="夕",食数記録!$F289="男性GH",食数記録!$D289="臨時喫食"),1,0)</f>
        <v>0</v>
      </c>
      <c r="S289" s="0" t="str">
        <f aca="false">IF(R289=1,SUM($R$2:R289),"")</f>
        <v/>
      </c>
      <c r="T289" s="0" t="n">
        <f aca="false">IF(AND(食数記録!$A289=プレビュー!$C$3,食数記録!$B289="朝",食数記録!$F289="女性GH",食数記録!$D289="臨時喫食"),1,0)</f>
        <v>0</v>
      </c>
      <c r="U289" s="0" t="str">
        <f aca="false">IF(T289=1,SUM($T$2:T289),"")</f>
        <v/>
      </c>
      <c r="V289" s="0" t="n">
        <f aca="false">IF(AND(食数記録!$A289=プレビュー!$C$3,食数記録!$B289="昼",食数記録!$F289="女性GH",食数記録!$D289="臨時喫食"),1,0)</f>
        <v>0</v>
      </c>
      <c r="W289" s="0" t="str">
        <f aca="false">IF(V289=1,SUM($V$2:V289),"")</f>
        <v/>
      </c>
      <c r="X289" s="0" t="n">
        <f aca="false">IF(AND(食数記録!$A289=プレビュー!$C$3,食数記録!$B289="夕",食数記録!$F289="女性GH",食数記録!$D289="臨時喫食"),1,0)</f>
        <v>0</v>
      </c>
      <c r="Y289" s="0" t="str">
        <f aca="false">IF(X289=1,SUM($X$2:X289),"")</f>
        <v/>
      </c>
    </row>
    <row r="290" customFormat="false" ht="15" hidden="false" customHeight="false" outlineLevel="0" collapsed="false">
      <c r="B290" s="0" t="n">
        <f aca="false">IF(AND(食数記録!$A290=プレビュー!$C$3,食数記録!$B290="朝",食数記録!$F290="男性入所",食数記録!$D290="欠食"),1,0)</f>
        <v>0</v>
      </c>
      <c r="C290" s="0" t="str">
        <f aca="false">IF(B290=1,SUM($B$2:B290),"")</f>
        <v/>
      </c>
      <c r="D290" s="0" t="n">
        <f aca="false">IF(AND(食数記録!$A290=プレビュー!$C$3,食数記録!$B290="昼",食数記録!$F290="男性入所",食数記録!$D290="欠食"),1,0)</f>
        <v>0</v>
      </c>
      <c r="E290" s="0" t="str">
        <f aca="false">IF(D290=1,SUM($D$2:D290),"")</f>
        <v/>
      </c>
      <c r="F290" s="0" t="n">
        <f aca="false">IF(AND(食数記録!$A290=プレビュー!$C$3,食数記録!$B290="夕",食数記録!$F290="男性入所",食数記録!$D290="欠食"),1,0)</f>
        <v>0</v>
      </c>
      <c r="G290" s="0" t="str">
        <f aca="false">IF(F290=1,SUM($F$2:F290),"")</f>
        <v/>
      </c>
      <c r="H290" s="0" t="n">
        <f aca="false">IF(AND(食数記録!$A290=プレビュー!$C$3,食数記録!$B290="朝",食数記録!$F290="女性入所",食数記録!$D290="欠食"),1,0)</f>
        <v>0</v>
      </c>
      <c r="I290" s="0" t="str">
        <f aca="false">IF(H290=1,SUM($H$2:H290),"")</f>
        <v/>
      </c>
      <c r="J290" s="0" t="n">
        <f aca="false">IF(AND(食数記録!$A290=プレビュー!$C$3,食数記録!$B290="昼",食数記録!$F290="女性入所",食数記録!$D290="欠食"),1,0)</f>
        <v>0</v>
      </c>
      <c r="K290" s="0" t="str">
        <f aca="false">IF(J290=1,SUM($J$2:J290),"")</f>
        <v/>
      </c>
      <c r="L290" s="0" t="n">
        <f aca="false">IF(AND(食数記録!$A290=プレビュー!$C$3,食数記録!$B290="夕",食数記録!$F290="女性入所",食数記録!$D290="欠食"),1,0)</f>
        <v>0</v>
      </c>
      <c r="M290" s="0" t="str">
        <f aca="false">IF(L290=1,SUM($L$2:L290),"")</f>
        <v/>
      </c>
      <c r="N290" s="0" t="n">
        <f aca="false">IF(AND(食数記録!$A290=プレビュー!$C$3,食数記録!$B290="朝",食数記録!$F290="男性GH",食数記録!$D290="臨時喫食"),1,0)</f>
        <v>0</v>
      </c>
      <c r="O290" s="0" t="str">
        <f aca="false">IF(N290=1,SUM($N$2:N290),"")</f>
        <v/>
      </c>
      <c r="P290" s="0" t="n">
        <f aca="false">IF(AND(食数記録!$A290=プレビュー!$C$3,食数記録!$B290="昼",食数記録!$F290="男性GH",食数記録!$D290="臨時喫食"),1,0)</f>
        <v>0</v>
      </c>
      <c r="Q290" s="0" t="str">
        <f aca="false">IF(P290=1,SUM($P$2:P290),"")</f>
        <v/>
      </c>
      <c r="R290" s="0" t="n">
        <f aca="false">IF(AND(食数記録!$A290=プレビュー!$C$3,食数記録!$B290="夕",食数記録!$F290="男性GH",食数記録!$D290="臨時喫食"),1,0)</f>
        <v>0</v>
      </c>
      <c r="S290" s="0" t="str">
        <f aca="false">IF(R290=1,SUM($R$2:R290),"")</f>
        <v/>
      </c>
      <c r="T290" s="0" t="n">
        <f aca="false">IF(AND(食数記録!$A290=プレビュー!$C$3,食数記録!$B290="朝",食数記録!$F290="女性GH",食数記録!$D290="臨時喫食"),1,0)</f>
        <v>0</v>
      </c>
      <c r="U290" s="0" t="str">
        <f aca="false">IF(T290=1,SUM($T$2:T290),"")</f>
        <v/>
      </c>
      <c r="V290" s="0" t="n">
        <f aca="false">IF(AND(食数記録!$A290=プレビュー!$C$3,食数記録!$B290="昼",食数記録!$F290="女性GH",食数記録!$D290="臨時喫食"),1,0)</f>
        <v>0</v>
      </c>
      <c r="W290" s="0" t="str">
        <f aca="false">IF(V290=1,SUM($V$2:V290),"")</f>
        <v/>
      </c>
      <c r="X290" s="0" t="n">
        <f aca="false">IF(AND(食数記録!$A290=プレビュー!$C$3,食数記録!$B290="夕",食数記録!$F290="女性GH",食数記録!$D290="臨時喫食"),1,0)</f>
        <v>0</v>
      </c>
      <c r="Y290" s="0" t="str">
        <f aca="false">IF(X290=1,SUM($X$2:X290),"")</f>
        <v/>
      </c>
    </row>
    <row r="291" customFormat="false" ht="15" hidden="false" customHeight="false" outlineLevel="0" collapsed="false">
      <c r="B291" s="0" t="n">
        <f aca="false">IF(AND(食数記録!$A291=プレビュー!$C$3,食数記録!$B291="朝",食数記録!$F291="男性入所",食数記録!$D291="欠食"),1,0)</f>
        <v>0</v>
      </c>
      <c r="C291" s="0" t="str">
        <f aca="false">IF(B291=1,SUM($B$2:B291),"")</f>
        <v/>
      </c>
      <c r="D291" s="0" t="n">
        <f aca="false">IF(AND(食数記録!$A291=プレビュー!$C$3,食数記録!$B291="昼",食数記録!$F291="男性入所",食数記録!$D291="欠食"),1,0)</f>
        <v>0</v>
      </c>
      <c r="E291" s="0" t="str">
        <f aca="false">IF(D291=1,SUM($D$2:D291),"")</f>
        <v/>
      </c>
      <c r="F291" s="0" t="n">
        <f aca="false">IF(AND(食数記録!$A291=プレビュー!$C$3,食数記録!$B291="夕",食数記録!$F291="男性入所",食数記録!$D291="欠食"),1,0)</f>
        <v>0</v>
      </c>
      <c r="G291" s="0" t="str">
        <f aca="false">IF(F291=1,SUM($F$2:F291),"")</f>
        <v/>
      </c>
      <c r="H291" s="0" t="n">
        <f aca="false">IF(AND(食数記録!$A291=プレビュー!$C$3,食数記録!$B291="朝",食数記録!$F291="女性入所",食数記録!$D291="欠食"),1,0)</f>
        <v>0</v>
      </c>
      <c r="I291" s="0" t="str">
        <f aca="false">IF(H291=1,SUM($H$2:H291),"")</f>
        <v/>
      </c>
      <c r="J291" s="0" t="n">
        <f aca="false">IF(AND(食数記録!$A291=プレビュー!$C$3,食数記録!$B291="昼",食数記録!$F291="女性入所",食数記録!$D291="欠食"),1,0)</f>
        <v>0</v>
      </c>
      <c r="K291" s="0" t="str">
        <f aca="false">IF(J291=1,SUM($J$2:J291),"")</f>
        <v/>
      </c>
      <c r="L291" s="0" t="n">
        <f aca="false">IF(AND(食数記録!$A291=プレビュー!$C$3,食数記録!$B291="夕",食数記録!$F291="女性入所",食数記録!$D291="欠食"),1,0)</f>
        <v>0</v>
      </c>
      <c r="M291" s="0" t="str">
        <f aca="false">IF(L291=1,SUM($L$2:L291),"")</f>
        <v/>
      </c>
      <c r="N291" s="0" t="n">
        <f aca="false">IF(AND(食数記録!$A291=プレビュー!$C$3,食数記録!$B291="朝",食数記録!$F291="男性GH",食数記録!$D291="臨時喫食"),1,0)</f>
        <v>0</v>
      </c>
      <c r="O291" s="0" t="str">
        <f aca="false">IF(N291=1,SUM($N$2:N291),"")</f>
        <v/>
      </c>
      <c r="P291" s="0" t="n">
        <f aca="false">IF(AND(食数記録!$A291=プレビュー!$C$3,食数記録!$B291="昼",食数記録!$F291="男性GH",食数記録!$D291="臨時喫食"),1,0)</f>
        <v>0</v>
      </c>
      <c r="Q291" s="0" t="str">
        <f aca="false">IF(P291=1,SUM($P$2:P291),"")</f>
        <v/>
      </c>
      <c r="R291" s="0" t="n">
        <f aca="false">IF(AND(食数記録!$A291=プレビュー!$C$3,食数記録!$B291="夕",食数記録!$F291="男性GH",食数記録!$D291="臨時喫食"),1,0)</f>
        <v>0</v>
      </c>
      <c r="S291" s="0" t="str">
        <f aca="false">IF(R291=1,SUM($R$2:R291),"")</f>
        <v/>
      </c>
      <c r="T291" s="0" t="n">
        <f aca="false">IF(AND(食数記録!$A291=プレビュー!$C$3,食数記録!$B291="朝",食数記録!$F291="女性GH",食数記録!$D291="臨時喫食"),1,0)</f>
        <v>0</v>
      </c>
      <c r="U291" s="0" t="str">
        <f aca="false">IF(T291=1,SUM($T$2:T291),"")</f>
        <v/>
      </c>
      <c r="V291" s="0" t="n">
        <f aca="false">IF(AND(食数記録!$A291=プレビュー!$C$3,食数記録!$B291="昼",食数記録!$F291="女性GH",食数記録!$D291="臨時喫食"),1,0)</f>
        <v>0</v>
      </c>
      <c r="W291" s="0" t="str">
        <f aca="false">IF(V291=1,SUM($V$2:V291),"")</f>
        <v/>
      </c>
      <c r="X291" s="0" t="n">
        <f aca="false">IF(AND(食数記録!$A291=プレビュー!$C$3,食数記録!$B291="夕",食数記録!$F291="女性GH",食数記録!$D291="臨時喫食"),1,0)</f>
        <v>0</v>
      </c>
      <c r="Y291" s="0" t="str">
        <f aca="false">IF(X291=1,SUM($X$2:X291),"")</f>
        <v/>
      </c>
    </row>
    <row r="292" customFormat="false" ht="15" hidden="false" customHeight="false" outlineLevel="0" collapsed="false">
      <c r="B292" s="0" t="n">
        <f aca="false">IF(AND(食数記録!$A292=プレビュー!$C$3,食数記録!$B292="朝",食数記録!$F292="男性入所",食数記録!$D292="欠食"),1,0)</f>
        <v>0</v>
      </c>
      <c r="C292" s="0" t="str">
        <f aca="false">IF(B292=1,SUM($B$2:B292),"")</f>
        <v/>
      </c>
      <c r="D292" s="0" t="n">
        <f aca="false">IF(AND(食数記録!$A292=プレビュー!$C$3,食数記録!$B292="昼",食数記録!$F292="男性入所",食数記録!$D292="欠食"),1,0)</f>
        <v>0</v>
      </c>
      <c r="E292" s="0" t="str">
        <f aca="false">IF(D292=1,SUM($D$2:D292),"")</f>
        <v/>
      </c>
      <c r="F292" s="0" t="n">
        <f aca="false">IF(AND(食数記録!$A292=プレビュー!$C$3,食数記録!$B292="夕",食数記録!$F292="男性入所",食数記録!$D292="欠食"),1,0)</f>
        <v>0</v>
      </c>
      <c r="G292" s="0" t="str">
        <f aca="false">IF(F292=1,SUM($F$2:F292),"")</f>
        <v/>
      </c>
      <c r="H292" s="0" t="n">
        <f aca="false">IF(AND(食数記録!$A292=プレビュー!$C$3,食数記録!$B292="朝",食数記録!$F292="女性入所",食数記録!$D292="欠食"),1,0)</f>
        <v>0</v>
      </c>
      <c r="I292" s="0" t="str">
        <f aca="false">IF(H292=1,SUM($H$2:H292),"")</f>
        <v/>
      </c>
      <c r="J292" s="0" t="n">
        <f aca="false">IF(AND(食数記録!$A292=プレビュー!$C$3,食数記録!$B292="昼",食数記録!$F292="女性入所",食数記録!$D292="欠食"),1,0)</f>
        <v>0</v>
      </c>
      <c r="K292" s="0" t="str">
        <f aca="false">IF(J292=1,SUM($J$2:J292),"")</f>
        <v/>
      </c>
      <c r="L292" s="0" t="n">
        <f aca="false">IF(AND(食数記録!$A292=プレビュー!$C$3,食数記録!$B292="夕",食数記録!$F292="女性入所",食数記録!$D292="欠食"),1,0)</f>
        <v>0</v>
      </c>
      <c r="M292" s="0" t="str">
        <f aca="false">IF(L292=1,SUM($L$2:L292),"")</f>
        <v/>
      </c>
      <c r="N292" s="0" t="n">
        <f aca="false">IF(AND(食数記録!$A292=プレビュー!$C$3,食数記録!$B292="朝",食数記録!$F292="男性GH",食数記録!$D292="臨時喫食"),1,0)</f>
        <v>0</v>
      </c>
      <c r="O292" s="0" t="str">
        <f aca="false">IF(N292=1,SUM($N$2:N292),"")</f>
        <v/>
      </c>
      <c r="P292" s="0" t="n">
        <f aca="false">IF(AND(食数記録!$A292=プレビュー!$C$3,食数記録!$B292="昼",食数記録!$F292="男性GH",食数記録!$D292="臨時喫食"),1,0)</f>
        <v>0</v>
      </c>
      <c r="Q292" s="0" t="str">
        <f aca="false">IF(P292=1,SUM($P$2:P292),"")</f>
        <v/>
      </c>
      <c r="R292" s="0" t="n">
        <f aca="false">IF(AND(食数記録!$A292=プレビュー!$C$3,食数記録!$B292="夕",食数記録!$F292="男性GH",食数記録!$D292="臨時喫食"),1,0)</f>
        <v>0</v>
      </c>
      <c r="S292" s="0" t="str">
        <f aca="false">IF(R292=1,SUM($R$2:R292),"")</f>
        <v/>
      </c>
      <c r="T292" s="0" t="n">
        <f aca="false">IF(AND(食数記録!$A292=プレビュー!$C$3,食数記録!$B292="朝",食数記録!$F292="女性GH",食数記録!$D292="臨時喫食"),1,0)</f>
        <v>0</v>
      </c>
      <c r="U292" s="0" t="str">
        <f aca="false">IF(T292=1,SUM($T$2:T292),"")</f>
        <v/>
      </c>
      <c r="V292" s="0" t="n">
        <f aca="false">IF(AND(食数記録!$A292=プレビュー!$C$3,食数記録!$B292="昼",食数記録!$F292="女性GH",食数記録!$D292="臨時喫食"),1,0)</f>
        <v>0</v>
      </c>
      <c r="W292" s="0" t="str">
        <f aca="false">IF(V292=1,SUM($V$2:V292),"")</f>
        <v/>
      </c>
      <c r="X292" s="0" t="n">
        <f aca="false">IF(AND(食数記録!$A292=プレビュー!$C$3,食数記録!$B292="夕",食数記録!$F292="女性GH",食数記録!$D292="臨時喫食"),1,0)</f>
        <v>0</v>
      </c>
      <c r="Y292" s="0" t="str">
        <f aca="false">IF(X292=1,SUM($X$2:X292),"")</f>
        <v/>
      </c>
    </row>
    <row r="293" customFormat="false" ht="15" hidden="false" customHeight="false" outlineLevel="0" collapsed="false">
      <c r="B293" s="0" t="n">
        <f aca="false">IF(AND(食数記録!$A293=プレビュー!$C$3,食数記録!$B293="朝",食数記録!$F293="男性入所",食数記録!$D293="欠食"),1,0)</f>
        <v>0</v>
      </c>
      <c r="C293" s="0" t="str">
        <f aca="false">IF(B293=1,SUM($B$2:B293),"")</f>
        <v/>
      </c>
      <c r="D293" s="0" t="n">
        <f aca="false">IF(AND(食数記録!$A293=プレビュー!$C$3,食数記録!$B293="昼",食数記録!$F293="男性入所",食数記録!$D293="欠食"),1,0)</f>
        <v>0</v>
      </c>
      <c r="E293" s="0" t="str">
        <f aca="false">IF(D293=1,SUM($D$2:D293),"")</f>
        <v/>
      </c>
      <c r="F293" s="0" t="n">
        <f aca="false">IF(AND(食数記録!$A293=プレビュー!$C$3,食数記録!$B293="夕",食数記録!$F293="男性入所",食数記録!$D293="欠食"),1,0)</f>
        <v>0</v>
      </c>
      <c r="G293" s="0" t="str">
        <f aca="false">IF(F293=1,SUM($F$2:F293),"")</f>
        <v/>
      </c>
      <c r="H293" s="0" t="n">
        <f aca="false">IF(AND(食数記録!$A293=プレビュー!$C$3,食数記録!$B293="朝",食数記録!$F293="女性入所",食数記録!$D293="欠食"),1,0)</f>
        <v>0</v>
      </c>
      <c r="I293" s="0" t="str">
        <f aca="false">IF(H293=1,SUM($H$2:H293),"")</f>
        <v/>
      </c>
      <c r="J293" s="0" t="n">
        <f aca="false">IF(AND(食数記録!$A293=プレビュー!$C$3,食数記録!$B293="昼",食数記録!$F293="女性入所",食数記録!$D293="欠食"),1,0)</f>
        <v>0</v>
      </c>
      <c r="K293" s="0" t="str">
        <f aca="false">IF(J293=1,SUM($J$2:J293),"")</f>
        <v/>
      </c>
      <c r="L293" s="0" t="n">
        <f aca="false">IF(AND(食数記録!$A293=プレビュー!$C$3,食数記録!$B293="夕",食数記録!$F293="女性入所",食数記録!$D293="欠食"),1,0)</f>
        <v>0</v>
      </c>
      <c r="M293" s="0" t="str">
        <f aca="false">IF(L293=1,SUM($L$2:L293),"")</f>
        <v/>
      </c>
      <c r="N293" s="0" t="n">
        <f aca="false">IF(AND(食数記録!$A293=プレビュー!$C$3,食数記録!$B293="朝",食数記録!$F293="男性GH",食数記録!$D293="臨時喫食"),1,0)</f>
        <v>0</v>
      </c>
      <c r="O293" s="0" t="str">
        <f aca="false">IF(N293=1,SUM($N$2:N293),"")</f>
        <v/>
      </c>
      <c r="P293" s="0" t="n">
        <f aca="false">IF(AND(食数記録!$A293=プレビュー!$C$3,食数記録!$B293="昼",食数記録!$F293="男性GH",食数記録!$D293="臨時喫食"),1,0)</f>
        <v>0</v>
      </c>
      <c r="Q293" s="0" t="str">
        <f aca="false">IF(P293=1,SUM($P$2:P293),"")</f>
        <v/>
      </c>
      <c r="R293" s="0" t="n">
        <f aca="false">IF(AND(食数記録!$A293=プレビュー!$C$3,食数記録!$B293="夕",食数記録!$F293="男性GH",食数記録!$D293="臨時喫食"),1,0)</f>
        <v>0</v>
      </c>
      <c r="S293" s="0" t="str">
        <f aca="false">IF(R293=1,SUM($R$2:R293),"")</f>
        <v/>
      </c>
      <c r="T293" s="0" t="n">
        <f aca="false">IF(AND(食数記録!$A293=プレビュー!$C$3,食数記録!$B293="朝",食数記録!$F293="女性GH",食数記録!$D293="臨時喫食"),1,0)</f>
        <v>0</v>
      </c>
      <c r="U293" s="0" t="str">
        <f aca="false">IF(T293=1,SUM($T$2:T293),"")</f>
        <v/>
      </c>
      <c r="V293" s="0" t="n">
        <f aca="false">IF(AND(食数記録!$A293=プレビュー!$C$3,食数記録!$B293="昼",食数記録!$F293="女性GH",食数記録!$D293="臨時喫食"),1,0)</f>
        <v>0</v>
      </c>
      <c r="W293" s="0" t="str">
        <f aca="false">IF(V293=1,SUM($V$2:V293),"")</f>
        <v/>
      </c>
      <c r="X293" s="0" t="n">
        <f aca="false">IF(AND(食数記録!$A293=プレビュー!$C$3,食数記録!$B293="夕",食数記録!$F293="女性GH",食数記録!$D293="臨時喫食"),1,0)</f>
        <v>0</v>
      </c>
      <c r="Y293" s="0" t="str">
        <f aca="false">IF(X293=1,SUM($X$2:X293),"")</f>
        <v/>
      </c>
    </row>
    <row r="294" customFormat="false" ht="15" hidden="false" customHeight="false" outlineLevel="0" collapsed="false">
      <c r="B294" s="0" t="n">
        <f aca="false">IF(AND(食数記録!$A294=プレビュー!$C$3,食数記録!$B294="朝",食数記録!$F294="男性入所",食数記録!$D294="欠食"),1,0)</f>
        <v>0</v>
      </c>
      <c r="C294" s="0" t="str">
        <f aca="false">IF(B294=1,SUM($B$2:B294),"")</f>
        <v/>
      </c>
      <c r="D294" s="0" t="n">
        <f aca="false">IF(AND(食数記録!$A294=プレビュー!$C$3,食数記録!$B294="昼",食数記録!$F294="男性入所",食数記録!$D294="欠食"),1,0)</f>
        <v>0</v>
      </c>
      <c r="E294" s="0" t="str">
        <f aca="false">IF(D294=1,SUM($D$2:D294),"")</f>
        <v/>
      </c>
      <c r="F294" s="0" t="n">
        <f aca="false">IF(AND(食数記録!$A294=プレビュー!$C$3,食数記録!$B294="夕",食数記録!$F294="男性入所",食数記録!$D294="欠食"),1,0)</f>
        <v>0</v>
      </c>
      <c r="G294" s="0" t="str">
        <f aca="false">IF(F294=1,SUM($F$2:F294),"")</f>
        <v/>
      </c>
      <c r="H294" s="0" t="n">
        <f aca="false">IF(AND(食数記録!$A294=プレビュー!$C$3,食数記録!$B294="朝",食数記録!$F294="女性入所",食数記録!$D294="欠食"),1,0)</f>
        <v>0</v>
      </c>
      <c r="I294" s="0" t="str">
        <f aca="false">IF(H294=1,SUM($H$2:H294),"")</f>
        <v/>
      </c>
      <c r="J294" s="0" t="n">
        <f aca="false">IF(AND(食数記録!$A294=プレビュー!$C$3,食数記録!$B294="昼",食数記録!$F294="女性入所",食数記録!$D294="欠食"),1,0)</f>
        <v>0</v>
      </c>
      <c r="K294" s="0" t="str">
        <f aca="false">IF(J294=1,SUM($J$2:J294),"")</f>
        <v/>
      </c>
      <c r="L294" s="0" t="n">
        <f aca="false">IF(AND(食数記録!$A294=プレビュー!$C$3,食数記録!$B294="夕",食数記録!$F294="女性入所",食数記録!$D294="欠食"),1,0)</f>
        <v>0</v>
      </c>
      <c r="M294" s="0" t="str">
        <f aca="false">IF(L294=1,SUM($L$2:L294),"")</f>
        <v/>
      </c>
      <c r="N294" s="0" t="n">
        <f aca="false">IF(AND(食数記録!$A294=プレビュー!$C$3,食数記録!$B294="朝",食数記録!$F294="男性GH",食数記録!$D294="臨時喫食"),1,0)</f>
        <v>0</v>
      </c>
      <c r="O294" s="0" t="str">
        <f aca="false">IF(N294=1,SUM($N$2:N294),"")</f>
        <v/>
      </c>
      <c r="P294" s="0" t="n">
        <f aca="false">IF(AND(食数記録!$A294=プレビュー!$C$3,食数記録!$B294="昼",食数記録!$F294="男性GH",食数記録!$D294="臨時喫食"),1,0)</f>
        <v>0</v>
      </c>
      <c r="Q294" s="0" t="str">
        <f aca="false">IF(P294=1,SUM($P$2:P294),"")</f>
        <v/>
      </c>
      <c r="R294" s="0" t="n">
        <f aca="false">IF(AND(食数記録!$A294=プレビュー!$C$3,食数記録!$B294="夕",食数記録!$F294="男性GH",食数記録!$D294="臨時喫食"),1,0)</f>
        <v>0</v>
      </c>
      <c r="S294" s="0" t="str">
        <f aca="false">IF(R294=1,SUM($R$2:R294),"")</f>
        <v/>
      </c>
      <c r="T294" s="0" t="n">
        <f aca="false">IF(AND(食数記録!$A294=プレビュー!$C$3,食数記録!$B294="朝",食数記録!$F294="女性GH",食数記録!$D294="臨時喫食"),1,0)</f>
        <v>0</v>
      </c>
      <c r="U294" s="0" t="str">
        <f aca="false">IF(T294=1,SUM($T$2:T294),"")</f>
        <v/>
      </c>
      <c r="V294" s="0" t="n">
        <f aca="false">IF(AND(食数記録!$A294=プレビュー!$C$3,食数記録!$B294="昼",食数記録!$F294="女性GH",食数記録!$D294="臨時喫食"),1,0)</f>
        <v>0</v>
      </c>
      <c r="W294" s="0" t="str">
        <f aca="false">IF(V294=1,SUM($V$2:V294),"")</f>
        <v/>
      </c>
      <c r="X294" s="0" t="n">
        <f aca="false">IF(AND(食数記録!$A294=プレビュー!$C$3,食数記録!$B294="夕",食数記録!$F294="女性GH",食数記録!$D294="臨時喫食"),1,0)</f>
        <v>0</v>
      </c>
      <c r="Y294" s="0" t="str">
        <f aca="false">IF(X294=1,SUM($X$2:X294),"")</f>
        <v/>
      </c>
    </row>
    <row r="295" customFormat="false" ht="15" hidden="false" customHeight="false" outlineLevel="0" collapsed="false">
      <c r="B295" s="0" t="n">
        <f aca="false">IF(AND(食数記録!$A295=プレビュー!$C$3,食数記録!$B295="朝",食数記録!$F295="男性入所",食数記録!$D295="欠食"),1,0)</f>
        <v>0</v>
      </c>
      <c r="C295" s="0" t="str">
        <f aca="false">IF(B295=1,SUM($B$2:B295),"")</f>
        <v/>
      </c>
      <c r="D295" s="0" t="n">
        <f aca="false">IF(AND(食数記録!$A295=プレビュー!$C$3,食数記録!$B295="昼",食数記録!$F295="男性入所",食数記録!$D295="欠食"),1,0)</f>
        <v>0</v>
      </c>
      <c r="E295" s="0" t="str">
        <f aca="false">IF(D295=1,SUM($D$2:D295),"")</f>
        <v/>
      </c>
      <c r="F295" s="0" t="n">
        <f aca="false">IF(AND(食数記録!$A295=プレビュー!$C$3,食数記録!$B295="夕",食数記録!$F295="男性入所",食数記録!$D295="欠食"),1,0)</f>
        <v>0</v>
      </c>
      <c r="G295" s="0" t="str">
        <f aca="false">IF(F295=1,SUM($F$2:F295),"")</f>
        <v/>
      </c>
      <c r="H295" s="0" t="n">
        <f aca="false">IF(AND(食数記録!$A295=プレビュー!$C$3,食数記録!$B295="朝",食数記録!$F295="女性入所",食数記録!$D295="欠食"),1,0)</f>
        <v>0</v>
      </c>
      <c r="I295" s="0" t="str">
        <f aca="false">IF(H295=1,SUM($H$2:H295),"")</f>
        <v/>
      </c>
      <c r="J295" s="0" t="n">
        <f aca="false">IF(AND(食数記録!$A295=プレビュー!$C$3,食数記録!$B295="昼",食数記録!$F295="女性入所",食数記録!$D295="欠食"),1,0)</f>
        <v>0</v>
      </c>
      <c r="K295" s="0" t="str">
        <f aca="false">IF(J295=1,SUM($J$2:J295),"")</f>
        <v/>
      </c>
      <c r="L295" s="0" t="n">
        <f aca="false">IF(AND(食数記録!$A295=プレビュー!$C$3,食数記録!$B295="夕",食数記録!$F295="女性入所",食数記録!$D295="欠食"),1,0)</f>
        <v>0</v>
      </c>
      <c r="M295" s="0" t="str">
        <f aca="false">IF(L295=1,SUM($L$2:L295),"")</f>
        <v/>
      </c>
      <c r="N295" s="0" t="n">
        <f aca="false">IF(AND(食数記録!$A295=プレビュー!$C$3,食数記録!$B295="朝",食数記録!$F295="男性GH",食数記録!$D295="臨時喫食"),1,0)</f>
        <v>0</v>
      </c>
      <c r="O295" s="0" t="str">
        <f aca="false">IF(N295=1,SUM($N$2:N295),"")</f>
        <v/>
      </c>
      <c r="P295" s="0" t="n">
        <f aca="false">IF(AND(食数記録!$A295=プレビュー!$C$3,食数記録!$B295="昼",食数記録!$F295="男性GH",食数記録!$D295="臨時喫食"),1,0)</f>
        <v>0</v>
      </c>
      <c r="Q295" s="0" t="str">
        <f aca="false">IF(P295=1,SUM($P$2:P295),"")</f>
        <v/>
      </c>
      <c r="R295" s="0" t="n">
        <f aca="false">IF(AND(食数記録!$A295=プレビュー!$C$3,食数記録!$B295="夕",食数記録!$F295="男性GH",食数記録!$D295="臨時喫食"),1,0)</f>
        <v>0</v>
      </c>
      <c r="S295" s="0" t="str">
        <f aca="false">IF(R295=1,SUM($R$2:R295),"")</f>
        <v/>
      </c>
      <c r="T295" s="0" t="n">
        <f aca="false">IF(AND(食数記録!$A295=プレビュー!$C$3,食数記録!$B295="朝",食数記録!$F295="女性GH",食数記録!$D295="臨時喫食"),1,0)</f>
        <v>0</v>
      </c>
      <c r="U295" s="0" t="str">
        <f aca="false">IF(T295=1,SUM($T$2:T295),"")</f>
        <v/>
      </c>
      <c r="V295" s="0" t="n">
        <f aca="false">IF(AND(食数記録!$A295=プレビュー!$C$3,食数記録!$B295="昼",食数記録!$F295="女性GH",食数記録!$D295="臨時喫食"),1,0)</f>
        <v>0</v>
      </c>
      <c r="W295" s="0" t="str">
        <f aca="false">IF(V295=1,SUM($V$2:V295),"")</f>
        <v/>
      </c>
      <c r="X295" s="0" t="n">
        <f aca="false">IF(AND(食数記録!$A295=プレビュー!$C$3,食数記録!$B295="夕",食数記録!$F295="女性GH",食数記録!$D295="臨時喫食"),1,0)</f>
        <v>0</v>
      </c>
      <c r="Y295" s="0" t="str">
        <f aca="false">IF(X295=1,SUM($X$2:X295),"")</f>
        <v/>
      </c>
    </row>
    <row r="296" customFormat="false" ht="15" hidden="false" customHeight="false" outlineLevel="0" collapsed="false">
      <c r="B296" s="0" t="n">
        <f aca="false">IF(AND(食数記録!$A296=プレビュー!$C$3,食数記録!$B296="朝",食数記録!$F296="男性入所",食数記録!$D296="欠食"),1,0)</f>
        <v>0</v>
      </c>
      <c r="C296" s="0" t="str">
        <f aca="false">IF(B296=1,SUM($B$2:B296),"")</f>
        <v/>
      </c>
      <c r="D296" s="0" t="n">
        <f aca="false">IF(AND(食数記録!$A296=プレビュー!$C$3,食数記録!$B296="昼",食数記録!$F296="男性入所",食数記録!$D296="欠食"),1,0)</f>
        <v>0</v>
      </c>
      <c r="E296" s="0" t="str">
        <f aca="false">IF(D296=1,SUM($D$2:D296),"")</f>
        <v/>
      </c>
      <c r="F296" s="0" t="n">
        <f aca="false">IF(AND(食数記録!$A296=プレビュー!$C$3,食数記録!$B296="夕",食数記録!$F296="男性入所",食数記録!$D296="欠食"),1,0)</f>
        <v>0</v>
      </c>
      <c r="G296" s="0" t="str">
        <f aca="false">IF(F296=1,SUM($F$2:F296),"")</f>
        <v/>
      </c>
      <c r="H296" s="0" t="n">
        <f aca="false">IF(AND(食数記録!$A296=プレビュー!$C$3,食数記録!$B296="朝",食数記録!$F296="女性入所",食数記録!$D296="欠食"),1,0)</f>
        <v>0</v>
      </c>
      <c r="I296" s="0" t="str">
        <f aca="false">IF(H296=1,SUM($H$2:H296),"")</f>
        <v/>
      </c>
      <c r="J296" s="0" t="n">
        <f aca="false">IF(AND(食数記録!$A296=プレビュー!$C$3,食数記録!$B296="昼",食数記録!$F296="女性入所",食数記録!$D296="欠食"),1,0)</f>
        <v>0</v>
      </c>
      <c r="K296" s="0" t="str">
        <f aca="false">IF(J296=1,SUM($J$2:J296),"")</f>
        <v/>
      </c>
      <c r="L296" s="0" t="n">
        <f aca="false">IF(AND(食数記録!$A296=プレビュー!$C$3,食数記録!$B296="夕",食数記録!$F296="女性入所",食数記録!$D296="欠食"),1,0)</f>
        <v>0</v>
      </c>
      <c r="M296" s="0" t="str">
        <f aca="false">IF(L296=1,SUM($L$2:L296),"")</f>
        <v/>
      </c>
      <c r="N296" s="0" t="n">
        <f aca="false">IF(AND(食数記録!$A296=プレビュー!$C$3,食数記録!$B296="朝",食数記録!$F296="男性GH",食数記録!$D296="臨時喫食"),1,0)</f>
        <v>0</v>
      </c>
      <c r="O296" s="0" t="str">
        <f aca="false">IF(N296=1,SUM($N$2:N296),"")</f>
        <v/>
      </c>
      <c r="P296" s="0" t="n">
        <f aca="false">IF(AND(食数記録!$A296=プレビュー!$C$3,食数記録!$B296="昼",食数記録!$F296="男性GH",食数記録!$D296="臨時喫食"),1,0)</f>
        <v>0</v>
      </c>
      <c r="Q296" s="0" t="str">
        <f aca="false">IF(P296=1,SUM($P$2:P296),"")</f>
        <v/>
      </c>
      <c r="R296" s="0" t="n">
        <f aca="false">IF(AND(食数記録!$A296=プレビュー!$C$3,食数記録!$B296="夕",食数記録!$F296="男性GH",食数記録!$D296="臨時喫食"),1,0)</f>
        <v>0</v>
      </c>
      <c r="S296" s="0" t="str">
        <f aca="false">IF(R296=1,SUM($R$2:R296),"")</f>
        <v/>
      </c>
      <c r="T296" s="0" t="n">
        <f aca="false">IF(AND(食数記録!$A296=プレビュー!$C$3,食数記録!$B296="朝",食数記録!$F296="女性GH",食数記録!$D296="臨時喫食"),1,0)</f>
        <v>0</v>
      </c>
      <c r="U296" s="0" t="str">
        <f aca="false">IF(T296=1,SUM($T$2:T296),"")</f>
        <v/>
      </c>
      <c r="V296" s="0" t="n">
        <f aca="false">IF(AND(食数記録!$A296=プレビュー!$C$3,食数記録!$B296="昼",食数記録!$F296="女性GH",食数記録!$D296="臨時喫食"),1,0)</f>
        <v>0</v>
      </c>
      <c r="W296" s="0" t="str">
        <f aca="false">IF(V296=1,SUM($V$2:V296),"")</f>
        <v/>
      </c>
      <c r="X296" s="0" t="n">
        <f aca="false">IF(AND(食数記録!$A296=プレビュー!$C$3,食数記録!$B296="夕",食数記録!$F296="女性GH",食数記録!$D296="臨時喫食"),1,0)</f>
        <v>0</v>
      </c>
      <c r="Y296" s="0" t="str">
        <f aca="false">IF(X296=1,SUM($X$2:X296),"")</f>
        <v/>
      </c>
    </row>
    <row r="297" customFormat="false" ht="15" hidden="false" customHeight="false" outlineLevel="0" collapsed="false">
      <c r="B297" s="0" t="n">
        <f aca="false">IF(AND(食数記録!$A297=プレビュー!$C$3,食数記録!$B297="朝",食数記録!$F297="男性入所",食数記録!$D297="欠食"),1,0)</f>
        <v>0</v>
      </c>
      <c r="C297" s="0" t="str">
        <f aca="false">IF(B297=1,SUM($B$2:B297),"")</f>
        <v/>
      </c>
      <c r="D297" s="0" t="n">
        <f aca="false">IF(AND(食数記録!$A297=プレビュー!$C$3,食数記録!$B297="昼",食数記録!$F297="男性入所",食数記録!$D297="欠食"),1,0)</f>
        <v>0</v>
      </c>
      <c r="E297" s="0" t="str">
        <f aca="false">IF(D297=1,SUM($D$2:D297),"")</f>
        <v/>
      </c>
      <c r="F297" s="0" t="n">
        <f aca="false">IF(AND(食数記録!$A297=プレビュー!$C$3,食数記録!$B297="夕",食数記録!$F297="男性入所",食数記録!$D297="欠食"),1,0)</f>
        <v>0</v>
      </c>
      <c r="G297" s="0" t="str">
        <f aca="false">IF(F297=1,SUM($F$2:F297),"")</f>
        <v/>
      </c>
      <c r="H297" s="0" t="n">
        <f aca="false">IF(AND(食数記録!$A297=プレビュー!$C$3,食数記録!$B297="朝",食数記録!$F297="女性入所",食数記録!$D297="欠食"),1,0)</f>
        <v>0</v>
      </c>
      <c r="I297" s="0" t="str">
        <f aca="false">IF(H297=1,SUM($H$2:H297),"")</f>
        <v/>
      </c>
      <c r="J297" s="0" t="n">
        <f aca="false">IF(AND(食数記録!$A297=プレビュー!$C$3,食数記録!$B297="昼",食数記録!$F297="女性入所",食数記録!$D297="欠食"),1,0)</f>
        <v>0</v>
      </c>
      <c r="K297" s="0" t="str">
        <f aca="false">IF(J297=1,SUM($J$2:J297),"")</f>
        <v/>
      </c>
      <c r="L297" s="0" t="n">
        <f aca="false">IF(AND(食数記録!$A297=プレビュー!$C$3,食数記録!$B297="夕",食数記録!$F297="女性入所",食数記録!$D297="欠食"),1,0)</f>
        <v>0</v>
      </c>
      <c r="M297" s="0" t="str">
        <f aca="false">IF(L297=1,SUM($L$2:L297),"")</f>
        <v/>
      </c>
      <c r="N297" s="0" t="n">
        <f aca="false">IF(AND(食数記録!$A297=プレビュー!$C$3,食数記録!$B297="朝",食数記録!$F297="男性GH",食数記録!$D297="臨時喫食"),1,0)</f>
        <v>0</v>
      </c>
      <c r="O297" s="0" t="str">
        <f aca="false">IF(N297=1,SUM($N$2:N297),"")</f>
        <v/>
      </c>
      <c r="P297" s="0" t="n">
        <f aca="false">IF(AND(食数記録!$A297=プレビュー!$C$3,食数記録!$B297="昼",食数記録!$F297="男性GH",食数記録!$D297="臨時喫食"),1,0)</f>
        <v>0</v>
      </c>
      <c r="Q297" s="0" t="str">
        <f aca="false">IF(P297=1,SUM($P$2:P297),"")</f>
        <v/>
      </c>
      <c r="R297" s="0" t="n">
        <f aca="false">IF(AND(食数記録!$A297=プレビュー!$C$3,食数記録!$B297="夕",食数記録!$F297="男性GH",食数記録!$D297="臨時喫食"),1,0)</f>
        <v>0</v>
      </c>
      <c r="S297" s="0" t="str">
        <f aca="false">IF(R297=1,SUM($R$2:R297),"")</f>
        <v/>
      </c>
      <c r="T297" s="0" t="n">
        <f aca="false">IF(AND(食数記録!$A297=プレビュー!$C$3,食数記録!$B297="朝",食数記録!$F297="女性GH",食数記録!$D297="臨時喫食"),1,0)</f>
        <v>0</v>
      </c>
      <c r="U297" s="0" t="str">
        <f aca="false">IF(T297=1,SUM($T$2:T297),"")</f>
        <v/>
      </c>
      <c r="V297" s="0" t="n">
        <f aca="false">IF(AND(食数記録!$A297=プレビュー!$C$3,食数記録!$B297="昼",食数記録!$F297="女性GH",食数記録!$D297="臨時喫食"),1,0)</f>
        <v>0</v>
      </c>
      <c r="W297" s="0" t="str">
        <f aca="false">IF(V297=1,SUM($V$2:V297),"")</f>
        <v/>
      </c>
      <c r="X297" s="0" t="n">
        <f aca="false">IF(AND(食数記録!$A297=プレビュー!$C$3,食数記録!$B297="夕",食数記録!$F297="女性GH",食数記録!$D297="臨時喫食"),1,0)</f>
        <v>0</v>
      </c>
      <c r="Y297" s="0" t="str">
        <f aca="false">IF(X297=1,SUM($X$2:X297),"")</f>
        <v/>
      </c>
    </row>
    <row r="298" customFormat="false" ht="15" hidden="false" customHeight="false" outlineLevel="0" collapsed="false">
      <c r="B298" s="0" t="n">
        <f aca="false">IF(AND(食数記録!$A298=プレビュー!$C$3,食数記録!$B298="朝",食数記録!$F298="男性入所",食数記録!$D298="欠食"),1,0)</f>
        <v>0</v>
      </c>
      <c r="C298" s="0" t="str">
        <f aca="false">IF(B298=1,SUM($B$2:B298),"")</f>
        <v/>
      </c>
      <c r="D298" s="0" t="n">
        <f aca="false">IF(AND(食数記録!$A298=プレビュー!$C$3,食数記録!$B298="昼",食数記録!$F298="男性入所",食数記録!$D298="欠食"),1,0)</f>
        <v>0</v>
      </c>
      <c r="E298" s="0" t="str">
        <f aca="false">IF(D298=1,SUM($D$2:D298),"")</f>
        <v/>
      </c>
      <c r="F298" s="0" t="n">
        <f aca="false">IF(AND(食数記録!$A298=プレビュー!$C$3,食数記録!$B298="夕",食数記録!$F298="男性入所",食数記録!$D298="欠食"),1,0)</f>
        <v>0</v>
      </c>
      <c r="G298" s="0" t="str">
        <f aca="false">IF(F298=1,SUM($F$2:F298),"")</f>
        <v/>
      </c>
      <c r="H298" s="0" t="n">
        <f aca="false">IF(AND(食数記録!$A298=プレビュー!$C$3,食数記録!$B298="朝",食数記録!$F298="女性入所",食数記録!$D298="欠食"),1,0)</f>
        <v>0</v>
      </c>
      <c r="I298" s="0" t="str">
        <f aca="false">IF(H298=1,SUM($H$2:H298),"")</f>
        <v/>
      </c>
      <c r="J298" s="0" t="n">
        <f aca="false">IF(AND(食数記録!$A298=プレビュー!$C$3,食数記録!$B298="昼",食数記録!$F298="女性入所",食数記録!$D298="欠食"),1,0)</f>
        <v>0</v>
      </c>
      <c r="K298" s="0" t="str">
        <f aca="false">IF(J298=1,SUM($J$2:J298),"")</f>
        <v/>
      </c>
      <c r="L298" s="0" t="n">
        <f aca="false">IF(AND(食数記録!$A298=プレビュー!$C$3,食数記録!$B298="夕",食数記録!$F298="女性入所",食数記録!$D298="欠食"),1,0)</f>
        <v>0</v>
      </c>
      <c r="M298" s="0" t="str">
        <f aca="false">IF(L298=1,SUM($L$2:L298),"")</f>
        <v/>
      </c>
      <c r="N298" s="0" t="n">
        <f aca="false">IF(AND(食数記録!$A298=プレビュー!$C$3,食数記録!$B298="朝",食数記録!$F298="男性GH",食数記録!$D298="臨時喫食"),1,0)</f>
        <v>0</v>
      </c>
      <c r="O298" s="0" t="str">
        <f aca="false">IF(N298=1,SUM($N$2:N298),"")</f>
        <v/>
      </c>
      <c r="P298" s="0" t="n">
        <f aca="false">IF(AND(食数記録!$A298=プレビュー!$C$3,食数記録!$B298="昼",食数記録!$F298="男性GH",食数記録!$D298="臨時喫食"),1,0)</f>
        <v>0</v>
      </c>
      <c r="Q298" s="0" t="str">
        <f aca="false">IF(P298=1,SUM($P$2:P298),"")</f>
        <v/>
      </c>
      <c r="R298" s="0" t="n">
        <f aca="false">IF(AND(食数記録!$A298=プレビュー!$C$3,食数記録!$B298="夕",食数記録!$F298="男性GH",食数記録!$D298="臨時喫食"),1,0)</f>
        <v>0</v>
      </c>
      <c r="S298" s="0" t="str">
        <f aca="false">IF(R298=1,SUM($R$2:R298),"")</f>
        <v/>
      </c>
      <c r="T298" s="0" t="n">
        <f aca="false">IF(AND(食数記録!$A298=プレビュー!$C$3,食数記録!$B298="朝",食数記録!$F298="女性GH",食数記録!$D298="臨時喫食"),1,0)</f>
        <v>0</v>
      </c>
      <c r="U298" s="0" t="str">
        <f aca="false">IF(T298=1,SUM($T$2:T298),"")</f>
        <v/>
      </c>
      <c r="V298" s="0" t="n">
        <f aca="false">IF(AND(食数記録!$A298=プレビュー!$C$3,食数記録!$B298="昼",食数記録!$F298="女性GH",食数記録!$D298="臨時喫食"),1,0)</f>
        <v>0</v>
      </c>
      <c r="W298" s="0" t="str">
        <f aca="false">IF(V298=1,SUM($V$2:V298),"")</f>
        <v/>
      </c>
      <c r="X298" s="0" t="n">
        <f aca="false">IF(AND(食数記録!$A298=プレビュー!$C$3,食数記録!$B298="夕",食数記録!$F298="女性GH",食数記録!$D298="臨時喫食"),1,0)</f>
        <v>0</v>
      </c>
      <c r="Y298" s="0" t="str">
        <f aca="false">IF(X298=1,SUM($X$2:X298),"")</f>
        <v/>
      </c>
    </row>
    <row r="299" customFormat="false" ht="15" hidden="false" customHeight="false" outlineLevel="0" collapsed="false">
      <c r="B299" s="0" t="n">
        <f aca="false">IF(AND(食数記録!$A299=プレビュー!$C$3,食数記録!$B299="朝",食数記録!$F299="男性入所",食数記録!$D299="欠食"),1,0)</f>
        <v>0</v>
      </c>
      <c r="C299" s="0" t="str">
        <f aca="false">IF(B299=1,SUM($B$2:B299),"")</f>
        <v/>
      </c>
      <c r="D299" s="0" t="n">
        <f aca="false">IF(AND(食数記録!$A299=プレビュー!$C$3,食数記録!$B299="昼",食数記録!$F299="男性入所",食数記録!$D299="欠食"),1,0)</f>
        <v>0</v>
      </c>
      <c r="E299" s="0" t="str">
        <f aca="false">IF(D299=1,SUM($D$2:D299),"")</f>
        <v/>
      </c>
      <c r="F299" s="0" t="n">
        <f aca="false">IF(AND(食数記録!$A299=プレビュー!$C$3,食数記録!$B299="夕",食数記録!$F299="男性入所",食数記録!$D299="欠食"),1,0)</f>
        <v>0</v>
      </c>
      <c r="G299" s="0" t="str">
        <f aca="false">IF(F299=1,SUM($F$2:F299),"")</f>
        <v/>
      </c>
      <c r="H299" s="0" t="n">
        <f aca="false">IF(AND(食数記録!$A299=プレビュー!$C$3,食数記録!$B299="朝",食数記録!$F299="女性入所",食数記録!$D299="欠食"),1,0)</f>
        <v>0</v>
      </c>
      <c r="I299" s="0" t="str">
        <f aca="false">IF(H299=1,SUM($H$2:H299),"")</f>
        <v/>
      </c>
      <c r="J299" s="0" t="n">
        <f aca="false">IF(AND(食数記録!$A299=プレビュー!$C$3,食数記録!$B299="昼",食数記録!$F299="女性入所",食数記録!$D299="欠食"),1,0)</f>
        <v>0</v>
      </c>
      <c r="K299" s="0" t="str">
        <f aca="false">IF(J299=1,SUM($J$2:J299),"")</f>
        <v/>
      </c>
      <c r="L299" s="0" t="n">
        <f aca="false">IF(AND(食数記録!$A299=プレビュー!$C$3,食数記録!$B299="夕",食数記録!$F299="女性入所",食数記録!$D299="欠食"),1,0)</f>
        <v>0</v>
      </c>
      <c r="M299" s="0" t="str">
        <f aca="false">IF(L299=1,SUM($L$2:L299),"")</f>
        <v/>
      </c>
      <c r="N299" s="0" t="n">
        <f aca="false">IF(AND(食数記録!$A299=プレビュー!$C$3,食数記録!$B299="朝",食数記録!$F299="男性GH",食数記録!$D299="臨時喫食"),1,0)</f>
        <v>0</v>
      </c>
      <c r="O299" s="0" t="str">
        <f aca="false">IF(N299=1,SUM($N$2:N299),"")</f>
        <v/>
      </c>
      <c r="P299" s="0" t="n">
        <f aca="false">IF(AND(食数記録!$A299=プレビュー!$C$3,食数記録!$B299="昼",食数記録!$F299="男性GH",食数記録!$D299="臨時喫食"),1,0)</f>
        <v>0</v>
      </c>
      <c r="Q299" s="0" t="str">
        <f aca="false">IF(P299=1,SUM($P$2:P299),"")</f>
        <v/>
      </c>
      <c r="R299" s="0" t="n">
        <f aca="false">IF(AND(食数記録!$A299=プレビュー!$C$3,食数記録!$B299="夕",食数記録!$F299="男性GH",食数記録!$D299="臨時喫食"),1,0)</f>
        <v>0</v>
      </c>
      <c r="S299" s="0" t="str">
        <f aca="false">IF(R299=1,SUM($R$2:R299),"")</f>
        <v/>
      </c>
      <c r="T299" s="0" t="n">
        <f aca="false">IF(AND(食数記録!$A299=プレビュー!$C$3,食数記録!$B299="朝",食数記録!$F299="女性GH",食数記録!$D299="臨時喫食"),1,0)</f>
        <v>0</v>
      </c>
      <c r="U299" s="0" t="str">
        <f aca="false">IF(T299=1,SUM($T$2:T299),"")</f>
        <v/>
      </c>
      <c r="V299" s="0" t="n">
        <f aca="false">IF(AND(食数記録!$A299=プレビュー!$C$3,食数記録!$B299="昼",食数記録!$F299="女性GH",食数記録!$D299="臨時喫食"),1,0)</f>
        <v>0</v>
      </c>
      <c r="W299" s="0" t="str">
        <f aca="false">IF(V299=1,SUM($V$2:V299),"")</f>
        <v/>
      </c>
      <c r="X299" s="0" t="n">
        <f aca="false">IF(AND(食数記録!$A299=プレビュー!$C$3,食数記録!$B299="夕",食数記録!$F299="女性GH",食数記録!$D299="臨時喫食"),1,0)</f>
        <v>0</v>
      </c>
      <c r="Y299" s="0" t="str">
        <f aca="false">IF(X299=1,SUM($X$2:X299),"")</f>
        <v/>
      </c>
    </row>
    <row r="300" customFormat="false" ht="15" hidden="false" customHeight="false" outlineLevel="0" collapsed="false">
      <c r="B300" s="0" t="n">
        <f aca="false">IF(AND(食数記録!$A300=プレビュー!$C$3,食数記録!$B300="朝",食数記録!$F300="男性入所",食数記録!$D300="欠食"),1,0)</f>
        <v>0</v>
      </c>
      <c r="C300" s="0" t="str">
        <f aca="false">IF(B300=1,SUM($B$2:B300),"")</f>
        <v/>
      </c>
      <c r="D300" s="0" t="n">
        <f aca="false">IF(AND(食数記録!$A300=プレビュー!$C$3,食数記録!$B300="昼",食数記録!$F300="男性入所",食数記録!$D300="欠食"),1,0)</f>
        <v>0</v>
      </c>
      <c r="E300" s="0" t="str">
        <f aca="false">IF(D300=1,SUM($D$2:D300),"")</f>
        <v/>
      </c>
      <c r="F300" s="0" t="n">
        <f aca="false">IF(AND(食数記録!$A300=プレビュー!$C$3,食数記録!$B300="夕",食数記録!$F300="男性入所",食数記録!$D300="欠食"),1,0)</f>
        <v>0</v>
      </c>
      <c r="G300" s="0" t="str">
        <f aca="false">IF(F300=1,SUM($F$2:F300),"")</f>
        <v/>
      </c>
      <c r="H300" s="0" t="n">
        <f aca="false">IF(AND(食数記録!$A300=プレビュー!$C$3,食数記録!$B300="朝",食数記録!$F300="女性入所",食数記録!$D300="欠食"),1,0)</f>
        <v>0</v>
      </c>
      <c r="I300" s="0" t="str">
        <f aca="false">IF(H300=1,SUM($H$2:H300),"")</f>
        <v/>
      </c>
      <c r="J300" s="0" t="n">
        <f aca="false">IF(AND(食数記録!$A300=プレビュー!$C$3,食数記録!$B300="昼",食数記録!$F300="女性入所",食数記録!$D300="欠食"),1,0)</f>
        <v>0</v>
      </c>
      <c r="K300" s="0" t="str">
        <f aca="false">IF(J300=1,SUM($J$2:J300),"")</f>
        <v/>
      </c>
      <c r="L300" s="0" t="n">
        <f aca="false">IF(AND(食数記録!$A300=プレビュー!$C$3,食数記録!$B300="夕",食数記録!$F300="女性入所",食数記録!$D300="欠食"),1,0)</f>
        <v>0</v>
      </c>
      <c r="M300" s="0" t="str">
        <f aca="false">IF(L300=1,SUM($L$2:L300),"")</f>
        <v/>
      </c>
      <c r="N300" s="0" t="n">
        <f aca="false">IF(AND(食数記録!$A300=プレビュー!$C$3,食数記録!$B300="朝",食数記録!$F300="男性GH",食数記録!$D300="臨時喫食"),1,0)</f>
        <v>0</v>
      </c>
      <c r="O300" s="0" t="str">
        <f aca="false">IF(N300=1,SUM($N$2:N300),"")</f>
        <v/>
      </c>
      <c r="P300" s="0" t="n">
        <f aca="false">IF(AND(食数記録!$A300=プレビュー!$C$3,食数記録!$B300="昼",食数記録!$F300="男性GH",食数記録!$D300="臨時喫食"),1,0)</f>
        <v>0</v>
      </c>
      <c r="Q300" s="0" t="str">
        <f aca="false">IF(P300=1,SUM($P$2:P300),"")</f>
        <v/>
      </c>
      <c r="R300" s="0" t="n">
        <f aca="false">IF(AND(食数記録!$A300=プレビュー!$C$3,食数記録!$B300="夕",食数記録!$F300="男性GH",食数記録!$D300="臨時喫食"),1,0)</f>
        <v>0</v>
      </c>
      <c r="S300" s="0" t="str">
        <f aca="false">IF(R300=1,SUM($R$2:R300),"")</f>
        <v/>
      </c>
      <c r="T300" s="0" t="n">
        <f aca="false">IF(AND(食数記録!$A300=プレビュー!$C$3,食数記録!$B300="朝",食数記録!$F300="女性GH",食数記録!$D300="臨時喫食"),1,0)</f>
        <v>0</v>
      </c>
      <c r="U300" s="0" t="str">
        <f aca="false">IF(T300=1,SUM($T$2:T300),"")</f>
        <v/>
      </c>
      <c r="V300" s="0" t="n">
        <f aca="false">IF(AND(食数記録!$A300=プレビュー!$C$3,食数記録!$B300="昼",食数記録!$F300="女性GH",食数記録!$D300="臨時喫食"),1,0)</f>
        <v>0</v>
      </c>
      <c r="W300" s="0" t="str">
        <f aca="false">IF(V300=1,SUM($V$2:V300),"")</f>
        <v/>
      </c>
      <c r="X300" s="0" t="n">
        <f aca="false">IF(AND(食数記録!$A300=プレビュー!$C$3,食数記録!$B300="夕",食数記録!$F300="女性GH",食数記録!$D300="臨時喫食"),1,0)</f>
        <v>0</v>
      </c>
      <c r="Y300" s="0" t="str">
        <f aca="false">IF(X300=1,SUM($X$2:X300),"")</f>
        <v/>
      </c>
    </row>
    <row r="301" customFormat="false" ht="15" hidden="false" customHeight="false" outlineLevel="0" collapsed="false">
      <c r="B301" s="0" t="n">
        <f aca="false">IF(AND(食数記録!$A301=プレビュー!$C$3,食数記録!$B301="朝",食数記録!$F301="男性入所",食数記録!$D301="欠食"),1,0)</f>
        <v>0</v>
      </c>
      <c r="C301" s="0" t="str">
        <f aca="false">IF(B301=1,SUM($B$2:B301),"")</f>
        <v/>
      </c>
      <c r="D301" s="0" t="n">
        <f aca="false">IF(AND(食数記録!$A301=プレビュー!$C$3,食数記録!$B301="昼",食数記録!$F301="男性入所",食数記録!$D301="欠食"),1,0)</f>
        <v>0</v>
      </c>
      <c r="E301" s="0" t="str">
        <f aca="false">IF(D301=1,SUM($D$2:D301),"")</f>
        <v/>
      </c>
      <c r="F301" s="0" t="n">
        <f aca="false">IF(AND(食数記録!$A301=プレビュー!$C$3,食数記録!$B301="夕",食数記録!$F301="男性入所",食数記録!$D301="欠食"),1,0)</f>
        <v>0</v>
      </c>
      <c r="G301" s="0" t="str">
        <f aca="false">IF(F301=1,SUM($F$2:F301),"")</f>
        <v/>
      </c>
      <c r="H301" s="0" t="n">
        <f aca="false">IF(AND(食数記録!$A301=プレビュー!$C$3,食数記録!$B301="朝",食数記録!$F301="女性入所",食数記録!$D301="欠食"),1,0)</f>
        <v>0</v>
      </c>
      <c r="I301" s="0" t="str">
        <f aca="false">IF(H301=1,SUM($H$2:H301),"")</f>
        <v/>
      </c>
      <c r="J301" s="0" t="n">
        <f aca="false">IF(AND(食数記録!$A301=プレビュー!$C$3,食数記録!$B301="昼",食数記録!$F301="女性入所",食数記録!$D301="欠食"),1,0)</f>
        <v>0</v>
      </c>
      <c r="K301" s="0" t="str">
        <f aca="false">IF(J301=1,SUM($J$2:J301),"")</f>
        <v/>
      </c>
      <c r="L301" s="0" t="n">
        <f aca="false">IF(AND(食数記録!$A301=プレビュー!$C$3,食数記録!$B301="夕",食数記録!$F301="女性入所",食数記録!$D301="欠食"),1,0)</f>
        <v>0</v>
      </c>
      <c r="M301" s="0" t="str">
        <f aca="false">IF(L301=1,SUM($L$2:L301),"")</f>
        <v/>
      </c>
      <c r="N301" s="0" t="n">
        <f aca="false">IF(AND(食数記録!$A301=プレビュー!$C$3,食数記録!$B301="朝",食数記録!$F301="男性GH",食数記録!$D301="臨時喫食"),1,0)</f>
        <v>0</v>
      </c>
      <c r="O301" s="0" t="str">
        <f aca="false">IF(N301=1,SUM($N$2:N301),"")</f>
        <v/>
      </c>
      <c r="P301" s="0" t="n">
        <f aca="false">IF(AND(食数記録!$A301=プレビュー!$C$3,食数記録!$B301="昼",食数記録!$F301="男性GH",食数記録!$D301="臨時喫食"),1,0)</f>
        <v>0</v>
      </c>
      <c r="Q301" s="0" t="str">
        <f aca="false">IF(P301=1,SUM($P$2:P301),"")</f>
        <v/>
      </c>
      <c r="R301" s="0" t="n">
        <f aca="false">IF(AND(食数記録!$A301=プレビュー!$C$3,食数記録!$B301="夕",食数記録!$F301="男性GH",食数記録!$D301="臨時喫食"),1,0)</f>
        <v>0</v>
      </c>
      <c r="S301" s="0" t="str">
        <f aca="false">IF(R301=1,SUM($R$2:R301),"")</f>
        <v/>
      </c>
      <c r="T301" s="0" t="n">
        <f aca="false">IF(AND(食数記録!$A301=プレビュー!$C$3,食数記録!$B301="朝",食数記録!$F301="女性GH",食数記録!$D301="臨時喫食"),1,0)</f>
        <v>0</v>
      </c>
      <c r="U301" s="0" t="str">
        <f aca="false">IF(T301=1,SUM($T$2:T301),"")</f>
        <v/>
      </c>
      <c r="V301" s="0" t="n">
        <f aca="false">IF(AND(食数記録!$A301=プレビュー!$C$3,食数記録!$B301="昼",食数記録!$F301="女性GH",食数記録!$D301="臨時喫食"),1,0)</f>
        <v>0</v>
      </c>
      <c r="W301" s="0" t="str">
        <f aca="false">IF(V301=1,SUM($V$2:V301),"")</f>
        <v/>
      </c>
      <c r="X301" s="0" t="n">
        <f aca="false">IF(AND(食数記録!$A301=プレビュー!$C$3,食数記録!$B301="夕",食数記録!$F301="女性GH",食数記録!$D301="臨時喫食"),1,0)</f>
        <v>0</v>
      </c>
      <c r="Y301" s="0" t="str">
        <f aca="false">IF(X301=1,SUM($X$2:X301),"")</f>
        <v/>
      </c>
    </row>
    <row r="302" customFormat="false" ht="15" hidden="false" customHeight="false" outlineLevel="0" collapsed="false">
      <c r="B302" s="0" t="n">
        <f aca="false">IF(AND(食数記録!$A302=プレビュー!$C$3,食数記録!$B302="朝",食数記録!$F302="男性入所",食数記録!$D302="欠食"),1,0)</f>
        <v>0</v>
      </c>
      <c r="C302" s="0" t="str">
        <f aca="false">IF(B302=1,SUM($B$2:B302),"")</f>
        <v/>
      </c>
      <c r="D302" s="0" t="n">
        <f aca="false">IF(AND(食数記録!$A302=プレビュー!$C$3,食数記録!$B302="昼",食数記録!$F302="男性入所",食数記録!$D302="欠食"),1,0)</f>
        <v>0</v>
      </c>
      <c r="E302" s="0" t="str">
        <f aca="false">IF(D302=1,SUM($D$2:D302),"")</f>
        <v/>
      </c>
      <c r="F302" s="0" t="n">
        <f aca="false">IF(AND(食数記録!$A302=プレビュー!$C$3,食数記録!$B302="夕",食数記録!$F302="男性入所",食数記録!$D302="欠食"),1,0)</f>
        <v>0</v>
      </c>
      <c r="G302" s="0" t="str">
        <f aca="false">IF(F302=1,SUM($F$2:F302),"")</f>
        <v/>
      </c>
      <c r="H302" s="0" t="n">
        <f aca="false">IF(AND(食数記録!$A302=プレビュー!$C$3,食数記録!$B302="朝",食数記録!$F302="女性入所",食数記録!$D302="欠食"),1,0)</f>
        <v>0</v>
      </c>
      <c r="I302" s="0" t="str">
        <f aca="false">IF(H302=1,SUM($H$2:H302),"")</f>
        <v/>
      </c>
      <c r="J302" s="0" t="n">
        <f aca="false">IF(AND(食数記録!$A302=プレビュー!$C$3,食数記録!$B302="昼",食数記録!$F302="女性入所",食数記録!$D302="欠食"),1,0)</f>
        <v>0</v>
      </c>
      <c r="K302" s="0" t="str">
        <f aca="false">IF(J302=1,SUM($J$2:J302),"")</f>
        <v/>
      </c>
      <c r="L302" s="0" t="n">
        <f aca="false">IF(AND(食数記録!$A302=プレビュー!$C$3,食数記録!$B302="夕",食数記録!$F302="女性入所",食数記録!$D302="欠食"),1,0)</f>
        <v>0</v>
      </c>
      <c r="M302" s="0" t="str">
        <f aca="false">IF(L302=1,SUM($L$2:L302),"")</f>
        <v/>
      </c>
      <c r="N302" s="0" t="n">
        <f aca="false">IF(AND(食数記録!$A302=プレビュー!$C$3,食数記録!$B302="朝",食数記録!$F302="男性GH",食数記録!$D302="臨時喫食"),1,0)</f>
        <v>0</v>
      </c>
      <c r="O302" s="0" t="str">
        <f aca="false">IF(N302=1,SUM($N$2:N302),"")</f>
        <v/>
      </c>
      <c r="P302" s="0" t="n">
        <f aca="false">IF(AND(食数記録!$A302=プレビュー!$C$3,食数記録!$B302="昼",食数記録!$F302="男性GH",食数記録!$D302="臨時喫食"),1,0)</f>
        <v>0</v>
      </c>
      <c r="Q302" s="0" t="str">
        <f aca="false">IF(P302=1,SUM($P$2:P302),"")</f>
        <v/>
      </c>
      <c r="R302" s="0" t="n">
        <f aca="false">IF(AND(食数記録!$A302=プレビュー!$C$3,食数記録!$B302="夕",食数記録!$F302="男性GH",食数記録!$D302="臨時喫食"),1,0)</f>
        <v>0</v>
      </c>
      <c r="S302" s="0" t="str">
        <f aca="false">IF(R302=1,SUM($R$2:R302),"")</f>
        <v/>
      </c>
      <c r="T302" s="0" t="n">
        <f aca="false">IF(AND(食数記録!$A302=プレビュー!$C$3,食数記録!$B302="朝",食数記録!$F302="女性GH",食数記録!$D302="臨時喫食"),1,0)</f>
        <v>0</v>
      </c>
      <c r="U302" s="0" t="str">
        <f aca="false">IF(T302=1,SUM($T$2:T302),"")</f>
        <v/>
      </c>
      <c r="V302" s="0" t="n">
        <f aca="false">IF(AND(食数記録!$A302=プレビュー!$C$3,食数記録!$B302="昼",食数記録!$F302="女性GH",食数記録!$D302="臨時喫食"),1,0)</f>
        <v>0</v>
      </c>
      <c r="W302" s="0" t="str">
        <f aca="false">IF(V302=1,SUM($V$2:V302),"")</f>
        <v/>
      </c>
      <c r="X302" s="0" t="n">
        <f aca="false">IF(AND(食数記録!$A302=プレビュー!$C$3,食数記録!$B302="夕",食数記録!$F302="女性GH",食数記録!$D302="臨時喫食"),1,0)</f>
        <v>0</v>
      </c>
      <c r="Y302" s="0" t="str">
        <f aca="false">IF(X302=1,SUM($X$2:X302),"")</f>
        <v/>
      </c>
    </row>
    <row r="303" customFormat="false" ht="15" hidden="false" customHeight="false" outlineLevel="0" collapsed="false">
      <c r="B303" s="0" t="n">
        <f aca="false">IF(AND(食数記録!$A303=プレビュー!$C$3,食数記録!$B303="朝",食数記録!$F303="男性入所",食数記録!$D303="欠食"),1,0)</f>
        <v>0</v>
      </c>
      <c r="C303" s="0" t="str">
        <f aca="false">IF(B303=1,SUM($B$2:B303),"")</f>
        <v/>
      </c>
      <c r="D303" s="0" t="n">
        <f aca="false">IF(AND(食数記録!$A303=プレビュー!$C$3,食数記録!$B303="昼",食数記録!$F303="男性入所",食数記録!$D303="欠食"),1,0)</f>
        <v>0</v>
      </c>
      <c r="E303" s="0" t="str">
        <f aca="false">IF(D303=1,SUM($D$2:D303),"")</f>
        <v/>
      </c>
      <c r="F303" s="0" t="n">
        <f aca="false">IF(AND(食数記録!$A303=プレビュー!$C$3,食数記録!$B303="夕",食数記録!$F303="男性入所",食数記録!$D303="欠食"),1,0)</f>
        <v>0</v>
      </c>
      <c r="G303" s="0" t="str">
        <f aca="false">IF(F303=1,SUM($F$2:F303),"")</f>
        <v/>
      </c>
      <c r="H303" s="0" t="n">
        <f aca="false">IF(AND(食数記録!$A303=プレビュー!$C$3,食数記録!$B303="朝",食数記録!$F303="女性入所",食数記録!$D303="欠食"),1,0)</f>
        <v>0</v>
      </c>
      <c r="I303" s="0" t="str">
        <f aca="false">IF(H303=1,SUM($H$2:H303),"")</f>
        <v/>
      </c>
      <c r="J303" s="0" t="n">
        <f aca="false">IF(AND(食数記録!$A303=プレビュー!$C$3,食数記録!$B303="昼",食数記録!$F303="女性入所",食数記録!$D303="欠食"),1,0)</f>
        <v>0</v>
      </c>
      <c r="K303" s="0" t="str">
        <f aca="false">IF(J303=1,SUM($J$2:J303),"")</f>
        <v/>
      </c>
      <c r="L303" s="0" t="n">
        <f aca="false">IF(AND(食数記録!$A303=プレビュー!$C$3,食数記録!$B303="夕",食数記録!$F303="女性入所",食数記録!$D303="欠食"),1,0)</f>
        <v>0</v>
      </c>
      <c r="M303" s="0" t="str">
        <f aca="false">IF(L303=1,SUM($L$2:L303),"")</f>
        <v/>
      </c>
      <c r="N303" s="0" t="n">
        <f aca="false">IF(AND(食数記録!$A303=プレビュー!$C$3,食数記録!$B303="朝",食数記録!$F303="男性GH",食数記録!$D303="臨時喫食"),1,0)</f>
        <v>0</v>
      </c>
      <c r="O303" s="0" t="str">
        <f aca="false">IF(N303=1,SUM($N$2:N303),"")</f>
        <v/>
      </c>
      <c r="P303" s="0" t="n">
        <f aca="false">IF(AND(食数記録!$A303=プレビュー!$C$3,食数記録!$B303="昼",食数記録!$F303="男性GH",食数記録!$D303="臨時喫食"),1,0)</f>
        <v>0</v>
      </c>
      <c r="Q303" s="0" t="str">
        <f aca="false">IF(P303=1,SUM($P$2:P303),"")</f>
        <v/>
      </c>
      <c r="R303" s="0" t="n">
        <f aca="false">IF(AND(食数記録!$A303=プレビュー!$C$3,食数記録!$B303="夕",食数記録!$F303="男性GH",食数記録!$D303="臨時喫食"),1,0)</f>
        <v>0</v>
      </c>
      <c r="S303" s="0" t="str">
        <f aca="false">IF(R303=1,SUM($R$2:R303),"")</f>
        <v/>
      </c>
      <c r="T303" s="0" t="n">
        <f aca="false">IF(AND(食数記録!$A303=プレビュー!$C$3,食数記録!$B303="朝",食数記録!$F303="女性GH",食数記録!$D303="臨時喫食"),1,0)</f>
        <v>0</v>
      </c>
      <c r="U303" s="0" t="str">
        <f aca="false">IF(T303=1,SUM($T$2:T303),"")</f>
        <v/>
      </c>
      <c r="V303" s="0" t="n">
        <f aca="false">IF(AND(食数記録!$A303=プレビュー!$C$3,食数記録!$B303="昼",食数記録!$F303="女性GH",食数記録!$D303="臨時喫食"),1,0)</f>
        <v>0</v>
      </c>
      <c r="W303" s="0" t="str">
        <f aca="false">IF(V303=1,SUM($V$2:V303),"")</f>
        <v/>
      </c>
      <c r="X303" s="0" t="n">
        <f aca="false">IF(AND(食数記録!$A303=プレビュー!$C$3,食数記録!$B303="夕",食数記録!$F303="女性GH",食数記録!$D303="臨時喫食"),1,0)</f>
        <v>0</v>
      </c>
      <c r="Y303" s="0" t="str">
        <f aca="false">IF(X303=1,SUM($X$2:X303),"")</f>
        <v/>
      </c>
    </row>
    <row r="304" customFormat="false" ht="15" hidden="false" customHeight="false" outlineLevel="0" collapsed="false">
      <c r="B304" s="0" t="n">
        <f aca="false">IF(AND(食数記録!$A304=プレビュー!$C$3,食数記録!$B304="朝",食数記録!$F304="男性入所",食数記録!$D304="欠食"),1,0)</f>
        <v>0</v>
      </c>
      <c r="C304" s="0" t="str">
        <f aca="false">IF(B304=1,SUM($B$2:B304),"")</f>
        <v/>
      </c>
      <c r="D304" s="0" t="n">
        <f aca="false">IF(AND(食数記録!$A304=プレビュー!$C$3,食数記録!$B304="昼",食数記録!$F304="男性入所",食数記録!$D304="欠食"),1,0)</f>
        <v>0</v>
      </c>
      <c r="E304" s="0" t="str">
        <f aca="false">IF(D304=1,SUM($D$2:D304),"")</f>
        <v/>
      </c>
      <c r="F304" s="0" t="n">
        <f aca="false">IF(AND(食数記録!$A304=プレビュー!$C$3,食数記録!$B304="夕",食数記録!$F304="男性入所",食数記録!$D304="欠食"),1,0)</f>
        <v>0</v>
      </c>
      <c r="G304" s="0" t="str">
        <f aca="false">IF(F304=1,SUM($F$2:F304),"")</f>
        <v/>
      </c>
      <c r="H304" s="0" t="n">
        <f aca="false">IF(AND(食数記録!$A304=プレビュー!$C$3,食数記録!$B304="朝",食数記録!$F304="女性入所",食数記録!$D304="欠食"),1,0)</f>
        <v>0</v>
      </c>
      <c r="I304" s="0" t="str">
        <f aca="false">IF(H304=1,SUM($H$2:H304),"")</f>
        <v/>
      </c>
      <c r="J304" s="0" t="n">
        <f aca="false">IF(AND(食数記録!$A304=プレビュー!$C$3,食数記録!$B304="昼",食数記録!$F304="女性入所",食数記録!$D304="欠食"),1,0)</f>
        <v>0</v>
      </c>
      <c r="K304" s="0" t="str">
        <f aca="false">IF(J304=1,SUM($J$2:J304),"")</f>
        <v/>
      </c>
      <c r="L304" s="0" t="n">
        <f aca="false">IF(AND(食数記録!$A304=プレビュー!$C$3,食数記録!$B304="夕",食数記録!$F304="女性入所",食数記録!$D304="欠食"),1,0)</f>
        <v>0</v>
      </c>
      <c r="M304" s="0" t="str">
        <f aca="false">IF(L304=1,SUM($L$2:L304),"")</f>
        <v/>
      </c>
      <c r="N304" s="0" t="n">
        <f aca="false">IF(AND(食数記録!$A304=プレビュー!$C$3,食数記録!$B304="朝",食数記録!$F304="男性GH",食数記録!$D304="臨時喫食"),1,0)</f>
        <v>0</v>
      </c>
      <c r="O304" s="0" t="str">
        <f aca="false">IF(N304=1,SUM($N$2:N304),"")</f>
        <v/>
      </c>
      <c r="P304" s="0" t="n">
        <f aca="false">IF(AND(食数記録!$A304=プレビュー!$C$3,食数記録!$B304="昼",食数記録!$F304="男性GH",食数記録!$D304="臨時喫食"),1,0)</f>
        <v>0</v>
      </c>
      <c r="Q304" s="0" t="str">
        <f aca="false">IF(P304=1,SUM($P$2:P304),"")</f>
        <v/>
      </c>
      <c r="R304" s="0" t="n">
        <f aca="false">IF(AND(食数記録!$A304=プレビュー!$C$3,食数記録!$B304="夕",食数記録!$F304="男性GH",食数記録!$D304="臨時喫食"),1,0)</f>
        <v>0</v>
      </c>
      <c r="S304" s="0" t="str">
        <f aca="false">IF(R304=1,SUM($R$2:R304),"")</f>
        <v/>
      </c>
      <c r="T304" s="0" t="n">
        <f aca="false">IF(AND(食数記録!$A304=プレビュー!$C$3,食数記録!$B304="朝",食数記録!$F304="女性GH",食数記録!$D304="臨時喫食"),1,0)</f>
        <v>0</v>
      </c>
      <c r="U304" s="0" t="str">
        <f aca="false">IF(T304=1,SUM($T$2:T304),"")</f>
        <v/>
      </c>
      <c r="V304" s="0" t="n">
        <f aca="false">IF(AND(食数記録!$A304=プレビュー!$C$3,食数記録!$B304="昼",食数記録!$F304="女性GH",食数記録!$D304="臨時喫食"),1,0)</f>
        <v>0</v>
      </c>
      <c r="W304" s="0" t="str">
        <f aca="false">IF(V304=1,SUM($V$2:V304),"")</f>
        <v/>
      </c>
      <c r="X304" s="0" t="n">
        <f aca="false">IF(AND(食数記録!$A304=プレビュー!$C$3,食数記録!$B304="夕",食数記録!$F304="女性GH",食数記録!$D304="臨時喫食"),1,0)</f>
        <v>0</v>
      </c>
      <c r="Y304" s="0" t="str">
        <f aca="false">IF(X304=1,SUM($X$2:X304),"")</f>
        <v/>
      </c>
    </row>
    <row r="305" customFormat="false" ht="15" hidden="false" customHeight="false" outlineLevel="0" collapsed="false">
      <c r="B305" s="0" t="n">
        <f aca="false">IF(AND(食数記録!$A305=プレビュー!$C$3,食数記録!$B305="朝",食数記録!$F305="男性入所",食数記録!$D305="欠食"),1,0)</f>
        <v>0</v>
      </c>
      <c r="C305" s="0" t="str">
        <f aca="false">IF(B305=1,SUM($B$2:B305),"")</f>
        <v/>
      </c>
      <c r="D305" s="0" t="n">
        <f aca="false">IF(AND(食数記録!$A305=プレビュー!$C$3,食数記録!$B305="昼",食数記録!$F305="男性入所",食数記録!$D305="欠食"),1,0)</f>
        <v>0</v>
      </c>
      <c r="E305" s="0" t="str">
        <f aca="false">IF(D305=1,SUM($D$2:D305),"")</f>
        <v/>
      </c>
      <c r="F305" s="0" t="n">
        <f aca="false">IF(AND(食数記録!$A305=プレビュー!$C$3,食数記録!$B305="夕",食数記録!$F305="男性入所",食数記録!$D305="欠食"),1,0)</f>
        <v>0</v>
      </c>
      <c r="G305" s="0" t="str">
        <f aca="false">IF(F305=1,SUM($F$2:F305),"")</f>
        <v/>
      </c>
      <c r="H305" s="0" t="n">
        <f aca="false">IF(AND(食数記録!$A305=プレビュー!$C$3,食数記録!$B305="朝",食数記録!$F305="女性入所",食数記録!$D305="欠食"),1,0)</f>
        <v>0</v>
      </c>
      <c r="I305" s="0" t="str">
        <f aca="false">IF(H305=1,SUM($H$2:H305),"")</f>
        <v/>
      </c>
      <c r="J305" s="0" t="n">
        <f aca="false">IF(AND(食数記録!$A305=プレビュー!$C$3,食数記録!$B305="昼",食数記録!$F305="女性入所",食数記録!$D305="欠食"),1,0)</f>
        <v>0</v>
      </c>
      <c r="K305" s="0" t="str">
        <f aca="false">IF(J305=1,SUM($J$2:J305),"")</f>
        <v/>
      </c>
      <c r="L305" s="0" t="n">
        <f aca="false">IF(AND(食数記録!$A305=プレビュー!$C$3,食数記録!$B305="夕",食数記録!$F305="女性入所",食数記録!$D305="欠食"),1,0)</f>
        <v>0</v>
      </c>
      <c r="M305" s="0" t="str">
        <f aca="false">IF(L305=1,SUM($L$2:L305),"")</f>
        <v/>
      </c>
      <c r="N305" s="0" t="n">
        <f aca="false">IF(AND(食数記録!$A305=プレビュー!$C$3,食数記録!$B305="朝",食数記録!$F305="男性GH",食数記録!$D305="臨時喫食"),1,0)</f>
        <v>0</v>
      </c>
      <c r="O305" s="0" t="str">
        <f aca="false">IF(N305=1,SUM($N$2:N305),"")</f>
        <v/>
      </c>
      <c r="P305" s="0" t="n">
        <f aca="false">IF(AND(食数記録!$A305=プレビュー!$C$3,食数記録!$B305="昼",食数記録!$F305="男性GH",食数記録!$D305="臨時喫食"),1,0)</f>
        <v>0</v>
      </c>
      <c r="Q305" s="0" t="str">
        <f aca="false">IF(P305=1,SUM($P$2:P305),"")</f>
        <v/>
      </c>
      <c r="R305" s="0" t="n">
        <f aca="false">IF(AND(食数記録!$A305=プレビュー!$C$3,食数記録!$B305="夕",食数記録!$F305="男性GH",食数記録!$D305="臨時喫食"),1,0)</f>
        <v>0</v>
      </c>
      <c r="S305" s="0" t="str">
        <f aca="false">IF(R305=1,SUM($R$2:R305),"")</f>
        <v/>
      </c>
      <c r="T305" s="0" t="n">
        <f aca="false">IF(AND(食数記録!$A305=プレビュー!$C$3,食数記録!$B305="朝",食数記録!$F305="女性GH",食数記録!$D305="臨時喫食"),1,0)</f>
        <v>0</v>
      </c>
      <c r="U305" s="0" t="str">
        <f aca="false">IF(T305=1,SUM($T$2:T305),"")</f>
        <v/>
      </c>
      <c r="V305" s="0" t="n">
        <f aca="false">IF(AND(食数記録!$A305=プレビュー!$C$3,食数記録!$B305="昼",食数記録!$F305="女性GH",食数記録!$D305="臨時喫食"),1,0)</f>
        <v>0</v>
      </c>
      <c r="W305" s="0" t="str">
        <f aca="false">IF(V305=1,SUM($V$2:V305),"")</f>
        <v/>
      </c>
      <c r="X305" s="0" t="n">
        <f aca="false">IF(AND(食数記録!$A305=プレビュー!$C$3,食数記録!$B305="夕",食数記録!$F305="女性GH",食数記録!$D305="臨時喫食"),1,0)</f>
        <v>0</v>
      </c>
      <c r="Y305" s="0" t="str">
        <f aca="false">IF(X305=1,SUM($X$2:X305),"")</f>
        <v/>
      </c>
    </row>
    <row r="306" customFormat="false" ht="15" hidden="false" customHeight="false" outlineLevel="0" collapsed="false">
      <c r="B306" s="0" t="n">
        <f aca="false">IF(AND(食数記録!$A306=プレビュー!$C$3,食数記録!$B306="朝",食数記録!$F306="男性入所",食数記録!$D306="欠食"),1,0)</f>
        <v>0</v>
      </c>
      <c r="C306" s="0" t="str">
        <f aca="false">IF(B306=1,SUM($B$2:B306),"")</f>
        <v/>
      </c>
      <c r="D306" s="0" t="n">
        <f aca="false">IF(AND(食数記録!$A306=プレビュー!$C$3,食数記録!$B306="昼",食数記録!$F306="男性入所",食数記録!$D306="欠食"),1,0)</f>
        <v>0</v>
      </c>
      <c r="E306" s="0" t="str">
        <f aca="false">IF(D306=1,SUM($D$2:D306),"")</f>
        <v/>
      </c>
      <c r="F306" s="0" t="n">
        <f aca="false">IF(AND(食数記録!$A306=プレビュー!$C$3,食数記録!$B306="夕",食数記録!$F306="男性入所",食数記録!$D306="欠食"),1,0)</f>
        <v>0</v>
      </c>
      <c r="G306" s="0" t="str">
        <f aca="false">IF(F306=1,SUM($F$2:F306),"")</f>
        <v/>
      </c>
      <c r="H306" s="0" t="n">
        <f aca="false">IF(AND(食数記録!$A306=プレビュー!$C$3,食数記録!$B306="朝",食数記録!$F306="女性入所",食数記録!$D306="欠食"),1,0)</f>
        <v>0</v>
      </c>
      <c r="I306" s="0" t="str">
        <f aca="false">IF(H306=1,SUM($H$2:H306),"")</f>
        <v/>
      </c>
      <c r="J306" s="0" t="n">
        <f aca="false">IF(AND(食数記録!$A306=プレビュー!$C$3,食数記録!$B306="昼",食数記録!$F306="女性入所",食数記録!$D306="欠食"),1,0)</f>
        <v>0</v>
      </c>
      <c r="K306" s="0" t="str">
        <f aca="false">IF(J306=1,SUM($J$2:J306),"")</f>
        <v/>
      </c>
      <c r="L306" s="0" t="n">
        <f aca="false">IF(AND(食数記録!$A306=プレビュー!$C$3,食数記録!$B306="夕",食数記録!$F306="女性入所",食数記録!$D306="欠食"),1,0)</f>
        <v>0</v>
      </c>
      <c r="M306" s="0" t="str">
        <f aca="false">IF(L306=1,SUM($L$2:L306),"")</f>
        <v/>
      </c>
      <c r="N306" s="0" t="n">
        <f aca="false">IF(AND(食数記録!$A306=プレビュー!$C$3,食数記録!$B306="朝",食数記録!$F306="男性GH",食数記録!$D306="臨時喫食"),1,0)</f>
        <v>0</v>
      </c>
      <c r="O306" s="0" t="str">
        <f aca="false">IF(N306=1,SUM($N$2:N306),"")</f>
        <v/>
      </c>
      <c r="P306" s="0" t="n">
        <f aca="false">IF(AND(食数記録!$A306=プレビュー!$C$3,食数記録!$B306="昼",食数記録!$F306="男性GH",食数記録!$D306="臨時喫食"),1,0)</f>
        <v>0</v>
      </c>
      <c r="Q306" s="0" t="str">
        <f aca="false">IF(P306=1,SUM($P$2:P306),"")</f>
        <v/>
      </c>
      <c r="R306" s="0" t="n">
        <f aca="false">IF(AND(食数記録!$A306=プレビュー!$C$3,食数記録!$B306="夕",食数記録!$F306="男性GH",食数記録!$D306="臨時喫食"),1,0)</f>
        <v>0</v>
      </c>
      <c r="S306" s="0" t="str">
        <f aca="false">IF(R306=1,SUM($R$2:R306),"")</f>
        <v/>
      </c>
      <c r="T306" s="0" t="n">
        <f aca="false">IF(AND(食数記録!$A306=プレビュー!$C$3,食数記録!$B306="朝",食数記録!$F306="女性GH",食数記録!$D306="臨時喫食"),1,0)</f>
        <v>0</v>
      </c>
      <c r="U306" s="0" t="str">
        <f aca="false">IF(T306=1,SUM($T$2:T306),"")</f>
        <v/>
      </c>
      <c r="V306" s="0" t="n">
        <f aca="false">IF(AND(食数記録!$A306=プレビュー!$C$3,食数記録!$B306="昼",食数記録!$F306="女性GH",食数記録!$D306="臨時喫食"),1,0)</f>
        <v>0</v>
      </c>
      <c r="W306" s="0" t="str">
        <f aca="false">IF(V306=1,SUM($V$2:V306),"")</f>
        <v/>
      </c>
      <c r="X306" s="0" t="n">
        <f aca="false">IF(AND(食数記録!$A306=プレビュー!$C$3,食数記録!$B306="夕",食数記録!$F306="女性GH",食数記録!$D306="臨時喫食"),1,0)</f>
        <v>0</v>
      </c>
      <c r="Y306" s="0" t="str">
        <f aca="false">IF(X306=1,SUM($X$2:X306),"")</f>
        <v/>
      </c>
    </row>
    <row r="307" customFormat="false" ht="15" hidden="false" customHeight="false" outlineLevel="0" collapsed="false">
      <c r="B307" s="0" t="n">
        <f aca="false">IF(AND(食数記録!$A307=プレビュー!$C$3,食数記録!$B307="朝",食数記録!$F307="男性入所",食数記録!$D307="欠食"),1,0)</f>
        <v>0</v>
      </c>
      <c r="C307" s="0" t="str">
        <f aca="false">IF(B307=1,SUM($B$2:B307),"")</f>
        <v/>
      </c>
      <c r="D307" s="0" t="n">
        <f aca="false">IF(AND(食数記録!$A307=プレビュー!$C$3,食数記録!$B307="昼",食数記録!$F307="男性入所",食数記録!$D307="欠食"),1,0)</f>
        <v>0</v>
      </c>
      <c r="E307" s="0" t="str">
        <f aca="false">IF(D307=1,SUM($D$2:D307),"")</f>
        <v/>
      </c>
      <c r="F307" s="0" t="n">
        <f aca="false">IF(AND(食数記録!$A307=プレビュー!$C$3,食数記録!$B307="夕",食数記録!$F307="男性入所",食数記録!$D307="欠食"),1,0)</f>
        <v>0</v>
      </c>
      <c r="G307" s="0" t="str">
        <f aca="false">IF(F307=1,SUM($F$2:F307),"")</f>
        <v/>
      </c>
      <c r="H307" s="0" t="n">
        <f aca="false">IF(AND(食数記録!$A307=プレビュー!$C$3,食数記録!$B307="朝",食数記録!$F307="女性入所",食数記録!$D307="欠食"),1,0)</f>
        <v>0</v>
      </c>
      <c r="I307" s="0" t="str">
        <f aca="false">IF(H307=1,SUM($H$2:H307),"")</f>
        <v/>
      </c>
      <c r="J307" s="0" t="n">
        <f aca="false">IF(AND(食数記録!$A307=プレビュー!$C$3,食数記録!$B307="昼",食数記録!$F307="女性入所",食数記録!$D307="欠食"),1,0)</f>
        <v>0</v>
      </c>
      <c r="K307" s="0" t="str">
        <f aca="false">IF(J307=1,SUM($J$2:J307),"")</f>
        <v/>
      </c>
      <c r="L307" s="0" t="n">
        <f aca="false">IF(AND(食数記録!$A307=プレビュー!$C$3,食数記録!$B307="夕",食数記録!$F307="女性入所",食数記録!$D307="欠食"),1,0)</f>
        <v>0</v>
      </c>
      <c r="M307" s="0" t="str">
        <f aca="false">IF(L307=1,SUM($L$2:L307),"")</f>
        <v/>
      </c>
      <c r="N307" s="0" t="n">
        <f aca="false">IF(AND(食数記録!$A307=プレビュー!$C$3,食数記録!$B307="朝",食数記録!$F307="男性GH",食数記録!$D307="臨時喫食"),1,0)</f>
        <v>0</v>
      </c>
      <c r="O307" s="0" t="str">
        <f aca="false">IF(N307=1,SUM($N$2:N307),"")</f>
        <v/>
      </c>
      <c r="P307" s="0" t="n">
        <f aca="false">IF(AND(食数記録!$A307=プレビュー!$C$3,食数記録!$B307="昼",食数記録!$F307="男性GH",食数記録!$D307="臨時喫食"),1,0)</f>
        <v>0</v>
      </c>
      <c r="Q307" s="0" t="str">
        <f aca="false">IF(P307=1,SUM($P$2:P307),"")</f>
        <v/>
      </c>
      <c r="R307" s="0" t="n">
        <f aca="false">IF(AND(食数記録!$A307=プレビュー!$C$3,食数記録!$B307="夕",食数記録!$F307="男性GH",食数記録!$D307="臨時喫食"),1,0)</f>
        <v>0</v>
      </c>
      <c r="S307" s="0" t="str">
        <f aca="false">IF(R307=1,SUM($R$2:R307),"")</f>
        <v/>
      </c>
      <c r="T307" s="0" t="n">
        <f aca="false">IF(AND(食数記録!$A307=プレビュー!$C$3,食数記録!$B307="朝",食数記録!$F307="女性GH",食数記録!$D307="臨時喫食"),1,0)</f>
        <v>0</v>
      </c>
      <c r="U307" s="0" t="str">
        <f aca="false">IF(T307=1,SUM($T$2:T307),"")</f>
        <v/>
      </c>
      <c r="V307" s="0" t="n">
        <f aca="false">IF(AND(食数記録!$A307=プレビュー!$C$3,食数記録!$B307="昼",食数記録!$F307="女性GH",食数記録!$D307="臨時喫食"),1,0)</f>
        <v>0</v>
      </c>
      <c r="W307" s="0" t="str">
        <f aca="false">IF(V307=1,SUM($V$2:V307),"")</f>
        <v/>
      </c>
      <c r="X307" s="0" t="n">
        <f aca="false">IF(AND(食数記録!$A307=プレビュー!$C$3,食数記録!$B307="夕",食数記録!$F307="女性GH",食数記録!$D307="臨時喫食"),1,0)</f>
        <v>0</v>
      </c>
      <c r="Y307" s="0" t="str">
        <f aca="false">IF(X307=1,SUM($X$2:X307),"")</f>
        <v/>
      </c>
    </row>
    <row r="308" customFormat="false" ht="15" hidden="false" customHeight="false" outlineLevel="0" collapsed="false">
      <c r="B308" s="0" t="n">
        <f aca="false">IF(AND(食数記録!$A308=プレビュー!$C$3,食数記録!$B308="朝",食数記録!$F308="男性入所",食数記録!$D308="欠食"),1,0)</f>
        <v>0</v>
      </c>
      <c r="C308" s="0" t="str">
        <f aca="false">IF(B308=1,SUM($B$2:B308),"")</f>
        <v/>
      </c>
      <c r="D308" s="0" t="n">
        <f aca="false">IF(AND(食数記録!$A308=プレビュー!$C$3,食数記録!$B308="昼",食数記録!$F308="男性入所",食数記録!$D308="欠食"),1,0)</f>
        <v>0</v>
      </c>
      <c r="E308" s="0" t="str">
        <f aca="false">IF(D308=1,SUM($D$2:D308),"")</f>
        <v/>
      </c>
      <c r="F308" s="0" t="n">
        <f aca="false">IF(AND(食数記録!$A308=プレビュー!$C$3,食数記録!$B308="夕",食数記録!$F308="男性入所",食数記録!$D308="欠食"),1,0)</f>
        <v>0</v>
      </c>
      <c r="G308" s="0" t="str">
        <f aca="false">IF(F308=1,SUM($F$2:F308),"")</f>
        <v/>
      </c>
      <c r="H308" s="0" t="n">
        <f aca="false">IF(AND(食数記録!$A308=プレビュー!$C$3,食数記録!$B308="朝",食数記録!$F308="女性入所",食数記録!$D308="欠食"),1,0)</f>
        <v>0</v>
      </c>
      <c r="I308" s="0" t="str">
        <f aca="false">IF(H308=1,SUM($H$2:H308),"")</f>
        <v/>
      </c>
      <c r="J308" s="0" t="n">
        <f aca="false">IF(AND(食数記録!$A308=プレビュー!$C$3,食数記録!$B308="昼",食数記録!$F308="女性入所",食数記録!$D308="欠食"),1,0)</f>
        <v>0</v>
      </c>
      <c r="K308" s="0" t="str">
        <f aca="false">IF(J308=1,SUM($J$2:J308),"")</f>
        <v/>
      </c>
      <c r="L308" s="0" t="n">
        <f aca="false">IF(AND(食数記録!$A308=プレビュー!$C$3,食数記録!$B308="夕",食数記録!$F308="女性入所",食数記録!$D308="欠食"),1,0)</f>
        <v>0</v>
      </c>
      <c r="M308" s="0" t="str">
        <f aca="false">IF(L308=1,SUM($L$2:L308),"")</f>
        <v/>
      </c>
      <c r="N308" s="0" t="n">
        <f aca="false">IF(AND(食数記録!$A308=プレビュー!$C$3,食数記録!$B308="朝",食数記録!$F308="男性GH",食数記録!$D308="臨時喫食"),1,0)</f>
        <v>0</v>
      </c>
      <c r="O308" s="0" t="str">
        <f aca="false">IF(N308=1,SUM($N$2:N308),"")</f>
        <v/>
      </c>
      <c r="P308" s="0" t="n">
        <f aca="false">IF(AND(食数記録!$A308=プレビュー!$C$3,食数記録!$B308="昼",食数記録!$F308="男性GH",食数記録!$D308="臨時喫食"),1,0)</f>
        <v>0</v>
      </c>
      <c r="Q308" s="0" t="str">
        <f aca="false">IF(P308=1,SUM($P$2:P308),"")</f>
        <v/>
      </c>
      <c r="R308" s="0" t="n">
        <f aca="false">IF(AND(食数記録!$A308=プレビュー!$C$3,食数記録!$B308="夕",食数記録!$F308="男性GH",食数記録!$D308="臨時喫食"),1,0)</f>
        <v>0</v>
      </c>
      <c r="S308" s="0" t="str">
        <f aca="false">IF(R308=1,SUM($R$2:R308),"")</f>
        <v/>
      </c>
      <c r="T308" s="0" t="n">
        <f aca="false">IF(AND(食数記録!$A308=プレビュー!$C$3,食数記録!$B308="朝",食数記録!$F308="女性GH",食数記録!$D308="臨時喫食"),1,0)</f>
        <v>0</v>
      </c>
      <c r="U308" s="0" t="str">
        <f aca="false">IF(T308=1,SUM($T$2:T308),"")</f>
        <v/>
      </c>
      <c r="V308" s="0" t="n">
        <f aca="false">IF(AND(食数記録!$A308=プレビュー!$C$3,食数記録!$B308="昼",食数記録!$F308="女性GH",食数記録!$D308="臨時喫食"),1,0)</f>
        <v>0</v>
      </c>
      <c r="W308" s="0" t="str">
        <f aca="false">IF(V308=1,SUM($V$2:V308),"")</f>
        <v/>
      </c>
      <c r="X308" s="0" t="n">
        <f aca="false">IF(AND(食数記録!$A308=プレビュー!$C$3,食数記録!$B308="夕",食数記録!$F308="女性GH",食数記録!$D308="臨時喫食"),1,0)</f>
        <v>0</v>
      </c>
      <c r="Y308" s="0" t="str">
        <f aca="false">IF(X308=1,SUM($X$2:X308),"")</f>
        <v/>
      </c>
    </row>
    <row r="309" customFormat="false" ht="15" hidden="false" customHeight="false" outlineLevel="0" collapsed="false">
      <c r="B309" s="0" t="n">
        <f aca="false">IF(AND(食数記録!$A309=プレビュー!$C$3,食数記録!$B309="朝",食数記録!$F309="男性入所",食数記録!$D309="欠食"),1,0)</f>
        <v>0</v>
      </c>
      <c r="C309" s="0" t="str">
        <f aca="false">IF(B309=1,SUM($B$2:B309),"")</f>
        <v/>
      </c>
      <c r="D309" s="0" t="n">
        <f aca="false">IF(AND(食数記録!$A309=プレビュー!$C$3,食数記録!$B309="昼",食数記録!$F309="男性入所",食数記録!$D309="欠食"),1,0)</f>
        <v>0</v>
      </c>
      <c r="E309" s="0" t="str">
        <f aca="false">IF(D309=1,SUM($D$2:D309),"")</f>
        <v/>
      </c>
      <c r="F309" s="0" t="n">
        <f aca="false">IF(AND(食数記録!$A309=プレビュー!$C$3,食数記録!$B309="夕",食数記録!$F309="男性入所",食数記録!$D309="欠食"),1,0)</f>
        <v>0</v>
      </c>
      <c r="G309" s="0" t="str">
        <f aca="false">IF(F309=1,SUM($F$2:F309),"")</f>
        <v/>
      </c>
      <c r="H309" s="0" t="n">
        <f aca="false">IF(AND(食数記録!$A309=プレビュー!$C$3,食数記録!$B309="朝",食数記録!$F309="女性入所",食数記録!$D309="欠食"),1,0)</f>
        <v>0</v>
      </c>
      <c r="I309" s="0" t="str">
        <f aca="false">IF(H309=1,SUM($H$2:H309),"")</f>
        <v/>
      </c>
      <c r="J309" s="0" t="n">
        <f aca="false">IF(AND(食数記録!$A309=プレビュー!$C$3,食数記録!$B309="昼",食数記録!$F309="女性入所",食数記録!$D309="欠食"),1,0)</f>
        <v>0</v>
      </c>
      <c r="K309" s="0" t="str">
        <f aca="false">IF(J309=1,SUM($J$2:J309),"")</f>
        <v/>
      </c>
      <c r="L309" s="0" t="n">
        <f aca="false">IF(AND(食数記録!$A309=プレビュー!$C$3,食数記録!$B309="夕",食数記録!$F309="女性入所",食数記録!$D309="欠食"),1,0)</f>
        <v>0</v>
      </c>
      <c r="M309" s="0" t="str">
        <f aca="false">IF(L309=1,SUM($L$2:L309),"")</f>
        <v/>
      </c>
      <c r="N309" s="0" t="n">
        <f aca="false">IF(AND(食数記録!$A309=プレビュー!$C$3,食数記録!$B309="朝",食数記録!$F309="男性GH",食数記録!$D309="臨時喫食"),1,0)</f>
        <v>0</v>
      </c>
      <c r="O309" s="0" t="str">
        <f aca="false">IF(N309=1,SUM($N$2:N309),"")</f>
        <v/>
      </c>
      <c r="P309" s="0" t="n">
        <f aca="false">IF(AND(食数記録!$A309=プレビュー!$C$3,食数記録!$B309="昼",食数記録!$F309="男性GH",食数記録!$D309="臨時喫食"),1,0)</f>
        <v>0</v>
      </c>
      <c r="Q309" s="0" t="str">
        <f aca="false">IF(P309=1,SUM($P$2:P309),"")</f>
        <v/>
      </c>
      <c r="R309" s="0" t="n">
        <f aca="false">IF(AND(食数記録!$A309=プレビュー!$C$3,食数記録!$B309="夕",食数記録!$F309="男性GH",食数記録!$D309="臨時喫食"),1,0)</f>
        <v>0</v>
      </c>
      <c r="S309" s="0" t="str">
        <f aca="false">IF(R309=1,SUM($R$2:R309),"")</f>
        <v/>
      </c>
      <c r="T309" s="0" t="n">
        <f aca="false">IF(AND(食数記録!$A309=プレビュー!$C$3,食数記録!$B309="朝",食数記録!$F309="女性GH",食数記録!$D309="臨時喫食"),1,0)</f>
        <v>0</v>
      </c>
      <c r="U309" s="0" t="str">
        <f aca="false">IF(T309=1,SUM($T$2:T309),"")</f>
        <v/>
      </c>
      <c r="V309" s="0" t="n">
        <f aca="false">IF(AND(食数記録!$A309=プレビュー!$C$3,食数記録!$B309="昼",食数記録!$F309="女性GH",食数記録!$D309="臨時喫食"),1,0)</f>
        <v>0</v>
      </c>
      <c r="W309" s="0" t="str">
        <f aca="false">IF(V309=1,SUM($V$2:V309),"")</f>
        <v/>
      </c>
      <c r="X309" s="0" t="n">
        <f aca="false">IF(AND(食数記録!$A309=プレビュー!$C$3,食数記録!$B309="夕",食数記録!$F309="女性GH",食数記録!$D309="臨時喫食"),1,0)</f>
        <v>0</v>
      </c>
      <c r="Y309" s="0" t="str">
        <f aca="false">IF(X309=1,SUM($X$2:X309),"")</f>
        <v/>
      </c>
    </row>
    <row r="310" customFormat="false" ht="15" hidden="false" customHeight="false" outlineLevel="0" collapsed="false">
      <c r="B310" s="0" t="n">
        <f aca="false">IF(AND(食数記録!$A310=プレビュー!$C$3,食数記録!$B310="朝",食数記録!$F310="男性入所",食数記録!$D310="欠食"),1,0)</f>
        <v>0</v>
      </c>
      <c r="C310" s="0" t="str">
        <f aca="false">IF(B310=1,SUM($B$2:B310),"")</f>
        <v/>
      </c>
      <c r="D310" s="0" t="n">
        <f aca="false">IF(AND(食数記録!$A310=プレビュー!$C$3,食数記録!$B310="昼",食数記録!$F310="男性入所",食数記録!$D310="欠食"),1,0)</f>
        <v>0</v>
      </c>
      <c r="E310" s="0" t="str">
        <f aca="false">IF(D310=1,SUM($D$2:D310),"")</f>
        <v/>
      </c>
      <c r="F310" s="0" t="n">
        <f aca="false">IF(AND(食数記録!$A310=プレビュー!$C$3,食数記録!$B310="夕",食数記録!$F310="男性入所",食数記録!$D310="欠食"),1,0)</f>
        <v>0</v>
      </c>
      <c r="G310" s="0" t="str">
        <f aca="false">IF(F310=1,SUM($F$2:F310),"")</f>
        <v/>
      </c>
      <c r="H310" s="0" t="n">
        <f aca="false">IF(AND(食数記録!$A310=プレビュー!$C$3,食数記録!$B310="朝",食数記録!$F310="女性入所",食数記録!$D310="欠食"),1,0)</f>
        <v>0</v>
      </c>
      <c r="I310" s="0" t="str">
        <f aca="false">IF(H310=1,SUM($H$2:H310),"")</f>
        <v/>
      </c>
      <c r="J310" s="0" t="n">
        <f aca="false">IF(AND(食数記録!$A310=プレビュー!$C$3,食数記録!$B310="昼",食数記録!$F310="女性入所",食数記録!$D310="欠食"),1,0)</f>
        <v>0</v>
      </c>
      <c r="K310" s="0" t="str">
        <f aca="false">IF(J310=1,SUM($J$2:J310),"")</f>
        <v/>
      </c>
      <c r="L310" s="0" t="n">
        <f aca="false">IF(AND(食数記録!$A310=プレビュー!$C$3,食数記録!$B310="夕",食数記録!$F310="女性入所",食数記録!$D310="欠食"),1,0)</f>
        <v>0</v>
      </c>
      <c r="M310" s="0" t="str">
        <f aca="false">IF(L310=1,SUM($L$2:L310),"")</f>
        <v/>
      </c>
      <c r="N310" s="0" t="n">
        <f aca="false">IF(AND(食数記録!$A310=プレビュー!$C$3,食数記録!$B310="朝",食数記録!$F310="男性GH",食数記録!$D310="臨時喫食"),1,0)</f>
        <v>0</v>
      </c>
      <c r="O310" s="0" t="str">
        <f aca="false">IF(N310=1,SUM($N$2:N310),"")</f>
        <v/>
      </c>
      <c r="P310" s="0" t="n">
        <f aca="false">IF(AND(食数記録!$A310=プレビュー!$C$3,食数記録!$B310="昼",食数記録!$F310="男性GH",食数記録!$D310="臨時喫食"),1,0)</f>
        <v>0</v>
      </c>
      <c r="Q310" s="0" t="str">
        <f aca="false">IF(P310=1,SUM($P$2:P310),"")</f>
        <v/>
      </c>
      <c r="R310" s="0" t="n">
        <f aca="false">IF(AND(食数記録!$A310=プレビュー!$C$3,食数記録!$B310="夕",食数記録!$F310="男性GH",食数記録!$D310="臨時喫食"),1,0)</f>
        <v>0</v>
      </c>
      <c r="S310" s="0" t="str">
        <f aca="false">IF(R310=1,SUM($R$2:R310),"")</f>
        <v/>
      </c>
      <c r="T310" s="0" t="n">
        <f aca="false">IF(AND(食数記録!$A310=プレビュー!$C$3,食数記録!$B310="朝",食数記録!$F310="女性GH",食数記録!$D310="臨時喫食"),1,0)</f>
        <v>0</v>
      </c>
      <c r="U310" s="0" t="str">
        <f aca="false">IF(T310=1,SUM($T$2:T310),"")</f>
        <v/>
      </c>
      <c r="V310" s="0" t="n">
        <f aca="false">IF(AND(食数記録!$A310=プレビュー!$C$3,食数記録!$B310="昼",食数記録!$F310="女性GH",食数記録!$D310="臨時喫食"),1,0)</f>
        <v>0</v>
      </c>
      <c r="W310" s="0" t="str">
        <f aca="false">IF(V310=1,SUM($V$2:V310),"")</f>
        <v/>
      </c>
      <c r="X310" s="0" t="n">
        <f aca="false">IF(AND(食数記録!$A310=プレビュー!$C$3,食数記録!$B310="夕",食数記録!$F310="女性GH",食数記録!$D310="臨時喫食"),1,0)</f>
        <v>0</v>
      </c>
      <c r="Y310" s="0" t="str">
        <f aca="false">IF(X310=1,SUM($X$2:X310),"")</f>
        <v/>
      </c>
    </row>
    <row r="311" customFormat="false" ht="15" hidden="false" customHeight="false" outlineLevel="0" collapsed="false">
      <c r="B311" s="0" t="n">
        <f aca="false">IF(AND(食数記録!$A311=プレビュー!$C$3,食数記録!$B311="朝",食数記録!$F311="男性入所",食数記録!$D311="欠食"),1,0)</f>
        <v>0</v>
      </c>
      <c r="C311" s="0" t="str">
        <f aca="false">IF(B311=1,SUM($B$2:B311),"")</f>
        <v/>
      </c>
      <c r="D311" s="0" t="n">
        <f aca="false">IF(AND(食数記録!$A311=プレビュー!$C$3,食数記録!$B311="昼",食数記録!$F311="男性入所",食数記録!$D311="欠食"),1,0)</f>
        <v>0</v>
      </c>
      <c r="E311" s="0" t="str">
        <f aca="false">IF(D311=1,SUM($D$2:D311),"")</f>
        <v/>
      </c>
      <c r="F311" s="0" t="n">
        <f aca="false">IF(AND(食数記録!$A311=プレビュー!$C$3,食数記録!$B311="夕",食数記録!$F311="男性入所",食数記録!$D311="欠食"),1,0)</f>
        <v>0</v>
      </c>
      <c r="G311" s="0" t="str">
        <f aca="false">IF(F311=1,SUM($F$2:F311),"")</f>
        <v/>
      </c>
      <c r="H311" s="0" t="n">
        <f aca="false">IF(AND(食数記録!$A311=プレビュー!$C$3,食数記録!$B311="朝",食数記録!$F311="女性入所",食数記録!$D311="欠食"),1,0)</f>
        <v>0</v>
      </c>
      <c r="I311" s="0" t="str">
        <f aca="false">IF(H311=1,SUM($H$2:H311),"")</f>
        <v/>
      </c>
      <c r="J311" s="0" t="n">
        <f aca="false">IF(AND(食数記録!$A311=プレビュー!$C$3,食数記録!$B311="昼",食数記録!$F311="女性入所",食数記録!$D311="欠食"),1,0)</f>
        <v>0</v>
      </c>
      <c r="K311" s="0" t="str">
        <f aca="false">IF(J311=1,SUM($J$2:J311),"")</f>
        <v/>
      </c>
      <c r="L311" s="0" t="n">
        <f aca="false">IF(AND(食数記録!$A311=プレビュー!$C$3,食数記録!$B311="夕",食数記録!$F311="女性入所",食数記録!$D311="欠食"),1,0)</f>
        <v>0</v>
      </c>
      <c r="M311" s="0" t="str">
        <f aca="false">IF(L311=1,SUM($L$2:L311),"")</f>
        <v/>
      </c>
      <c r="N311" s="0" t="n">
        <f aca="false">IF(AND(食数記録!$A311=プレビュー!$C$3,食数記録!$B311="朝",食数記録!$F311="男性GH",食数記録!$D311="臨時喫食"),1,0)</f>
        <v>0</v>
      </c>
      <c r="O311" s="0" t="str">
        <f aca="false">IF(N311=1,SUM($N$2:N311),"")</f>
        <v/>
      </c>
      <c r="P311" s="0" t="n">
        <f aca="false">IF(AND(食数記録!$A311=プレビュー!$C$3,食数記録!$B311="昼",食数記録!$F311="男性GH",食数記録!$D311="臨時喫食"),1,0)</f>
        <v>0</v>
      </c>
      <c r="Q311" s="0" t="str">
        <f aca="false">IF(P311=1,SUM($P$2:P311),"")</f>
        <v/>
      </c>
      <c r="R311" s="0" t="n">
        <f aca="false">IF(AND(食数記録!$A311=プレビュー!$C$3,食数記録!$B311="夕",食数記録!$F311="男性GH",食数記録!$D311="臨時喫食"),1,0)</f>
        <v>0</v>
      </c>
      <c r="S311" s="0" t="str">
        <f aca="false">IF(R311=1,SUM($R$2:R311),"")</f>
        <v/>
      </c>
      <c r="T311" s="0" t="n">
        <f aca="false">IF(AND(食数記録!$A311=プレビュー!$C$3,食数記録!$B311="朝",食数記録!$F311="女性GH",食数記録!$D311="臨時喫食"),1,0)</f>
        <v>0</v>
      </c>
      <c r="U311" s="0" t="str">
        <f aca="false">IF(T311=1,SUM($T$2:T311),"")</f>
        <v/>
      </c>
      <c r="V311" s="0" t="n">
        <f aca="false">IF(AND(食数記録!$A311=プレビュー!$C$3,食数記録!$B311="昼",食数記録!$F311="女性GH",食数記録!$D311="臨時喫食"),1,0)</f>
        <v>0</v>
      </c>
      <c r="W311" s="0" t="str">
        <f aca="false">IF(V311=1,SUM($V$2:V311),"")</f>
        <v/>
      </c>
      <c r="X311" s="0" t="n">
        <f aca="false">IF(AND(食数記録!$A311=プレビュー!$C$3,食数記録!$B311="夕",食数記録!$F311="女性GH",食数記録!$D311="臨時喫食"),1,0)</f>
        <v>0</v>
      </c>
      <c r="Y311" s="0" t="str">
        <f aca="false">IF(X311=1,SUM($X$2:X311),"")</f>
        <v/>
      </c>
    </row>
    <row r="312" customFormat="false" ht="15" hidden="false" customHeight="false" outlineLevel="0" collapsed="false">
      <c r="B312" s="0" t="n">
        <f aca="false">IF(AND(食数記録!$A312=プレビュー!$C$3,食数記録!$B312="朝",食数記録!$F312="男性入所",食数記録!$D312="欠食"),1,0)</f>
        <v>0</v>
      </c>
      <c r="C312" s="0" t="str">
        <f aca="false">IF(B312=1,SUM($B$2:B312),"")</f>
        <v/>
      </c>
      <c r="D312" s="0" t="n">
        <f aca="false">IF(AND(食数記録!$A312=プレビュー!$C$3,食数記録!$B312="昼",食数記録!$F312="男性入所",食数記録!$D312="欠食"),1,0)</f>
        <v>0</v>
      </c>
      <c r="E312" s="0" t="str">
        <f aca="false">IF(D312=1,SUM($D$2:D312),"")</f>
        <v/>
      </c>
      <c r="F312" s="0" t="n">
        <f aca="false">IF(AND(食数記録!$A312=プレビュー!$C$3,食数記録!$B312="夕",食数記録!$F312="男性入所",食数記録!$D312="欠食"),1,0)</f>
        <v>0</v>
      </c>
      <c r="G312" s="0" t="str">
        <f aca="false">IF(F312=1,SUM($F$2:F312),"")</f>
        <v/>
      </c>
      <c r="H312" s="0" t="n">
        <f aca="false">IF(AND(食数記録!$A312=プレビュー!$C$3,食数記録!$B312="朝",食数記録!$F312="女性入所",食数記録!$D312="欠食"),1,0)</f>
        <v>0</v>
      </c>
      <c r="I312" s="0" t="str">
        <f aca="false">IF(H312=1,SUM($H$2:H312),"")</f>
        <v/>
      </c>
      <c r="J312" s="0" t="n">
        <f aca="false">IF(AND(食数記録!$A312=プレビュー!$C$3,食数記録!$B312="昼",食数記録!$F312="女性入所",食数記録!$D312="欠食"),1,0)</f>
        <v>0</v>
      </c>
      <c r="K312" s="0" t="str">
        <f aca="false">IF(J312=1,SUM($J$2:J312),"")</f>
        <v/>
      </c>
      <c r="L312" s="0" t="n">
        <f aca="false">IF(AND(食数記録!$A312=プレビュー!$C$3,食数記録!$B312="夕",食数記録!$F312="女性入所",食数記録!$D312="欠食"),1,0)</f>
        <v>0</v>
      </c>
      <c r="M312" s="0" t="str">
        <f aca="false">IF(L312=1,SUM($L$2:L312),"")</f>
        <v/>
      </c>
      <c r="N312" s="0" t="n">
        <f aca="false">IF(AND(食数記録!$A312=プレビュー!$C$3,食数記録!$B312="朝",食数記録!$F312="男性GH",食数記録!$D312="臨時喫食"),1,0)</f>
        <v>0</v>
      </c>
      <c r="O312" s="0" t="str">
        <f aca="false">IF(N312=1,SUM($N$2:N312),"")</f>
        <v/>
      </c>
      <c r="P312" s="0" t="n">
        <f aca="false">IF(AND(食数記録!$A312=プレビュー!$C$3,食数記録!$B312="昼",食数記録!$F312="男性GH",食数記録!$D312="臨時喫食"),1,0)</f>
        <v>0</v>
      </c>
      <c r="Q312" s="0" t="str">
        <f aca="false">IF(P312=1,SUM($P$2:P312),"")</f>
        <v/>
      </c>
      <c r="R312" s="0" t="n">
        <f aca="false">IF(AND(食数記録!$A312=プレビュー!$C$3,食数記録!$B312="夕",食数記録!$F312="男性GH",食数記録!$D312="臨時喫食"),1,0)</f>
        <v>0</v>
      </c>
      <c r="S312" s="0" t="str">
        <f aca="false">IF(R312=1,SUM($R$2:R312),"")</f>
        <v/>
      </c>
      <c r="T312" s="0" t="n">
        <f aca="false">IF(AND(食数記録!$A312=プレビュー!$C$3,食数記録!$B312="朝",食数記録!$F312="女性GH",食数記録!$D312="臨時喫食"),1,0)</f>
        <v>0</v>
      </c>
      <c r="U312" s="0" t="str">
        <f aca="false">IF(T312=1,SUM($T$2:T312),"")</f>
        <v/>
      </c>
      <c r="V312" s="0" t="n">
        <f aca="false">IF(AND(食数記録!$A312=プレビュー!$C$3,食数記録!$B312="昼",食数記録!$F312="女性GH",食数記録!$D312="臨時喫食"),1,0)</f>
        <v>0</v>
      </c>
      <c r="W312" s="0" t="str">
        <f aca="false">IF(V312=1,SUM($V$2:V312),"")</f>
        <v/>
      </c>
      <c r="X312" s="0" t="n">
        <f aca="false">IF(AND(食数記録!$A312=プレビュー!$C$3,食数記録!$B312="夕",食数記録!$F312="女性GH",食数記録!$D312="臨時喫食"),1,0)</f>
        <v>0</v>
      </c>
      <c r="Y312" s="0" t="str">
        <f aca="false">IF(X312=1,SUM($X$2:X312),"")</f>
        <v/>
      </c>
    </row>
    <row r="313" customFormat="false" ht="15" hidden="false" customHeight="false" outlineLevel="0" collapsed="false">
      <c r="B313" s="0" t="n">
        <f aca="false">IF(AND(食数記録!$A313=プレビュー!$C$3,食数記録!$B313="朝",食数記録!$F313="男性入所",食数記録!$D313="欠食"),1,0)</f>
        <v>0</v>
      </c>
      <c r="C313" s="0" t="str">
        <f aca="false">IF(B313=1,SUM($B$2:B313),"")</f>
        <v/>
      </c>
      <c r="D313" s="0" t="n">
        <f aca="false">IF(AND(食数記録!$A313=プレビュー!$C$3,食数記録!$B313="昼",食数記録!$F313="男性入所",食数記録!$D313="欠食"),1,0)</f>
        <v>0</v>
      </c>
      <c r="E313" s="0" t="str">
        <f aca="false">IF(D313=1,SUM($D$2:D313),"")</f>
        <v/>
      </c>
      <c r="F313" s="0" t="n">
        <f aca="false">IF(AND(食数記録!$A313=プレビュー!$C$3,食数記録!$B313="夕",食数記録!$F313="男性入所",食数記録!$D313="欠食"),1,0)</f>
        <v>0</v>
      </c>
      <c r="G313" s="0" t="str">
        <f aca="false">IF(F313=1,SUM($F$2:F313),"")</f>
        <v/>
      </c>
      <c r="H313" s="0" t="n">
        <f aca="false">IF(AND(食数記録!$A313=プレビュー!$C$3,食数記録!$B313="朝",食数記録!$F313="女性入所",食数記録!$D313="欠食"),1,0)</f>
        <v>0</v>
      </c>
      <c r="I313" s="0" t="str">
        <f aca="false">IF(H313=1,SUM($H$2:H313),"")</f>
        <v/>
      </c>
      <c r="J313" s="0" t="n">
        <f aca="false">IF(AND(食数記録!$A313=プレビュー!$C$3,食数記録!$B313="昼",食数記録!$F313="女性入所",食数記録!$D313="欠食"),1,0)</f>
        <v>0</v>
      </c>
      <c r="K313" s="0" t="str">
        <f aca="false">IF(J313=1,SUM($J$2:J313),"")</f>
        <v/>
      </c>
      <c r="L313" s="0" t="n">
        <f aca="false">IF(AND(食数記録!$A313=プレビュー!$C$3,食数記録!$B313="夕",食数記録!$F313="女性入所",食数記録!$D313="欠食"),1,0)</f>
        <v>0</v>
      </c>
      <c r="M313" s="0" t="str">
        <f aca="false">IF(L313=1,SUM($L$2:L313),"")</f>
        <v/>
      </c>
      <c r="N313" s="0" t="n">
        <f aca="false">IF(AND(食数記録!$A313=プレビュー!$C$3,食数記録!$B313="朝",食数記録!$F313="男性GH",食数記録!$D313="臨時喫食"),1,0)</f>
        <v>0</v>
      </c>
      <c r="O313" s="0" t="str">
        <f aca="false">IF(N313=1,SUM($N$2:N313),"")</f>
        <v/>
      </c>
      <c r="P313" s="0" t="n">
        <f aca="false">IF(AND(食数記録!$A313=プレビュー!$C$3,食数記録!$B313="昼",食数記録!$F313="男性GH",食数記録!$D313="臨時喫食"),1,0)</f>
        <v>0</v>
      </c>
      <c r="Q313" s="0" t="str">
        <f aca="false">IF(P313=1,SUM($P$2:P313),"")</f>
        <v/>
      </c>
      <c r="R313" s="0" t="n">
        <f aca="false">IF(AND(食数記録!$A313=プレビュー!$C$3,食数記録!$B313="夕",食数記録!$F313="男性GH",食数記録!$D313="臨時喫食"),1,0)</f>
        <v>0</v>
      </c>
      <c r="S313" s="0" t="str">
        <f aca="false">IF(R313=1,SUM($R$2:R313),"")</f>
        <v/>
      </c>
      <c r="T313" s="0" t="n">
        <f aca="false">IF(AND(食数記録!$A313=プレビュー!$C$3,食数記録!$B313="朝",食数記録!$F313="女性GH",食数記録!$D313="臨時喫食"),1,0)</f>
        <v>0</v>
      </c>
      <c r="U313" s="0" t="str">
        <f aca="false">IF(T313=1,SUM($T$2:T313),"")</f>
        <v/>
      </c>
      <c r="V313" s="0" t="n">
        <f aca="false">IF(AND(食数記録!$A313=プレビュー!$C$3,食数記録!$B313="昼",食数記録!$F313="女性GH",食数記録!$D313="臨時喫食"),1,0)</f>
        <v>0</v>
      </c>
      <c r="W313" s="0" t="str">
        <f aca="false">IF(V313=1,SUM($V$2:V313),"")</f>
        <v/>
      </c>
      <c r="X313" s="0" t="n">
        <f aca="false">IF(AND(食数記録!$A313=プレビュー!$C$3,食数記録!$B313="夕",食数記録!$F313="女性GH",食数記録!$D313="臨時喫食"),1,0)</f>
        <v>0</v>
      </c>
      <c r="Y313" s="0" t="str">
        <f aca="false">IF(X313=1,SUM($X$2:X313),"")</f>
        <v/>
      </c>
    </row>
    <row r="314" customFormat="false" ht="15" hidden="false" customHeight="false" outlineLevel="0" collapsed="false">
      <c r="B314" s="0" t="n">
        <f aca="false">IF(AND(食数記録!$A314=プレビュー!$C$3,食数記録!$B314="朝",食数記録!$F314="男性入所",食数記録!$D314="欠食"),1,0)</f>
        <v>0</v>
      </c>
      <c r="C314" s="0" t="str">
        <f aca="false">IF(B314=1,SUM($B$2:B314),"")</f>
        <v/>
      </c>
      <c r="D314" s="0" t="n">
        <f aca="false">IF(AND(食数記録!$A314=プレビュー!$C$3,食数記録!$B314="昼",食数記録!$F314="男性入所",食数記録!$D314="欠食"),1,0)</f>
        <v>0</v>
      </c>
      <c r="E314" s="0" t="str">
        <f aca="false">IF(D314=1,SUM($D$2:D314),"")</f>
        <v/>
      </c>
      <c r="F314" s="0" t="n">
        <f aca="false">IF(AND(食数記録!$A314=プレビュー!$C$3,食数記録!$B314="夕",食数記録!$F314="男性入所",食数記録!$D314="欠食"),1,0)</f>
        <v>0</v>
      </c>
      <c r="G314" s="0" t="str">
        <f aca="false">IF(F314=1,SUM($F$2:F314),"")</f>
        <v/>
      </c>
      <c r="H314" s="0" t="n">
        <f aca="false">IF(AND(食数記録!$A314=プレビュー!$C$3,食数記録!$B314="朝",食数記録!$F314="女性入所",食数記録!$D314="欠食"),1,0)</f>
        <v>0</v>
      </c>
      <c r="I314" s="0" t="str">
        <f aca="false">IF(H314=1,SUM($H$2:H314),"")</f>
        <v/>
      </c>
      <c r="J314" s="0" t="n">
        <f aca="false">IF(AND(食数記録!$A314=プレビュー!$C$3,食数記録!$B314="昼",食数記録!$F314="女性入所",食数記録!$D314="欠食"),1,0)</f>
        <v>0</v>
      </c>
      <c r="K314" s="0" t="str">
        <f aca="false">IF(J314=1,SUM($J$2:J314),"")</f>
        <v/>
      </c>
      <c r="L314" s="0" t="n">
        <f aca="false">IF(AND(食数記録!$A314=プレビュー!$C$3,食数記録!$B314="夕",食数記録!$F314="女性入所",食数記録!$D314="欠食"),1,0)</f>
        <v>0</v>
      </c>
      <c r="M314" s="0" t="str">
        <f aca="false">IF(L314=1,SUM($L$2:L314),"")</f>
        <v/>
      </c>
      <c r="N314" s="0" t="n">
        <f aca="false">IF(AND(食数記録!$A314=プレビュー!$C$3,食数記録!$B314="朝",食数記録!$F314="男性GH",食数記録!$D314="臨時喫食"),1,0)</f>
        <v>0</v>
      </c>
      <c r="O314" s="0" t="str">
        <f aca="false">IF(N314=1,SUM($N$2:N314),"")</f>
        <v/>
      </c>
      <c r="P314" s="0" t="n">
        <f aca="false">IF(AND(食数記録!$A314=プレビュー!$C$3,食数記録!$B314="昼",食数記録!$F314="男性GH",食数記録!$D314="臨時喫食"),1,0)</f>
        <v>0</v>
      </c>
      <c r="Q314" s="0" t="str">
        <f aca="false">IF(P314=1,SUM($P$2:P314),"")</f>
        <v/>
      </c>
      <c r="R314" s="0" t="n">
        <f aca="false">IF(AND(食数記録!$A314=プレビュー!$C$3,食数記録!$B314="夕",食数記録!$F314="男性GH",食数記録!$D314="臨時喫食"),1,0)</f>
        <v>0</v>
      </c>
      <c r="S314" s="0" t="str">
        <f aca="false">IF(R314=1,SUM($R$2:R314),"")</f>
        <v/>
      </c>
      <c r="T314" s="0" t="n">
        <f aca="false">IF(AND(食数記録!$A314=プレビュー!$C$3,食数記録!$B314="朝",食数記録!$F314="女性GH",食数記録!$D314="臨時喫食"),1,0)</f>
        <v>0</v>
      </c>
      <c r="U314" s="0" t="str">
        <f aca="false">IF(T314=1,SUM($T$2:T314),"")</f>
        <v/>
      </c>
      <c r="V314" s="0" t="n">
        <f aca="false">IF(AND(食数記録!$A314=プレビュー!$C$3,食数記録!$B314="昼",食数記録!$F314="女性GH",食数記録!$D314="臨時喫食"),1,0)</f>
        <v>0</v>
      </c>
      <c r="W314" s="0" t="str">
        <f aca="false">IF(V314=1,SUM($V$2:V314),"")</f>
        <v/>
      </c>
      <c r="X314" s="0" t="n">
        <f aca="false">IF(AND(食数記録!$A314=プレビュー!$C$3,食数記録!$B314="夕",食数記録!$F314="女性GH",食数記録!$D314="臨時喫食"),1,0)</f>
        <v>0</v>
      </c>
      <c r="Y314" s="0" t="str">
        <f aca="false">IF(X314=1,SUM($X$2:X314),"")</f>
        <v/>
      </c>
    </row>
    <row r="315" customFormat="false" ht="15" hidden="false" customHeight="false" outlineLevel="0" collapsed="false">
      <c r="B315" s="0" t="n">
        <f aca="false">IF(AND(食数記録!$A315=プレビュー!$C$3,食数記録!$B315="朝",食数記録!$F315="男性入所",食数記録!$D315="欠食"),1,0)</f>
        <v>0</v>
      </c>
      <c r="C315" s="0" t="str">
        <f aca="false">IF(B315=1,SUM($B$2:B315),"")</f>
        <v/>
      </c>
      <c r="D315" s="0" t="n">
        <f aca="false">IF(AND(食数記録!$A315=プレビュー!$C$3,食数記録!$B315="昼",食数記録!$F315="男性入所",食数記録!$D315="欠食"),1,0)</f>
        <v>0</v>
      </c>
      <c r="E315" s="0" t="str">
        <f aca="false">IF(D315=1,SUM($D$2:D315),"")</f>
        <v/>
      </c>
      <c r="F315" s="0" t="n">
        <f aca="false">IF(AND(食数記録!$A315=プレビュー!$C$3,食数記録!$B315="夕",食数記録!$F315="男性入所",食数記録!$D315="欠食"),1,0)</f>
        <v>0</v>
      </c>
      <c r="G315" s="0" t="str">
        <f aca="false">IF(F315=1,SUM($F$2:F315),"")</f>
        <v/>
      </c>
      <c r="H315" s="0" t="n">
        <f aca="false">IF(AND(食数記録!$A315=プレビュー!$C$3,食数記録!$B315="朝",食数記録!$F315="女性入所",食数記録!$D315="欠食"),1,0)</f>
        <v>0</v>
      </c>
      <c r="I315" s="0" t="str">
        <f aca="false">IF(H315=1,SUM($H$2:H315),"")</f>
        <v/>
      </c>
      <c r="J315" s="0" t="n">
        <f aca="false">IF(AND(食数記録!$A315=プレビュー!$C$3,食数記録!$B315="昼",食数記録!$F315="女性入所",食数記録!$D315="欠食"),1,0)</f>
        <v>0</v>
      </c>
      <c r="K315" s="0" t="str">
        <f aca="false">IF(J315=1,SUM($J$2:J315),"")</f>
        <v/>
      </c>
      <c r="L315" s="0" t="n">
        <f aca="false">IF(AND(食数記録!$A315=プレビュー!$C$3,食数記録!$B315="夕",食数記録!$F315="女性入所",食数記録!$D315="欠食"),1,0)</f>
        <v>0</v>
      </c>
      <c r="M315" s="0" t="str">
        <f aca="false">IF(L315=1,SUM($L$2:L315),"")</f>
        <v/>
      </c>
      <c r="N315" s="0" t="n">
        <f aca="false">IF(AND(食数記録!$A315=プレビュー!$C$3,食数記録!$B315="朝",食数記録!$F315="男性GH",食数記録!$D315="臨時喫食"),1,0)</f>
        <v>0</v>
      </c>
      <c r="O315" s="0" t="str">
        <f aca="false">IF(N315=1,SUM($N$2:N315),"")</f>
        <v/>
      </c>
      <c r="P315" s="0" t="n">
        <f aca="false">IF(AND(食数記録!$A315=プレビュー!$C$3,食数記録!$B315="昼",食数記録!$F315="男性GH",食数記録!$D315="臨時喫食"),1,0)</f>
        <v>0</v>
      </c>
      <c r="Q315" s="0" t="str">
        <f aca="false">IF(P315=1,SUM($P$2:P315),"")</f>
        <v/>
      </c>
      <c r="R315" s="0" t="n">
        <f aca="false">IF(AND(食数記録!$A315=プレビュー!$C$3,食数記録!$B315="夕",食数記録!$F315="男性GH",食数記録!$D315="臨時喫食"),1,0)</f>
        <v>0</v>
      </c>
      <c r="S315" s="0" t="str">
        <f aca="false">IF(R315=1,SUM($R$2:R315),"")</f>
        <v/>
      </c>
      <c r="T315" s="0" t="n">
        <f aca="false">IF(AND(食数記録!$A315=プレビュー!$C$3,食数記録!$B315="朝",食数記録!$F315="女性GH",食数記録!$D315="臨時喫食"),1,0)</f>
        <v>0</v>
      </c>
      <c r="U315" s="0" t="str">
        <f aca="false">IF(T315=1,SUM($T$2:T315),"")</f>
        <v/>
      </c>
      <c r="V315" s="0" t="n">
        <f aca="false">IF(AND(食数記録!$A315=プレビュー!$C$3,食数記録!$B315="昼",食数記録!$F315="女性GH",食数記録!$D315="臨時喫食"),1,0)</f>
        <v>0</v>
      </c>
      <c r="W315" s="0" t="str">
        <f aca="false">IF(V315=1,SUM($V$2:V315),"")</f>
        <v/>
      </c>
      <c r="X315" s="0" t="n">
        <f aca="false">IF(AND(食数記録!$A315=プレビュー!$C$3,食数記録!$B315="夕",食数記録!$F315="女性GH",食数記録!$D315="臨時喫食"),1,0)</f>
        <v>0</v>
      </c>
      <c r="Y315" s="0" t="str">
        <f aca="false">IF(X315=1,SUM($X$2:X315),"")</f>
        <v/>
      </c>
    </row>
    <row r="316" customFormat="false" ht="15" hidden="false" customHeight="false" outlineLevel="0" collapsed="false">
      <c r="B316" s="0" t="n">
        <f aca="false">IF(AND(食数記録!$A316=プレビュー!$C$3,食数記録!$B316="朝",食数記録!$F316="男性入所",食数記録!$D316="欠食"),1,0)</f>
        <v>0</v>
      </c>
      <c r="C316" s="0" t="str">
        <f aca="false">IF(B316=1,SUM($B$2:B316),"")</f>
        <v/>
      </c>
      <c r="D316" s="0" t="n">
        <f aca="false">IF(AND(食数記録!$A316=プレビュー!$C$3,食数記録!$B316="昼",食数記録!$F316="男性入所",食数記録!$D316="欠食"),1,0)</f>
        <v>0</v>
      </c>
      <c r="E316" s="0" t="str">
        <f aca="false">IF(D316=1,SUM($D$2:D316),"")</f>
        <v/>
      </c>
      <c r="F316" s="0" t="n">
        <f aca="false">IF(AND(食数記録!$A316=プレビュー!$C$3,食数記録!$B316="夕",食数記録!$F316="男性入所",食数記録!$D316="欠食"),1,0)</f>
        <v>0</v>
      </c>
      <c r="G316" s="0" t="str">
        <f aca="false">IF(F316=1,SUM($F$2:F316),"")</f>
        <v/>
      </c>
      <c r="H316" s="0" t="n">
        <f aca="false">IF(AND(食数記録!$A316=プレビュー!$C$3,食数記録!$B316="朝",食数記録!$F316="女性入所",食数記録!$D316="欠食"),1,0)</f>
        <v>0</v>
      </c>
      <c r="I316" s="0" t="str">
        <f aca="false">IF(H316=1,SUM($H$2:H316),"")</f>
        <v/>
      </c>
      <c r="J316" s="0" t="n">
        <f aca="false">IF(AND(食数記録!$A316=プレビュー!$C$3,食数記録!$B316="昼",食数記録!$F316="女性入所",食数記録!$D316="欠食"),1,0)</f>
        <v>0</v>
      </c>
      <c r="K316" s="0" t="str">
        <f aca="false">IF(J316=1,SUM($J$2:J316),"")</f>
        <v/>
      </c>
      <c r="L316" s="0" t="n">
        <f aca="false">IF(AND(食数記録!$A316=プレビュー!$C$3,食数記録!$B316="夕",食数記録!$F316="女性入所",食数記録!$D316="欠食"),1,0)</f>
        <v>0</v>
      </c>
      <c r="M316" s="0" t="str">
        <f aca="false">IF(L316=1,SUM($L$2:L316),"")</f>
        <v/>
      </c>
      <c r="N316" s="0" t="n">
        <f aca="false">IF(AND(食数記録!$A316=プレビュー!$C$3,食数記録!$B316="朝",食数記録!$F316="男性GH",食数記録!$D316="臨時喫食"),1,0)</f>
        <v>0</v>
      </c>
      <c r="O316" s="0" t="str">
        <f aca="false">IF(N316=1,SUM($N$2:N316),"")</f>
        <v/>
      </c>
      <c r="P316" s="0" t="n">
        <f aca="false">IF(AND(食数記録!$A316=プレビュー!$C$3,食数記録!$B316="昼",食数記録!$F316="男性GH",食数記録!$D316="臨時喫食"),1,0)</f>
        <v>0</v>
      </c>
      <c r="Q316" s="0" t="str">
        <f aca="false">IF(P316=1,SUM($P$2:P316),"")</f>
        <v/>
      </c>
      <c r="R316" s="0" t="n">
        <f aca="false">IF(AND(食数記録!$A316=プレビュー!$C$3,食数記録!$B316="夕",食数記録!$F316="男性GH",食数記録!$D316="臨時喫食"),1,0)</f>
        <v>0</v>
      </c>
      <c r="S316" s="0" t="str">
        <f aca="false">IF(R316=1,SUM($R$2:R316),"")</f>
        <v/>
      </c>
      <c r="T316" s="0" t="n">
        <f aca="false">IF(AND(食数記録!$A316=プレビュー!$C$3,食数記録!$B316="朝",食数記録!$F316="女性GH",食数記録!$D316="臨時喫食"),1,0)</f>
        <v>0</v>
      </c>
      <c r="U316" s="0" t="str">
        <f aca="false">IF(T316=1,SUM($T$2:T316),"")</f>
        <v/>
      </c>
      <c r="V316" s="0" t="n">
        <f aca="false">IF(AND(食数記録!$A316=プレビュー!$C$3,食数記録!$B316="昼",食数記録!$F316="女性GH",食数記録!$D316="臨時喫食"),1,0)</f>
        <v>0</v>
      </c>
      <c r="W316" s="0" t="str">
        <f aca="false">IF(V316=1,SUM($V$2:V316),"")</f>
        <v/>
      </c>
      <c r="X316" s="0" t="n">
        <f aca="false">IF(AND(食数記録!$A316=プレビュー!$C$3,食数記録!$B316="夕",食数記録!$F316="女性GH",食数記録!$D316="臨時喫食"),1,0)</f>
        <v>0</v>
      </c>
      <c r="Y316" s="0" t="str">
        <f aca="false">IF(X316=1,SUM($X$2:X316),"")</f>
        <v/>
      </c>
    </row>
    <row r="317" customFormat="false" ht="15" hidden="false" customHeight="false" outlineLevel="0" collapsed="false">
      <c r="B317" s="0" t="n">
        <f aca="false">IF(AND(食数記録!$A317=プレビュー!$C$3,食数記録!$B317="朝",食数記録!$F317="男性入所",食数記録!$D317="欠食"),1,0)</f>
        <v>0</v>
      </c>
      <c r="C317" s="0" t="str">
        <f aca="false">IF(B317=1,SUM($B$2:B317),"")</f>
        <v/>
      </c>
      <c r="D317" s="0" t="n">
        <f aca="false">IF(AND(食数記録!$A317=プレビュー!$C$3,食数記録!$B317="昼",食数記録!$F317="男性入所",食数記録!$D317="欠食"),1,0)</f>
        <v>0</v>
      </c>
      <c r="E317" s="0" t="str">
        <f aca="false">IF(D317=1,SUM($D$2:D317),"")</f>
        <v/>
      </c>
      <c r="F317" s="0" t="n">
        <f aca="false">IF(AND(食数記録!$A317=プレビュー!$C$3,食数記録!$B317="夕",食数記録!$F317="男性入所",食数記録!$D317="欠食"),1,0)</f>
        <v>0</v>
      </c>
      <c r="G317" s="0" t="str">
        <f aca="false">IF(F317=1,SUM($F$2:F317),"")</f>
        <v/>
      </c>
      <c r="H317" s="0" t="n">
        <f aca="false">IF(AND(食数記録!$A317=プレビュー!$C$3,食数記録!$B317="朝",食数記録!$F317="女性入所",食数記録!$D317="欠食"),1,0)</f>
        <v>0</v>
      </c>
      <c r="I317" s="0" t="str">
        <f aca="false">IF(H317=1,SUM($H$2:H317),"")</f>
        <v/>
      </c>
      <c r="J317" s="0" t="n">
        <f aca="false">IF(AND(食数記録!$A317=プレビュー!$C$3,食数記録!$B317="昼",食数記録!$F317="女性入所",食数記録!$D317="欠食"),1,0)</f>
        <v>0</v>
      </c>
      <c r="K317" s="0" t="str">
        <f aca="false">IF(J317=1,SUM($J$2:J317),"")</f>
        <v/>
      </c>
      <c r="L317" s="0" t="n">
        <f aca="false">IF(AND(食数記録!$A317=プレビュー!$C$3,食数記録!$B317="夕",食数記録!$F317="女性入所",食数記録!$D317="欠食"),1,0)</f>
        <v>0</v>
      </c>
      <c r="M317" s="0" t="str">
        <f aca="false">IF(L317=1,SUM($L$2:L317),"")</f>
        <v/>
      </c>
      <c r="N317" s="0" t="n">
        <f aca="false">IF(AND(食数記録!$A317=プレビュー!$C$3,食数記録!$B317="朝",食数記録!$F317="男性GH",食数記録!$D317="臨時喫食"),1,0)</f>
        <v>0</v>
      </c>
      <c r="O317" s="0" t="str">
        <f aca="false">IF(N317=1,SUM($N$2:N317),"")</f>
        <v/>
      </c>
      <c r="P317" s="0" t="n">
        <f aca="false">IF(AND(食数記録!$A317=プレビュー!$C$3,食数記録!$B317="昼",食数記録!$F317="男性GH",食数記録!$D317="臨時喫食"),1,0)</f>
        <v>0</v>
      </c>
      <c r="Q317" s="0" t="str">
        <f aca="false">IF(P317=1,SUM($P$2:P317),"")</f>
        <v/>
      </c>
      <c r="R317" s="0" t="n">
        <f aca="false">IF(AND(食数記録!$A317=プレビュー!$C$3,食数記録!$B317="夕",食数記録!$F317="男性GH",食数記録!$D317="臨時喫食"),1,0)</f>
        <v>0</v>
      </c>
      <c r="S317" s="0" t="str">
        <f aca="false">IF(R317=1,SUM($R$2:R317),"")</f>
        <v/>
      </c>
      <c r="T317" s="0" t="n">
        <f aca="false">IF(AND(食数記録!$A317=プレビュー!$C$3,食数記録!$B317="朝",食数記録!$F317="女性GH",食数記録!$D317="臨時喫食"),1,0)</f>
        <v>0</v>
      </c>
      <c r="U317" s="0" t="str">
        <f aca="false">IF(T317=1,SUM($T$2:T317),"")</f>
        <v/>
      </c>
      <c r="V317" s="0" t="n">
        <f aca="false">IF(AND(食数記録!$A317=プレビュー!$C$3,食数記録!$B317="昼",食数記録!$F317="女性GH",食数記録!$D317="臨時喫食"),1,0)</f>
        <v>0</v>
      </c>
      <c r="W317" s="0" t="str">
        <f aca="false">IF(V317=1,SUM($V$2:V317),"")</f>
        <v/>
      </c>
      <c r="X317" s="0" t="n">
        <f aca="false">IF(AND(食数記録!$A317=プレビュー!$C$3,食数記録!$B317="夕",食数記録!$F317="女性GH",食数記録!$D317="臨時喫食"),1,0)</f>
        <v>0</v>
      </c>
      <c r="Y317" s="0" t="str">
        <f aca="false">IF(X317=1,SUM($X$2:X317),"")</f>
        <v/>
      </c>
    </row>
    <row r="318" customFormat="false" ht="15" hidden="false" customHeight="false" outlineLevel="0" collapsed="false">
      <c r="B318" s="0" t="n">
        <f aca="false">IF(AND(食数記録!$A318=プレビュー!$C$3,食数記録!$B318="朝",食数記録!$F318="男性入所",食数記録!$D318="欠食"),1,0)</f>
        <v>0</v>
      </c>
      <c r="C318" s="0" t="str">
        <f aca="false">IF(B318=1,SUM($B$2:B318),"")</f>
        <v/>
      </c>
      <c r="D318" s="0" t="n">
        <f aca="false">IF(AND(食数記録!$A318=プレビュー!$C$3,食数記録!$B318="昼",食数記録!$F318="男性入所",食数記録!$D318="欠食"),1,0)</f>
        <v>0</v>
      </c>
      <c r="E318" s="0" t="str">
        <f aca="false">IF(D318=1,SUM($D$2:D318),"")</f>
        <v/>
      </c>
      <c r="F318" s="0" t="n">
        <f aca="false">IF(AND(食数記録!$A318=プレビュー!$C$3,食数記録!$B318="夕",食数記録!$F318="男性入所",食数記録!$D318="欠食"),1,0)</f>
        <v>0</v>
      </c>
      <c r="G318" s="0" t="str">
        <f aca="false">IF(F318=1,SUM($F$2:F318),"")</f>
        <v/>
      </c>
      <c r="H318" s="0" t="n">
        <f aca="false">IF(AND(食数記録!$A318=プレビュー!$C$3,食数記録!$B318="朝",食数記録!$F318="女性入所",食数記録!$D318="欠食"),1,0)</f>
        <v>0</v>
      </c>
      <c r="I318" s="0" t="str">
        <f aca="false">IF(H318=1,SUM($H$2:H318),"")</f>
        <v/>
      </c>
      <c r="J318" s="0" t="n">
        <f aca="false">IF(AND(食数記録!$A318=プレビュー!$C$3,食数記録!$B318="昼",食数記録!$F318="女性入所",食数記録!$D318="欠食"),1,0)</f>
        <v>0</v>
      </c>
      <c r="K318" s="0" t="str">
        <f aca="false">IF(J318=1,SUM($J$2:J318),"")</f>
        <v/>
      </c>
      <c r="L318" s="0" t="n">
        <f aca="false">IF(AND(食数記録!$A318=プレビュー!$C$3,食数記録!$B318="夕",食数記録!$F318="女性入所",食数記録!$D318="欠食"),1,0)</f>
        <v>0</v>
      </c>
      <c r="M318" s="0" t="str">
        <f aca="false">IF(L318=1,SUM($L$2:L318),"")</f>
        <v/>
      </c>
      <c r="N318" s="0" t="n">
        <f aca="false">IF(AND(食数記録!$A318=プレビュー!$C$3,食数記録!$B318="朝",食数記録!$F318="男性GH",食数記録!$D318="臨時喫食"),1,0)</f>
        <v>0</v>
      </c>
      <c r="O318" s="0" t="str">
        <f aca="false">IF(N318=1,SUM($N$2:N318),"")</f>
        <v/>
      </c>
      <c r="P318" s="0" t="n">
        <f aca="false">IF(AND(食数記録!$A318=プレビュー!$C$3,食数記録!$B318="昼",食数記録!$F318="男性GH",食数記録!$D318="臨時喫食"),1,0)</f>
        <v>0</v>
      </c>
      <c r="Q318" s="0" t="str">
        <f aca="false">IF(P318=1,SUM($P$2:P318),"")</f>
        <v/>
      </c>
      <c r="R318" s="0" t="n">
        <f aca="false">IF(AND(食数記録!$A318=プレビュー!$C$3,食数記録!$B318="夕",食数記録!$F318="男性GH",食数記録!$D318="臨時喫食"),1,0)</f>
        <v>0</v>
      </c>
      <c r="S318" s="0" t="str">
        <f aca="false">IF(R318=1,SUM($R$2:R318),"")</f>
        <v/>
      </c>
      <c r="T318" s="0" t="n">
        <f aca="false">IF(AND(食数記録!$A318=プレビュー!$C$3,食数記録!$B318="朝",食数記録!$F318="女性GH",食数記録!$D318="臨時喫食"),1,0)</f>
        <v>0</v>
      </c>
      <c r="U318" s="0" t="str">
        <f aca="false">IF(T318=1,SUM($T$2:T318),"")</f>
        <v/>
      </c>
      <c r="V318" s="0" t="n">
        <f aca="false">IF(AND(食数記録!$A318=プレビュー!$C$3,食数記録!$B318="昼",食数記録!$F318="女性GH",食数記録!$D318="臨時喫食"),1,0)</f>
        <v>0</v>
      </c>
      <c r="W318" s="0" t="str">
        <f aca="false">IF(V318=1,SUM($V$2:V318),"")</f>
        <v/>
      </c>
      <c r="X318" s="0" t="n">
        <f aca="false">IF(AND(食数記録!$A318=プレビュー!$C$3,食数記録!$B318="夕",食数記録!$F318="女性GH",食数記録!$D318="臨時喫食"),1,0)</f>
        <v>0</v>
      </c>
      <c r="Y318" s="0" t="str">
        <f aca="false">IF(X318=1,SUM($X$2:X318),"")</f>
        <v/>
      </c>
    </row>
    <row r="319" customFormat="false" ht="15" hidden="false" customHeight="false" outlineLevel="0" collapsed="false">
      <c r="B319" s="0" t="n">
        <f aca="false">IF(AND(食数記録!$A319=プレビュー!$C$3,食数記録!$B319="朝",食数記録!$F319="男性入所",食数記録!$D319="欠食"),1,0)</f>
        <v>0</v>
      </c>
      <c r="C319" s="0" t="str">
        <f aca="false">IF(B319=1,SUM($B$2:B319),"")</f>
        <v/>
      </c>
      <c r="D319" s="0" t="n">
        <f aca="false">IF(AND(食数記録!$A319=プレビュー!$C$3,食数記録!$B319="昼",食数記録!$F319="男性入所",食数記録!$D319="欠食"),1,0)</f>
        <v>0</v>
      </c>
      <c r="E319" s="0" t="str">
        <f aca="false">IF(D319=1,SUM($D$2:D319),"")</f>
        <v/>
      </c>
      <c r="F319" s="0" t="n">
        <f aca="false">IF(AND(食数記録!$A319=プレビュー!$C$3,食数記録!$B319="夕",食数記録!$F319="男性入所",食数記録!$D319="欠食"),1,0)</f>
        <v>0</v>
      </c>
      <c r="G319" s="0" t="str">
        <f aca="false">IF(F319=1,SUM($F$2:F319),"")</f>
        <v/>
      </c>
      <c r="H319" s="0" t="n">
        <f aca="false">IF(AND(食数記録!$A319=プレビュー!$C$3,食数記録!$B319="朝",食数記録!$F319="女性入所",食数記録!$D319="欠食"),1,0)</f>
        <v>0</v>
      </c>
      <c r="I319" s="0" t="str">
        <f aca="false">IF(H319=1,SUM($H$2:H319),"")</f>
        <v/>
      </c>
      <c r="J319" s="0" t="n">
        <f aca="false">IF(AND(食数記録!$A319=プレビュー!$C$3,食数記録!$B319="昼",食数記録!$F319="女性入所",食数記録!$D319="欠食"),1,0)</f>
        <v>0</v>
      </c>
      <c r="K319" s="0" t="str">
        <f aca="false">IF(J319=1,SUM($J$2:J319),"")</f>
        <v/>
      </c>
      <c r="L319" s="0" t="n">
        <f aca="false">IF(AND(食数記録!$A319=プレビュー!$C$3,食数記録!$B319="夕",食数記録!$F319="女性入所",食数記録!$D319="欠食"),1,0)</f>
        <v>0</v>
      </c>
      <c r="M319" s="0" t="str">
        <f aca="false">IF(L319=1,SUM($L$2:L319),"")</f>
        <v/>
      </c>
      <c r="N319" s="0" t="n">
        <f aca="false">IF(AND(食数記録!$A319=プレビュー!$C$3,食数記録!$B319="朝",食数記録!$F319="男性GH",食数記録!$D319="臨時喫食"),1,0)</f>
        <v>0</v>
      </c>
      <c r="O319" s="0" t="str">
        <f aca="false">IF(N319=1,SUM($N$2:N319),"")</f>
        <v/>
      </c>
      <c r="P319" s="0" t="n">
        <f aca="false">IF(AND(食数記録!$A319=プレビュー!$C$3,食数記録!$B319="昼",食数記録!$F319="男性GH",食数記録!$D319="臨時喫食"),1,0)</f>
        <v>0</v>
      </c>
      <c r="Q319" s="0" t="str">
        <f aca="false">IF(P319=1,SUM($P$2:P319),"")</f>
        <v/>
      </c>
      <c r="R319" s="0" t="n">
        <f aca="false">IF(AND(食数記録!$A319=プレビュー!$C$3,食数記録!$B319="夕",食数記録!$F319="男性GH",食数記録!$D319="臨時喫食"),1,0)</f>
        <v>0</v>
      </c>
      <c r="S319" s="0" t="str">
        <f aca="false">IF(R319=1,SUM($R$2:R319),"")</f>
        <v/>
      </c>
      <c r="T319" s="0" t="n">
        <f aca="false">IF(AND(食数記録!$A319=プレビュー!$C$3,食数記録!$B319="朝",食数記録!$F319="女性GH",食数記録!$D319="臨時喫食"),1,0)</f>
        <v>0</v>
      </c>
      <c r="U319" s="0" t="str">
        <f aca="false">IF(T319=1,SUM($T$2:T319),"")</f>
        <v/>
      </c>
      <c r="V319" s="0" t="n">
        <f aca="false">IF(AND(食数記録!$A319=プレビュー!$C$3,食数記録!$B319="昼",食数記録!$F319="女性GH",食数記録!$D319="臨時喫食"),1,0)</f>
        <v>0</v>
      </c>
      <c r="W319" s="0" t="str">
        <f aca="false">IF(V319=1,SUM($V$2:V319),"")</f>
        <v/>
      </c>
      <c r="X319" s="0" t="n">
        <f aca="false">IF(AND(食数記録!$A319=プレビュー!$C$3,食数記録!$B319="夕",食数記録!$F319="女性GH",食数記録!$D319="臨時喫食"),1,0)</f>
        <v>0</v>
      </c>
      <c r="Y319" s="0" t="str">
        <f aca="false">IF(X319=1,SUM($X$2:X319),"")</f>
        <v/>
      </c>
    </row>
    <row r="320" customFormat="false" ht="15" hidden="false" customHeight="false" outlineLevel="0" collapsed="false">
      <c r="B320" s="0" t="n">
        <f aca="false">IF(AND(食数記録!$A320=プレビュー!$C$3,食数記録!$B320="朝",食数記録!$F320="男性入所",食数記録!$D320="欠食"),1,0)</f>
        <v>0</v>
      </c>
      <c r="C320" s="0" t="str">
        <f aca="false">IF(B320=1,SUM($B$2:B320),"")</f>
        <v/>
      </c>
      <c r="D320" s="0" t="n">
        <f aca="false">IF(AND(食数記録!$A320=プレビュー!$C$3,食数記録!$B320="昼",食数記録!$F320="男性入所",食数記録!$D320="欠食"),1,0)</f>
        <v>0</v>
      </c>
      <c r="E320" s="0" t="str">
        <f aca="false">IF(D320=1,SUM($D$2:D320),"")</f>
        <v/>
      </c>
      <c r="F320" s="0" t="n">
        <f aca="false">IF(AND(食数記録!$A320=プレビュー!$C$3,食数記録!$B320="夕",食数記録!$F320="男性入所",食数記録!$D320="欠食"),1,0)</f>
        <v>0</v>
      </c>
      <c r="G320" s="0" t="str">
        <f aca="false">IF(F320=1,SUM($F$2:F320),"")</f>
        <v/>
      </c>
      <c r="H320" s="0" t="n">
        <f aca="false">IF(AND(食数記録!$A320=プレビュー!$C$3,食数記録!$B320="朝",食数記録!$F320="女性入所",食数記録!$D320="欠食"),1,0)</f>
        <v>0</v>
      </c>
      <c r="I320" s="0" t="str">
        <f aca="false">IF(H320=1,SUM($H$2:H320),"")</f>
        <v/>
      </c>
      <c r="J320" s="0" t="n">
        <f aca="false">IF(AND(食数記録!$A320=プレビュー!$C$3,食数記録!$B320="昼",食数記録!$F320="女性入所",食数記録!$D320="欠食"),1,0)</f>
        <v>0</v>
      </c>
      <c r="K320" s="0" t="str">
        <f aca="false">IF(J320=1,SUM($J$2:J320),"")</f>
        <v/>
      </c>
      <c r="L320" s="0" t="n">
        <f aca="false">IF(AND(食数記録!$A320=プレビュー!$C$3,食数記録!$B320="夕",食数記録!$F320="女性入所",食数記録!$D320="欠食"),1,0)</f>
        <v>0</v>
      </c>
      <c r="M320" s="0" t="str">
        <f aca="false">IF(L320=1,SUM($L$2:L320),"")</f>
        <v/>
      </c>
      <c r="N320" s="0" t="n">
        <f aca="false">IF(AND(食数記録!$A320=プレビュー!$C$3,食数記録!$B320="朝",食数記録!$F320="男性GH",食数記録!$D320="臨時喫食"),1,0)</f>
        <v>0</v>
      </c>
      <c r="O320" s="0" t="str">
        <f aca="false">IF(N320=1,SUM($N$2:N320),"")</f>
        <v/>
      </c>
      <c r="P320" s="0" t="n">
        <f aca="false">IF(AND(食数記録!$A320=プレビュー!$C$3,食数記録!$B320="昼",食数記録!$F320="男性GH",食数記録!$D320="臨時喫食"),1,0)</f>
        <v>0</v>
      </c>
      <c r="Q320" s="0" t="str">
        <f aca="false">IF(P320=1,SUM($P$2:P320),"")</f>
        <v/>
      </c>
      <c r="R320" s="0" t="n">
        <f aca="false">IF(AND(食数記録!$A320=プレビュー!$C$3,食数記録!$B320="夕",食数記録!$F320="男性GH",食数記録!$D320="臨時喫食"),1,0)</f>
        <v>0</v>
      </c>
      <c r="S320" s="0" t="str">
        <f aca="false">IF(R320=1,SUM($R$2:R320),"")</f>
        <v/>
      </c>
      <c r="T320" s="0" t="n">
        <f aca="false">IF(AND(食数記録!$A320=プレビュー!$C$3,食数記録!$B320="朝",食数記録!$F320="女性GH",食数記録!$D320="臨時喫食"),1,0)</f>
        <v>0</v>
      </c>
      <c r="U320" s="0" t="str">
        <f aca="false">IF(T320=1,SUM($T$2:T320),"")</f>
        <v/>
      </c>
      <c r="V320" s="0" t="n">
        <f aca="false">IF(AND(食数記録!$A320=プレビュー!$C$3,食数記録!$B320="昼",食数記録!$F320="女性GH",食数記録!$D320="臨時喫食"),1,0)</f>
        <v>0</v>
      </c>
      <c r="W320" s="0" t="str">
        <f aca="false">IF(V320=1,SUM($V$2:V320),"")</f>
        <v/>
      </c>
      <c r="X320" s="0" t="n">
        <f aca="false">IF(AND(食数記録!$A320=プレビュー!$C$3,食数記録!$B320="夕",食数記録!$F320="女性GH",食数記録!$D320="臨時喫食"),1,0)</f>
        <v>0</v>
      </c>
      <c r="Y320" s="0" t="str">
        <f aca="false">IF(X320=1,SUM($X$2:X320),"")</f>
        <v/>
      </c>
    </row>
    <row r="321" customFormat="false" ht="15" hidden="false" customHeight="false" outlineLevel="0" collapsed="false">
      <c r="B321" s="0" t="n">
        <f aca="false">IF(AND(食数記録!$A321=プレビュー!$C$3,食数記録!$B321="朝",食数記録!$F321="男性入所",食数記録!$D321="欠食"),1,0)</f>
        <v>0</v>
      </c>
      <c r="C321" s="0" t="str">
        <f aca="false">IF(B321=1,SUM($B$2:B321),"")</f>
        <v/>
      </c>
      <c r="D321" s="0" t="n">
        <f aca="false">IF(AND(食数記録!$A321=プレビュー!$C$3,食数記録!$B321="昼",食数記録!$F321="男性入所",食数記録!$D321="欠食"),1,0)</f>
        <v>0</v>
      </c>
      <c r="E321" s="0" t="str">
        <f aca="false">IF(D321=1,SUM($D$2:D321),"")</f>
        <v/>
      </c>
      <c r="F321" s="0" t="n">
        <f aca="false">IF(AND(食数記録!$A321=プレビュー!$C$3,食数記録!$B321="夕",食数記録!$F321="男性入所",食数記録!$D321="欠食"),1,0)</f>
        <v>0</v>
      </c>
      <c r="G321" s="0" t="str">
        <f aca="false">IF(F321=1,SUM($F$2:F321),"")</f>
        <v/>
      </c>
      <c r="H321" s="0" t="n">
        <f aca="false">IF(AND(食数記録!$A321=プレビュー!$C$3,食数記録!$B321="朝",食数記録!$F321="女性入所",食数記録!$D321="欠食"),1,0)</f>
        <v>0</v>
      </c>
      <c r="I321" s="0" t="str">
        <f aca="false">IF(H321=1,SUM($H$2:H321),"")</f>
        <v/>
      </c>
      <c r="J321" s="0" t="n">
        <f aca="false">IF(AND(食数記録!$A321=プレビュー!$C$3,食数記録!$B321="昼",食数記録!$F321="女性入所",食数記録!$D321="欠食"),1,0)</f>
        <v>0</v>
      </c>
      <c r="K321" s="0" t="str">
        <f aca="false">IF(J321=1,SUM($J$2:J321),"")</f>
        <v/>
      </c>
      <c r="L321" s="0" t="n">
        <f aca="false">IF(AND(食数記録!$A321=プレビュー!$C$3,食数記録!$B321="夕",食数記録!$F321="女性入所",食数記録!$D321="欠食"),1,0)</f>
        <v>0</v>
      </c>
      <c r="M321" s="0" t="str">
        <f aca="false">IF(L321=1,SUM($L$2:L321),"")</f>
        <v/>
      </c>
      <c r="N321" s="0" t="n">
        <f aca="false">IF(AND(食数記録!$A321=プレビュー!$C$3,食数記録!$B321="朝",食数記録!$F321="男性GH",食数記録!$D321="臨時喫食"),1,0)</f>
        <v>0</v>
      </c>
      <c r="O321" s="0" t="str">
        <f aca="false">IF(N321=1,SUM($N$2:N321),"")</f>
        <v/>
      </c>
      <c r="P321" s="0" t="n">
        <f aca="false">IF(AND(食数記録!$A321=プレビュー!$C$3,食数記録!$B321="昼",食数記録!$F321="男性GH",食数記録!$D321="臨時喫食"),1,0)</f>
        <v>0</v>
      </c>
      <c r="Q321" s="0" t="str">
        <f aca="false">IF(P321=1,SUM($P$2:P321),"")</f>
        <v/>
      </c>
      <c r="R321" s="0" t="n">
        <f aca="false">IF(AND(食数記録!$A321=プレビュー!$C$3,食数記録!$B321="夕",食数記録!$F321="男性GH",食数記録!$D321="臨時喫食"),1,0)</f>
        <v>0</v>
      </c>
      <c r="S321" s="0" t="str">
        <f aca="false">IF(R321=1,SUM($R$2:R321),"")</f>
        <v/>
      </c>
      <c r="T321" s="0" t="n">
        <f aca="false">IF(AND(食数記録!$A321=プレビュー!$C$3,食数記録!$B321="朝",食数記録!$F321="女性GH",食数記録!$D321="臨時喫食"),1,0)</f>
        <v>0</v>
      </c>
      <c r="U321" s="0" t="str">
        <f aca="false">IF(T321=1,SUM($T$2:T321),"")</f>
        <v/>
      </c>
      <c r="V321" s="0" t="n">
        <f aca="false">IF(AND(食数記録!$A321=プレビュー!$C$3,食数記録!$B321="昼",食数記録!$F321="女性GH",食数記録!$D321="臨時喫食"),1,0)</f>
        <v>0</v>
      </c>
      <c r="W321" s="0" t="str">
        <f aca="false">IF(V321=1,SUM($V$2:V321),"")</f>
        <v/>
      </c>
      <c r="X321" s="0" t="n">
        <f aca="false">IF(AND(食数記録!$A321=プレビュー!$C$3,食数記録!$B321="夕",食数記録!$F321="女性GH",食数記録!$D321="臨時喫食"),1,0)</f>
        <v>0</v>
      </c>
      <c r="Y321" s="0" t="str">
        <f aca="false">IF(X321=1,SUM($X$2:X321),"")</f>
        <v/>
      </c>
    </row>
    <row r="322" customFormat="false" ht="15" hidden="false" customHeight="false" outlineLevel="0" collapsed="false">
      <c r="B322" s="0" t="n">
        <f aca="false">IF(AND(食数記録!$A322=プレビュー!$C$3,食数記録!$B322="朝",食数記録!$F322="男性入所",食数記録!$D322="欠食"),1,0)</f>
        <v>0</v>
      </c>
      <c r="C322" s="0" t="str">
        <f aca="false">IF(B322=1,SUM($B$2:B322),"")</f>
        <v/>
      </c>
      <c r="D322" s="0" t="n">
        <f aca="false">IF(AND(食数記録!$A322=プレビュー!$C$3,食数記録!$B322="昼",食数記録!$F322="男性入所",食数記録!$D322="欠食"),1,0)</f>
        <v>0</v>
      </c>
      <c r="E322" s="0" t="str">
        <f aca="false">IF(D322=1,SUM($D$2:D322),"")</f>
        <v/>
      </c>
      <c r="F322" s="0" t="n">
        <f aca="false">IF(AND(食数記録!$A322=プレビュー!$C$3,食数記録!$B322="夕",食数記録!$F322="男性入所",食数記録!$D322="欠食"),1,0)</f>
        <v>0</v>
      </c>
      <c r="G322" s="0" t="str">
        <f aca="false">IF(F322=1,SUM($F$2:F322),"")</f>
        <v/>
      </c>
      <c r="H322" s="0" t="n">
        <f aca="false">IF(AND(食数記録!$A322=プレビュー!$C$3,食数記録!$B322="朝",食数記録!$F322="女性入所",食数記録!$D322="欠食"),1,0)</f>
        <v>0</v>
      </c>
      <c r="I322" s="0" t="str">
        <f aca="false">IF(H322=1,SUM($H$2:H322),"")</f>
        <v/>
      </c>
      <c r="J322" s="0" t="n">
        <f aca="false">IF(AND(食数記録!$A322=プレビュー!$C$3,食数記録!$B322="昼",食数記録!$F322="女性入所",食数記録!$D322="欠食"),1,0)</f>
        <v>0</v>
      </c>
      <c r="K322" s="0" t="str">
        <f aca="false">IF(J322=1,SUM($J$2:J322),"")</f>
        <v/>
      </c>
      <c r="L322" s="0" t="n">
        <f aca="false">IF(AND(食数記録!$A322=プレビュー!$C$3,食数記録!$B322="夕",食数記録!$F322="女性入所",食数記録!$D322="欠食"),1,0)</f>
        <v>0</v>
      </c>
      <c r="M322" s="0" t="str">
        <f aca="false">IF(L322=1,SUM($L$2:L322),"")</f>
        <v/>
      </c>
      <c r="N322" s="0" t="n">
        <f aca="false">IF(AND(食数記録!$A322=プレビュー!$C$3,食数記録!$B322="朝",食数記録!$F322="男性GH",食数記録!$D322="臨時喫食"),1,0)</f>
        <v>0</v>
      </c>
      <c r="O322" s="0" t="str">
        <f aca="false">IF(N322=1,SUM($N$2:N322),"")</f>
        <v/>
      </c>
      <c r="P322" s="0" t="n">
        <f aca="false">IF(AND(食数記録!$A322=プレビュー!$C$3,食数記録!$B322="昼",食数記録!$F322="男性GH",食数記録!$D322="臨時喫食"),1,0)</f>
        <v>0</v>
      </c>
      <c r="Q322" s="0" t="str">
        <f aca="false">IF(P322=1,SUM($P$2:P322),"")</f>
        <v/>
      </c>
      <c r="R322" s="0" t="n">
        <f aca="false">IF(AND(食数記録!$A322=プレビュー!$C$3,食数記録!$B322="夕",食数記録!$F322="男性GH",食数記録!$D322="臨時喫食"),1,0)</f>
        <v>0</v>
      </c>
      <c r="S322" s="0" t="str">
        <f aca="false">IF(R322=1,SUM($R$2:R322),"")</f>
        <v/>
      </c>
      <c r="T322" s="0" t="n">
        <f aca="false">IF(AND(食数記録!$A322=プレビュー!$C$3,食数記録!$B322="朝",食数記録!$F322="女性GH",食数記録!$D322="臨時喫食"),1,0)</f>
        <v>0</v>
      </c>
      <c r="U322" s="0" t="str">
        <f aca="false">IF(T322=1,SUM($T$2:T322),"")</f>
        <v/>
      </c>
      <c r="V322" s="0" t="n">
        <f aca="false">IF(AND(食数記録!$A322=プレビュー!$C$3,食数記録!$B322="昼",食数記録!$F322="女性GH",食数記録!$D322="臨時喫食"),1,0)</f>
        <v>0</v>
      </c>
      <c r="W322" s="0" t="str">
        <f aca="false">IF(V322=1,SUM($V$2:V322),"")</f>
        <v/>
      </c>
      <c r="X322" s="0" t="n">
        <f aca="false">IF(AND(食数記録!$A322=プレビュー!$C$3,食数記録!$B322="夕",食数記録!$F322="女性GH",食数記録!$D322="臨時喫食"),1,0)</f>
        <v>0</v>
      </c>
      <c r="Y322" s="0" t="str">
        <f aca="false">IF(X322=1,SUM($X$2:X322),"")</f>
        <v/>
      </c>
    </row>
    <row r="323" customFormat="false" ht="15" hidden="false" customHeight="false" outlineLevel="0" collapsed="false">
      <c r="B323" s="0" t="n">
        <f aca="false">IF(AND(食数記録!$A323=プレビュー!$C$3,食数記録!$B323="朝",食数記録!$F323="男性入所",食数記録!$D323="欠食"),1,0)</f>
        <v>0</v>
      </c>
      <c r="C323" s="0" t="str">
        <f aca="false">IF(B323=1,SUM($B$2:B323),"")</f>
        <v/>
      </c>
      <c r="D323" s="0" t="n">
        <f aca="false">IF(AND(食数記録!$A323=プレビュー!$C$3,食数記録!$B323="昼",食数記録!$F323="男性入所",食数記録!$D323="欠食"),1,0)</f>
        <v>0</v>
      </c>
      <c r="E323" s="0" t="str">
        <f aca="false">IF(D323=1,SUM($D$2:D323),"")</f>
        <v/>
      </c>
      <c r="F323" s="0" t="n">
        <f aca="false">IF(AND(食数記録!$A323=プレビュー!$C$3,食数記録!$B323="夕",食数記録!$F323="男性入所",食数記録!$D323="欠食"),1,0)</f>
        <v>0</v>
      </c>
      <c r="G323" s="0" t="str">
        <f aca="false">IF(F323=1,SUM($F$2:F323),"")</f>
        <v/>
      </c>
      <c r="H323" s="0" t="n">
        <f aca="false">IF(AND(食数記録!$A323=プレビュー!$C$3,食数記録!$B323="朝",食数記録!$F323="女性入所",食数記録!$D323="欠食"),1,0)</f>
        <v>0</v>
      </c>
      <c r="I323" s="0" t="str">
        <f aca="false">IF(H323=1,SUM($H$2:H323),"")</f>
        <v/>
      </c>
      <c r="J323" s="0" t="n">
        <f aca="false">IF(AND(食数記録!$A323=プレビュー!$C$3,食数記録!$B323="昼",食数記録!$F323="女性入所",食数記録!$D323="欠食"),1,0)</f>
        <v>0</v>
      </c>
      <c r="K323" s="0" t="str">
        <f aca="false">IF(J323=1,SUM($J$2:J323),"")</f>
        <v/>
      </c>
      <c r="L323" s="0" t="n">
        <f aca="false">IF(AND(食数記録!$A323=プレビュー!$C$3,食数記録!$B323="夕",食数記録!$F323="女性入所",食数記録!$D323="欠食"),1,0)</f>
        <v>0</v>
      </c>
      <c r="M323" s="0" t="str">
        <f aca="false">IF(L323=1,SUM($L$2:L323),"")</f>
        <v/>
      </c>
      <c r="N323" s="0" t="n">
        <f aca="false">IF(AND(食数記録!$A323=プレビュー!$C$3,食数記録!$B323="朝",食数記録!$F323="男性GH",食数記録!$D323="臨時喫食"),1,0)</f>
        <v>0</v>
      </c>
      <c r="O323" s="0" t="str">
        <f aca="false">IF(N323=1,SUM($N$2:N323),"")</f>
        <v/>
      </c>
      <c r="P323" s="0" t="n">
        <f aca="false">IF(AND(食数記録!$A323=プレビュー!$C$3,食数記録!$B323="昼",食数記録!$F323="男性GH",食数記録!$D323="臨時喫食"),1,0)</f>
        <v>0</v>
      </c>
      <c r="Q323" s="0" t="str">
        <f aca="false">IF(P323=1,SUM($P$2:P323),"")</f>
        <v/>
      </c>
      <c r="R323" s="0" t="n">
        <f aca="false">IF(AND(食数記録!$A323=プレビュー!$C$3,食数記録!$B323="夕",食数記録!$F323="男性GH",食数記録!$D323="臨時喫食"),1,0)</f>
        <v>0</v>
      </c>
      <c r="S323" s="0" t="str">
        <f aca="false">IF(R323=1,SUM($R$2:R323),"")</f>
        <v/>
      </c>
      <c r="T323" s="0" t="n">
        <f aca="false">IF(AND(食数記録!$A323=プレビュー!$C$3,食数記録!$B323="朝",食数記録!$F323="女性GH",食数記録!$D323="臨時喫食"),1,0)</f>
        <v>0</v>
      </c>
      <c r="U323" s="0" t="str">
        <f aca="false">IF(T323=1,SUM($T$2:T323),"")</f>
        <v/>
      </c>
      <c r="V323" s="0" t="n">
        <f aca="false">IF(AND(食数記録!$A323=プレビュー!$C$3,食数記録!$B323="昼",食数記録!$F323="女性GH",食数記録!$D323="臨時喫食"),1,0)</f>
        <v>0</v>
      </c>
      <c r="W323" s="0" t="str">
        <f aca="false">IF(V323=1,SUM($V$2:V323),"")</f>
        <v/>
      </c>
      <c r="X323" s="0" t="n">
        <f aca="false">IF(AND(食数記録!$A323=プレビュー!$C$3,食数記録!$B323="夕",食数記録!$F323="女性GH",食数記録!$D323="臨時喫食"),1,0)</f>
        <v>0</v>
      </c>
      <c r="Y323" s="0" t="str">
        <f aca="false">IF(X323=1,SUM($X$2:X323),"")</f>
        <v/>
      </c>
    </row>
    <row r="324" customFormat="false" ht="15" hidden="false" customHeight="false" outlineLevel="0" collapsed="false">
      <c r="B324" s="0" t="n">
        <f aca="false">IF(AND(食数記録!$A324=プレビュー!$C$3,食数記録!$B324="朝",食数記録!$F324="男性入所",食数記録!$D324="欠食"),1,0)</f>
        <v>0</v>
      </c>
      <c r="C324" s="0" t="str">
        <f aca="false">IF(B324=1,SUM($B$2:B324),"")</f>
        <v/>
      </c>
      <c r="D324" s="0" t="n">
        <f aca="false">IF(AND(食数記録!$A324=プレビュー!$C$3,食数記録!$B324="昼",食数記録!$F324="男性入所",食数記録!$D324="欠食"),1,0)</f>
        <v>0</v>
      </c>
      <c r="E324" s="0" t="str">
        <f aca="false">IF(D324=1,SUM($D$2:D324),"")</f>
        <v/>
      </c>
      <c r="F324" s="0" t="n">
        <f aca="false">IF(AND(食数記録!$A324=プレビュー!$C$3,食数記録!$B324="夕",食数記録!$F324="男性入所",食数記録!$D324="欠食"),1,0)</f>
        <v>0</v>
      </c>
      <c r="G324" s="0" t="str">
        <f aca="false">IF(F324=1,SUM($F$2:F324),"")</f>
        <v/>
      </c>
      <c r="H324" s="0" t="n">
        <f aca="false">IF(AND(食数記録!$A324=プレビュー!$C$3,食数記録!$B324="朝",食数記録!$F324="女性入所",食数記録!$D324="欠食"),1,0)</f>
        <v>0</v>
      </c>
      <c r="I324" s="0" t="str">
        <f aca="false">IF(H324=1,SUM($H$2:H324),"")</f>
        <v/>
      </c>
      <c r="J324" s="0" t="n">
        <f aca="false">IF(AND(食数記録!$A324=プレビュー!$C$3,食数記録!$B324="昼",食数記録!$F324="女性入所",食数記録!$D324="欠食"),1,0)</f>
        <v>0</v>
      </c>
      <c r="K324" s="0" t="str">
        <f aca="false">IF(J324=1,SUM($J$2:J324),"")</f>
        <v/>
      </c>
      <c r="L324" s="0" t="n">
        <f aca="false">IF(AND(食数記録!$A324=プレビュー!$C$3,食数記録!$B324="夕",食数記録!$F324="女性入所",食数記録!$D324="欠食"),1,0)</f>
        <v>0</v>
      </c>
      <c r="M324" s="0" t="str">
        <f aca="false">IF(L324=1,SUM($L$2:L324),"")</f>
        <v/>
      </c>
      <c r="N324" s="0" t="n">
        <f aca="false">IF(AND(食数記録!$A324=プレビュー!$C$3,食数記録!$B324="朝",食数記録!$F324="男性GH",食数記録!$D324="臨時喫食"),1,0)</f>
        <v>0</v>
      </c>
      <c r="O324" s="0" t="str">
        <f aca="false">IF(N324=1,SUM($N$2:N324),"")</f>
        <v/>
      </c>
      <c r="P324" s="0" t="n">
        <f aca="false">IF(AND(食数記録!$A324=プレビュー!$C$3,食数記録!$B324="昼",食数記録!$F324="男性GH",食数記録!$D324="臨時喫食"),1,0)</f>
        <v>0</v>
      </c>
      <c r="Q324" s="0" t="str">
        <f aca="false">IF(P324=1,SUM($P$2:P324),"")</f>
        <v/>
      </c>
      <c r="R324" s="0" t="n">
        <f aca="false">IF(AND(食数記録!$A324=プレビュー!$C$3,食数記録!$B324="夕",食数記録!$F324="男性GH",食数記録!$D324="臨時喫食"),1,0)</f>
        <v>0</v>
      </c>
      <c r="S324" s="0" t="str">
        <f aca="false">IF(R324=1,SUM($R$2:R324),"")</f>
        <v/>
      </c>
      <c r="T324" s="0" t="n">
        <f aca="false">IF(AND(食数記録!$A324=プレビュー!$C$3,食数記録!$B324="朝",食数記録!$F324="女性GH",食数記録!$D324="臨時喫食"),1,0)</f>
        <v>0</v>
      </c>
      <c r="U324" s="0" t="str">
        <f aca="false">IF(T324=1,SUM($T$2:T324),"")</f>
        <v/>
      </c>
      <c r="V324" s="0" t="n">
        <f aca="false">IF(AND(食数記録!$A324=プレビュー!$C$3,食数記録!$B324="昼",食数記録!$F324="女性GH",食数記録!$D324="臨時喫食"),1,0)</f>
        <v>0</v>
      </c>
      <c r="W324" s="0" t="str">
        <f aca="false">IF(V324=1,SUM($V$2:V324),"")</f>
        <v/>
      </c>
      <c r="X324" s="0" t="n">
        <f aca="false">IF(AND(食数記録!$A324=プレビュー!$C$3,食数記録!$B324="夕",食数記録!$F324="女性GH",食数記録!$D324="臨時喫食"),1,0)</f>
        <v>0</v>
      </c>
      <c r="Y324" s="0" t="str">
        <f aca="false">IF(X324=1,SUM($X$2:X324),"")</f>
        <v/>
      </c>
    </row>
    <row r="325" customFormat="false" ht="15" hidden="false" customHeight="false" outlineLevel="0" collapsed="false">
      <c r="B325" s="0" t="n">
        <f aca="false">IF(AND(食数記録!$A325=プレビュー!$C$3,食数記録!$B325="朝",食数記録!$F325="男性入所",食数記録!$D325="欠食"),1,0)</f>
        <v>0</v>
      </c>
      <c r="C325" s="0" t="str">
        <f aca="false">IF(B325=1,SUM($B$2:B325),"")</f>
        <v/>
      </c>
      <c r="D325" s="0" t="n">
        <f aca="false">IF(AND(食数記録!$A325=プレビュー!$C$3,食数記録!$B325="昼",食数記録!$F325="男性入所",食数記録!$D325="欠食"),1,0)</f>
        <v>0</v>
      </c>
      <c r="E325" s="0" t="str">
        <f aca="false">IF(D325=1,SUM($D$2:D325),"")</f>
        <v/>
      </c>
      <c r="F325" s="0" t="n">
        <f aca="false">IF(AND(食数記録!$A325=プレビュー!$C$3,食数記録!$B325="夕",食数記録!$F325="男性入所",食数記録!$D325="欠食"),1,0)</f>
        <v>0</v>
      </c>
      <c r="G325" s="0" t="str">
        <f aca="false">IF(F325=1,SUM($F$2:F325),"")</f>
        <v/>
      </c>
      <c r="H325" s="0" t="n">
        <f aca="false">IF(AND(食数記録!$A325=プレビュー!$C$3,食数記録!$B325="朝",食数記録!$F325="女性入所",食数記録!$D325="欠食"),1,0)</f>
        <v>0</v>
      </c>
      <c r="I325" s="0" t="str">
        <f aca="false">IF(H325=1,SUM($H$2:H325),"")</f>
        <v/>
      </c>
      <c r="J325" s="0" t="n">
        <f aca="false">IF(AND(食数記録!$A325=プレビュー!$C$3,食数記録!$B325="昼",食数記録!$F325="女性入所",食数記録!$D325="欠食"),1,0)</f>
        <v>0</v>
      </c>
      <c r="K325" s="0" t="str">
        <f aca="false">IF(J325=1,SUM($J$2:J325),"")</f>
        <v/>
      </c>
      <c r="L325" s="0" t="n">
        <f aca="false">IF(AND(食数記録!$A325=プレビュー!$C$3,食数記録!$B325="夕",食数記録!$F325="女性入所",食数記録!$D325="欠食"),1,0)</f>
        <v>0</v>
      </c>
      <c r="M325" s="0" t="str">
        <f aca="false">IF(L325=1,SUM($L$2:L325),"")</f>
        <v/>
      </c>
      <c r="N325" s="0" t="n">
        <f aca="false">IF(AND(食数記録!$A325=プレビュー!$C$3,食数記録!$B325="朝",食数記録!$F325="男性GH",食数記録!$D325="臨時喫食"),1,0)</f>
        <v>0</v>
      </c>
      <c r="O325" s="0" t="str">
        <f aca="false">IF(N325=1,SUM($N$2:N325),"")</f>
        <v/>
      </c>
      <c r="P325" s="0" t="n">
        <f aca="false">IF(AND(食数記録!$A325=プレビュー!$C$3,食数記録!$B325="昼",食数記録!$F325="男性GH",食数記録!$D325="臨時喫食"),1,0)</f>
        <v>0</v>
      </c>
      <c r="Q325" s="0" t="str">
        <f aca="false">IF(P325=1,SUM($P$2:P325),"")</f>
        <v/>
      </c>
      <c r="R325" s="0" t="n">
        <f aca="false">IF(AND(食数記録!$A325=プレビュー!$C$3,食数記録!$B325="夕",食数記録!$F325="男性GH",食数記録!$D325="臨時喫食"),1,0)</f>
        <v>0</v>
      </c>
      <c r="S325" s="0" t="str">
        <f aca="false">IF(R325=1,SUM($R$2:R325),"")</f>
        <v/>
      </c>
      <c r="T325" s="0" t="n">
        <f aca="false">IF(AND(食数記録!$A325=プレビュー!$C$3,食数記録!$B325="朝",食数記録!$F325="女性GH",食数記録!$D325="臨時喫食"),1,0)</f>
        <v>0</v>
      </c>
      <c r="U325" s="0" t="str">
        <f aca="false">IF(T325=1,SUM($T$2:T325),"")</f>
        <v/>
      </c>
      <c r="V325" s="0" t="n">
        <f aca="false">IF(AND(食数記録!$A325=プレビュー!$C$3,食数記録!$B325="昼",食数記録!$F325="女性GH",食数記録!$D325="臨時喫食"),1,0)</f>
        <v>0</v>
      </c>
      <c r="W325" s="0" t="str">
        <f aca="false">IF(V325=1,SUM($V$2:V325),"")</f>
        <v/>
      </c>
      <c r="X325" s="0" t="n">
        <f aca="false">IF(AND(食数記録!$A325=プレビュー!$C$3,食数記録!$B325="夕",食数記録!$F325="女性GH",食数記録!$D325="臨時喫食"),1,0)</f>
        <v>0</v>
      </c>
      <c r="Y325" s="0" t="str">
        <f aca="false">IF(X325=1,SUM($X$2:X325),"")</f>
        <v/>
      </c>
    </row>
    <row r="326" customFormat="false" ht="15" hidden="false" customHeight="false" outlineLevel="0" collapsed="false">
      <c r="B326" s="0" t="n">
        <f aca="false">IF(AND(食数記録!$A326=プレビュー!$C$3,食数記録!$B326="朝",食数記録!$F326="男性入所",食数記録!$D326="欠食"),1,0)</f>
        <v>0</v>
      </c>
      <c r="C326" s="0" t="str">
        <f aca="false">IF(B326=1,SUM($B$2:B326),"")</f>
        <v/>
      </c>
      <c r="D326" s="0" t="n">
        <f aca="false">IF(AND(食数記録!$A326=プレビュー!$C$3,食数記録!$B326="昼",食数記録!$F326="男性入所",食数記録!$D326="欠食"),1,0)</f>
        <v>0</v>
      </c>
      <c r="E326" s="0" t="str">
        <f aca="false">IF(D326=1,SUM($D$2:D326),"")</f>
        <v/>
      </c>
      <c r="F326" s="0" t="n">
        <f aca="false">IF(AND(食数記録!$A326=プレビュー!$C$3,食数記録!$B326="夕",食数記録!$F326="男性入所",食数記録!$D326="欠食"),1,0)</f>
        <v>0</v>
      </c>
      <c r="G326" s="0" t="str">
        <f aca="false">IF(F326=1,SUM($F$2:F326),"")</f>
        <v/>
      </c>
      <c r="H326" s="0" t="n">
        <f aca="false">IF(AND(食数記録!$A326=プレビュー!$C$3,食数記録!$B326="朝",食数記録!$F326="女性入所",食数記録!$D326="欠食"),1,0)</f>
        <v>0</v>
      </c>
      <c r="I326" s="0" t="str">
        <f aca="false">IF(H326=1,SUM($H$2:H326),"")</f>
        <v/>
      </c>
      <c r="J326" s="0" t="n">
        <f aca="false">IF(AND(食数記録!$A326=プレビュー!$C$3,食数記録!$B326="昼",食数記録!$F326="女性入所",食数記録!$D326="欠食"),1,0)</f>
        <v>0</v>
      </c>
      <c r="K326" s="0" t="str">
        <f aca="false">IF(J326=1,SUM($J$2:J326),"")</f>
        <v/>
      </c>
      <c r="L326" s="0" t="n">
        <f aca="false">IF(AND(食数記録!$A326=プレビュー!$C$3,食数記録!$B326="夕",食数記録!$F326="女性入所",食数記録!$D326="欠食"),1,0)</f>
        <v>0</v>
      </c>
      <c r="M326" s="0" t="str">
        <f aca="false">IF(L326=1,SUM($L$2:L326),"")</f>
        <v/>
      </c>
      <c r="N326" s="0" t="n">
        <f aca="false">IF(AND(食数記録!$A326=プレビュー!$C$3,食数記録!$B326="朝",食数記録!$F326="男性GH",食数記録!$D326="臨時喫食"),1,0)</f>
        <v>0</v>
      </c>
      <c r="O326" s="0" t="str">
        <f aca="false">IF(N326=1,SUM($N$2:N326),"")</f>
        <v/>
      </c>
      <c r="P326" s="0" t="n">
        <f aca="false">IF(AND(食数記録!$A326=プレビュー!$C$3,食数記録!$B326="昼",食数記録!$F326="男性GH",食数記録!$D326="臨時喫食"),1,0)</f>
        <v>0</v>
      </c>
      <c r="Q326" s="0" t="str">
        <f aca="false">IF(P326=1,SUM($P$2:P326),"")</f>
        <v/>
      </c>
      <c r="R326" s="0" t="n">
        <f aca="false">IF(AND(食数記録!$A326=プレビュー!$C$3,食数記録!$B326="夕",食数記録!$F326="男性GH",食数記録!$D326="臨時喫食"),1,0)</f>
        <v>0</v>
      </c>
      <c r="S326" s="0" t="str">
        <f aca="false">IF(R326=1,SUM($R$2:R326),"")</f>
        <v/>
      </c>
      <c r="T326" s="0" t="n">
        <f aca="false">IF(AND(食数記録!$A326=プレビュー!$C$3,食数記録!$B326="朝",食数記録!$F326="女性GH",食数記録!$D326="臨時喫食"),1,0)</f>
        <v>0</v>
      </c>
      <c r="U326" s="0" t="str">
        <f aca="false">IF(T326=1,SUM($T$2:T326),"")</f>
        <v/>
      </c>
      <c r="V326" s="0" t="n">
        <f aca="false">IF(AND(食数記録!$A326=プレビュー!$C$3,食数記録!$B326="昼",食数記録!$F326="女性GH",食数記録!$D326="臨時喫食"),1,0)</f>
        <v>0</v>
      </c>
      <c r="W326" s="0" t="str">
        <f aca="false">IF(V326=1,SUM($V$2:V326),"")</f>
        <v/>
      </c>
      <c r="X326" s="0" t="n">
        <f aca="false">IF(AND(食数記録!$A326=プレビュー!$C$3,食数記録!$B326="夕",食数記録!$F326="女性GH",食数記録!$D326="臨時喫食"),1,0)</f>
        <v>0</v>
      </c>
      <c r="Y326" s="0" t="str">
        <f aca="false">IF(X326=1,SUM($X$2:X326),"")</f>
        <v/>
      </c>
    </row>
    <row r="327" customFormat="false" ht="15" hidden="false" customHeight="false" outlineLevel="0" collapsed="false">
      <c r="B327" s="0" t="n">
        <f aca="false">IF(AND(食数記録!$A327=プレビュー!$C$3,食数記録!$B327="朝",食数記録!$F327="男性入所",食数記録!$D327="欠食"),1,0)</f>
        <v>0</v>
      </c>
      <c r="C327" s="0" t="str">
        <f aca="false">IF(B327=1,SUM($B$2:B327),"")</f>
        <v/>
      </c>
      <c r="D327" s="0" t="n">
        <f aca="false">IF(AND(食数記録!$A327=プレビュー!$C$3,食数記録!$B327="昼",食数記録!$F327="男性入所",食数記録!$D327="欠食"),1,0)</f>
        <v>0</v>
      </c>
      <c r="E327" s="0" t="str">
        <f aca="false">IF(D327=1,SUM($D$2:D327),"")</f>
        <v/>
      </c>
      <c r="F327" s="0" t="n">
        <f aca="false">IF(AND(食数記録!$A327=プレビュー!$C$3,食数記録!$B327="夕",食数記録!$F327="男性入所",食数記録!$D327="欠食"),1,0)</f>
        <v>0</v>
      </c>
      <c r="G327" s="0" t="str">
        <f aca="false">IF(F327=1,SUM($F$2:F327),"")</f>
        <v/>
      </c>
      <c r="H327" s="0" t="n">
        <f aca="false">IF(AND(食数記録!$A327=プレビュー!$C$3,食数記録!$B327="朝",食数記録!$F327="女性入所",食数記録!$D327="欠食"),1,0)</f>
        <v>0</v>
      </c>
      <c r="I327" s="0" t="str">
        <f aca="false">IF(H327=1,SUM($H$2:H327),"")</f>
        <v/>
      </c>
      <c r="J327" s="0" t="n">
        <f aca="false">IF(AND(食数記録!$A327=プレビュー!$C$3,食数記録!$B327="昼",食数記録!$F327="女性入所",食数記録!$D327="欠食"),1,0)</f>
        <v>0</v>
      </c>
      <c r="K327" s="0" t="str">
        <f aca="false">IF(J327=1,SUM($J$2:J327),"")</f>
        <v/>
      </c>
      <c r="L327" s="0" t="n">
        <f aca="false">IF(AND(食数記録!$A327=プレビュー!$C$3,食数記録!$B327="夕",食数記録!$F327="女性入所",食数記録!$D327="欠食"),1,0)</f>
        <v>0</v>
      </c>
      <c r="M327" s="0" t="str">
        <f aca="false">IF(L327=1,SUM($L$2:L327),"")</f>
        <v/>
      </c>
      <c r="N327" s="0" t="n">
        <f aca="false">IF(AND(食数記録!$A327=プレビュー!$C$3,食数記録!$B327="朝",食数記録!$F327="男性GH",食数記録!$D327="臨時喫食"),1,0)</f>
        <v>0</v>
      </c>
      <c r="O327" s="0" t="str">
        <f aca="false">IF(N327=1,SUM($N$2:N327),"")</f>
        <v/>
      </c>
      <c r="P327" s="0" t="n">
        <f aca="false">IF(AND(食数記録!$A327=プレビュー!$C$3,食数記録!$B327="昼",食数記録!$F327="男性GH",食数記録!$D327="臨時喫食"),1,0)</f>
        <v>0</v>
      </c>
      <c r="Q327" s="0" t="str">
        <f aca="false">IF(P327=1,SUM($P$2:P327),"")</f>
        <v/>
      </c>
      <c r="R327" s="0" t="n">
        <f aca="false">IF(AND(食数記録!$A327=プレビュー!$C$3,食数記録!$B327="夕",食数記録!$F327="男性GH",食数記録!$D327="臨時喫食"),1,0)</f>
        <v>0</v>
      </c>
      <c r="S327" s="0" t="str">
        <f aca="false">IF(R327=1,SUM($R$2:R327),"")</f>
        <v/>
      </c>
      <c r="T327" s="0" t="n">
        <f aca="false">IF(AND(食数記録!$A327=プレビュー!$C$3,食数記録!$B327="朝",食数記録!$F327="女性GH",食数記録!$D327="臨時喫食"),1,0)</f>
        <v>0</v>
      </c>
      <c r="U327" s="0" t="str">
        <f aca="false">IF(T327=1,SUM($T$2:T327),"")</f>
        <v/>
      </c>
      <c r="V327" s="0" t="n">
        <f aca="false">IF(AND(食数記録!$A327=プレビュー!$C$3,食数記録!$B327="昼",食数記録!$F327="女性GH",食数記録!$D327="臨時喫食"),1,0)</f>
        <v>0</v>
      </c>
      <c r="W327" s="0" t="str">
        <f aca="false">IF(V327=1,SUM($V$2:V327),"")</f>
        <v/>
      </c>
      <c r="X327" s="0" t="n">
        <f aca="false">IF(AND(食数記録!$A327=プレビュー!$C$3,食数記録!$B327="夕",食数記録!$F327="女性GH",食数記録!$D327="臨時喫食"),1,0)</f>
        <v>0</v>
      </c>
      <c r="Y327" s="0" t="str">
        <f aca="false">IF(X327=1,SUM($X$2:X327),"")</f>
        <v/>
      </c>
    </row>
    <row r="328" customFormat="false" ht="15" hidden="false" customHeight="false" outlineLevel="0" collapsed="false">
      <c r="B328" s="0" t="n">
        <f aca="false">IF(AND(食数記録!$A328=プレビュー!$C$3,食数記録!$B328="朝",食数記録!$F328="男性入所",食数記録!$D328="欠食"),1,0)</f>
        <v>0</v>
      </c>
      <c r="C328" s="0" t="str">
        <f aca="false">IF(B328=1,SUM($B$2:B328),"")</f>
        <v/>
      </c>
      <c r="D328" s="0" t="n">
        <f aca="false">IF(AND(食数記録!$A328=プレビュー!$C$3,食数記録!$B328="昼",食数記録!$F328="男性入所",食数記録!$D328="欠食"),1,0)</f>
        <v>0</v>
      </c>
      <c r="E328" s="0" t="str">
        <f aca="false">IF(D328=1,SUM($D$2:D328),"")</f>
        <v/>
      </c>
      <c r="F328" s="0" t="n">
        <f aca="false">IF(AND(食数記録!$A328=プレビュー!$C$3,食数記録!$B328="夕",食数記録!$F328="男性入所",食数記録!$D328="欠食"),1,0)</f>
        <v>0</v>
      </c>
      <c r="G328" s="0" t="str">
        <f aca="false">IF(F328=1,SUM($F$2:F328),"")</f>
        <v/>
      </c>
      <c r="H328" s="0" t="n">
        <f aca="false">IF(AND(食数記録!$A328=プレビュー!$C$3,食数記録!$B328="朝",食数記録!$F328="女性入所",食数記録!$D328="欠食"),1,0)</f>
        <v>0</v>
      </c>
      <c r="I328" s="0" t="str">
        <f aca="false">IF(H328=1,SUM($H$2:H328),"")</f>
        <v/>
      </c>
      <c r="J328" s="0" t="n">
        <f aca="false">IF(AND(食数記録!$A328=プレビュー!$C$3,食数記録!$B328="昼",食数記録!$F328="女性入所",食数記録!$D328="欠食"),1,0)</f>
        <v>0</v>
      </c>
      <c r="K328" s="0" t="str">
        <f aca="false">IF(J328=1,SUM($J$2:J328),"")</f>
        <v/>
      </c>
      <c r="L328" s="0" t="n">
        <f aca="false">IF(AND(食数記録!$A328=プレビュー!$C$3,食数記録!$B328="夕",食数記録!$F328="女性入所",食数記録!$D328="欠食"),1,0)</f>
        <v>0</v>
      </c>
      <c r="M328" s="0" t="str">
        <f aca="false">IF(L328=1,SUM($L$2:L328),"")</f>
        <v/>
      </c>
      <c r="N328" s="0" t="n">
        <f aca="false">IF(AND(食数記録!$A328=プレビュー!$C$3,食数記録!$B328="朝",食数記録!$F328="男性GH",食数記録!$D328="臨時喫食"),1,0)</f>
        <v>0</v>
      </c>
      <c r="O328" s="0" t="str">
        <f aca="false">IF(N328=1,SUM($N$2:N328),"")</f>
        <v/>
      </c>
      <c r="P328" s="0" t="n">
        <f aca="false">IF(AND(食数記録!$A328=プレビュー!$C$3,食数記録!$B328="昼",食数記録!$F328="男性GH",食数記録!$D328="臨時喫食"),1,0)</f>
        <v>0</v>
      </c>
      <c r="Q328" s="0" t="str">
        <f aca="false">IF(P328=1,SUM($P$2:P328),"")</f>
        <v/>
      </c>
      <c r="R328" s="0" t="n">
        <f aca="false">IF(AND(食数記録!$A328=プレビュー!$C$3,食数記録!$B328="夕",食数記録!$F328="男性GH",食数記録!$D328="臨時喫食"),1,0)</f>
        <v>0</v>
      </c>
      <c r="S328" s="0" t="str">
        <f aca="false">IF(R328=1,SUM($R$2:R328),"")</f>
        <v/>
      </c>
      <c r="T328" s="0" t="n">
        <f aca="false">IF(AND(食数記録!$A328=プレビュー!$C$3,食数記録!$B328="朝",食数記録!$F328="女性GH",食数記録!$D328="臨時喫食"),1,0)</f>
        <v>0</v>
      </c>
      <c r="U328" s="0" t="str">
        <f aca="false">IF(T328=1,SUM($T$2:T328),"")</f>
        <v/>
      </c>
      <c r="V328" s="0" t="n">
        <f aca="false">IF(AND(食数記録!$A328=プレビュー!$C$3,食数記録!$B328="昼",食数記録!$F328="女性GH",食数記録!$D328="臨時喫食"),1,0)</f>
        <v>0</v>
      </c>
      <c r="W328" s="0" t="str">
        <f aca="false">IF(V328=1,SUM($V$2:V328),"")</f>
        <v/>
      </c>
      <c r="X328" s="0" t="n">
        <f aca="false">IF(AND(食数記録!$A328=プレビュー!$C$3,食数記録!$B328="夕",食数記録!$F328="女性GH",食数記録!$D328="臨時喫食"),1,0)</f>
        <v>0</v>
      </c>
      <c r="Y328" s="0" t="str">
        <f aca="false">IF(X328=1,SUM($X$2:X328),"")</f>
        <v/>
      </c>
    </row>
    <row r="329" customFormat="false" ht="15" hidden="false" customHeight="false" outlineLevel="0" collapsed="false">
      <c r="B329" s="0" t="n">
        <f aca="false">IF(AND(食数記録!$A329=プレビュー!$C$3,食数記録!$B329="朝",食数記録!$F329="男性入所",食数記録!$D329="欠食"),1,0)</f>
        <v>0</v>
      </c>
      <c r="C329" s="0" t="str">
        <f aca="false">IF(B329=1,SUM($B$2:B329),"")</f>
        <v/>
      </c>
      <c r="D329" s="0" t="n">
        <f aca="false">IF(AND(食数記録!$A329=プレビュー!$C$3,食数記録!$B329="昼",食数記録!$F329="男性入所",食数記録!$D329="欠食"),1,0)</f>
        <v>0</v>
      </c>
      <c r="E329" s="0" t="str">
        <f aca="false">IF(D329=1,SUM($D$2:D329),"")</f>
        <v/>
      </c>
      <c r="F329" s="0" t="n">
        <f aca="false">IF(AND(食数記録!$A329=プレビュー!$C$3,食数記録!$B329="夕",食数記録!$F329="男性入所",食数記録!$D329="欠食"),1,0)</f>
        <v>0</v>
      </c>
      <c r="G329" s="0" t="str">
        <f aca="false">IF(F329=1,SUM($F$2:F329),"")</f>
        <v/>
      </c>
      <c r="H329" s="0" t="n">
        <f aca="false">IF(AND(食数記録!$A329=プレビュー!$C$3,食数記録!$B329="朝",食数記録!$F329="女性入所",食数記録!$D329="欠食"),1,0)</f>
        <v>0</v>
      </c>
      <c r="I329" s="0" t="str">
        <f aca="false">IF(H329=1,SUM($H$2:H329),"")</f>
        <v/>
      </c>
      <c r="J329" s="0" t="n">
        <f aca="false">IF(AND(食数記録!$A329=プレビュー!$C$3,食数記録!$B329="昼",食数記録!$F329="女性入所",食数記録!$D329="欠食"),1,0)</f>
        <v>0</v>
      </c>
      <c r="K329" s="0" t="str">
        <f aca="false">IF(J329=1,SUM($J$2:J329),"")</f>
        <v/>
      </c>
      <c r="L329" s="0" t="n">
        <f aca="false">IF(AND(食数記録!$A329=プレビュー!$C$3,食数記録!$B329="夕",食数記録!$F329="女性入所",食数記録!$D329="欠食"),1,0)</f>
        <v>0</v>
      </c>
      <c r="M329" s="0" t="str">
        <f aca="false">IF(L329=1,SUM($L$2:L329),"")</f>
        <v/>
      </c>
      <c r="N329" s="0" t="n">
        <f aca="false">IF(AND(食数記録!$A329=プレビュー!$C$3,食数記録!$B329="朝",食数記録!$F329="男性GH",食数記録!$D329="臨時喫食"),1,0)</f>
        <v>0</v>
      </c>
      <c r="O329" s="0" t="str">
        <f aca="false">IF(N329=1,SUM($N$2:N329),"")</f>
        <v/>
      </c>
      <c r="P329" s="0" t="n">
        <f aca="false">IF(AND(食数記録!$A329=プレビュー!$C$3,食数記録!$B329="昼",食数記録!$F329="男性GH",食数記録!$D329="臨時喫食"),1,0)</f>
        <v>0</v>
      </c>
      <c r="Q329" s="0" t="str">
        <f aca="false">IF(P329=1,SUM($P$2:P329),"")</f>
        <v/>
      </c>
      <c r="R329" s="0" t="n">
        <f aca="false">IF(AND(食数記録!$A329=プレビュー!$C$3,食数記録!$B329="夕",食数記録!$F329="男性GH",食数記録!$D329="臨時喫食"),1,0)</f>
        <v>0</v>
      </c>
      <c r="S329" s="0" t="str">
        <f aca="false">IF(R329=1,SUM($R$2:R329),"")</f>
        <v/>
      </c>
      <c r="T329" s="0" t="n">
        <f aca="false">IF(AND(食数記録!$A329=プレビュー!$C$3,食数記録!$B329="朝",食数記録!$F329="女性GH",食数記録!$D329="臨時喫食"),1,0)</f>
        <v>0</v>
      </c>
      <c r="U329" s="0" t="str">
        <f aca="false">IF(T329=1,SUM($T$2:T329),"")</f>
        <v/>
      </c>
      <c r="V329" s="0" t="n">
        <f aca="false">IF(AND(食数記録!$A329=プレビュー!$C$3,食数記録!$B329="昼",食数記録!$F329="女性GH",食数記録!$D329="臨時喫食"),1,0)</f>
        <v>0</v>
      </c>
      <c r="W329" s="0" t="str">
        <f aca="false">IF(V329=1,SUM($V$2:V329),"")</f>
        <v/>
      </c>
      <c r="X329" s="0" t="n">
        <f aca="false">IF(AND(食数記録!$A329=プレビュー!$C$3,食数記録!$B329="夕",食数記録!$F329="女性GH",食数記録!$D329="臨時喫食"),1,0)</f>
        <v>0</v>
      </c>
      <c r="Y329" s="0" t="str">
        <f aca="false">IF(X329=1,SUM($X$2:X329),"")</f>
        <v/>
      </c>
    </row>
    <row r="330" customFormat="false" ht="15" hidden="false" customHeight="false" outlineLevel="0" collapsed="false">
      <c r="B330" s="0" t="n">
        <f aca="false">IF(AND(食数記録!$A330=プレビュー!$C$3,食数記録!$B330="朝",食数記録!$F330="男性入所",食数記録!$D330="欠食"),1,0)</f>
        <v>0</v>
      </c>
      <c r="C330" s="0" t="str">
        <f aca="false">IF(B330=1,SUM($B$2:B330),"")</f>
        <v/>
      </c>
      <c r="D330" s="0" t="n">
        <f aca="false">IF(AND(食数記録!$A330=プレビュー!$C$3,食数記録!$B330="昼",食数記録!$F330="男性入所",食数記録!$D330="欠食"),1,0)</f>
        <v>0</v>
      </c>
      <c r="E330" s="0" t="str">
        <f aca="false">IF(D330=1,SUM($D$2:D330),"")</f>
        <v/>
      </c>
      <c r="F330" s="0" t="n">
        <f aca="false">IF(AND(食数記録!$A330=プレビュー!$C$3,食数記録!$B330="夕",食数記録!$F330="男性入所",食数記録!$D330="欠食"),1,0)</f>
        <v>0</v>
      </c>
      <c r="G330" s="0" t="str">
        <f aca="false">IF(F330=1,SUM($F$2:F330),"")</f>
        <v/>
      </c>
      <c r="H330" s="0" t="n">
        <f aca="false">IF(AND(食数記録!$A330=プレビュー!$C$3,食数記録!$B330="朝",食数記録!$F330="女性入所",食数記録!$D330="欠食"),1,0)</f>
        <v>0</v>
      </c>
      <c r="I330" s="0" t="str">
        <f aca="false">IF(H330=1,SUM($H$2:H330),"")</f>
        <v/>
      </c>
      <c r="J330" s="0" t="n">
        <f aca="false">IF(AND(食数記録!$A330=プレビュー!$C$3,食数記録!$B330="昼",食数記録!$F330="女性入所",食数記録!$D330="欠食"),1,0)</f>
        <v>0</v>
      </c>
      <c r="K330" s="0" t="str">
        <f aca="false">IF(J330=1,SUM($J$2:J330),"")</f>
        <v/>
      </c>
      <c r="L330" s="0" t="n">
        <f aca="false">IF(AND(食数記録!$A330=プレビュー!$C$3,食数記録!$B330="夕",食数記録!$F330="女性入所",食数記録!$D330="欠食"),1,0)</f>
        <v>0</v>
      </c>
      <c r="M330" s="0" t="str">
        <f aca="false">IF(L330=1,SUM($L$2:L330),"")</f>
        <v/>
      </c>
      <c r="N330" s="0" t="n">
        <f aca="false">IF(AND(食数記録!$A330=プレビュー!$C$3,食数記録!$B330="朝",食数記録!$F330="男性GH",食数記録!$D330="臨時喫食"),1,0)</f>
        <v>0</v>
      </c>
      <c r="O330" s="0" t="str">
        <f aca="false">IF(N330=1,SUM($N$2:N330),"")</f>
        <v/>
      </c>
      <c r="P330" s="0" t="n">
        <f aca="false">IF(AND(食数記録!$A330=プレビュー!$C$3,食数記録!$B330="昼",食数記録!$F330="男性GH",食数記録!$D330="臨時喫食"),1,0)</f>
        <v>0</v>
      </c>
      <c r="Q330" s="0" t="str">
        <f aca="false">IF(P330=1,SUM($P$2:P330),"")</f>
        <v/>
      </c>
      <c r="R330" s="0" t="n">
        <f aca="false">IF(AND(食数記録!$A330=プレビュー!$C$3,食数記録!$B330="夕",食数記録!$F330="男性GH",食数記録!$D330="臨時喫食"),1,0)</f>
        <v>0</v>
      </c>
      <c r="S330" s="0" t="str">
        <f aca="false">IF(R330=1,SUM($R$2:R330),"")</f>
        <v/>
      </c>
      <c r="T330" s="0" t="n">
        <f aca="false">IF(AND(食数記録!$A330=プレビュー!$C$3,食数記録!$B330="朝",食数記録!$F330="女性GH",食数記録!$D330="臨時喫食"),1,0)</f>
        <v>0</v>
      </c>
      <c r="U330" s="0" t="str">
        <f aca="false">IF(T330=1,SUM($T$2:T330),"")</f>
        <v/>
      </c>
      <c r="V330" s="0" t="n">
        <f aca="false">IF(AND(食数記録!$A330=プレビュー!$C$3,食数記録!$B330="昼",食数記録!$F330="女性GH",食数記録!$D330="臨時喫食"),1,0)</f>
        <v>0</v>
      </c>
      <c r="W330" s="0" t="str">
        <f aca="false">IF(V330=1,SUM($V$2:V330),"")</f>
        <v/>
      </c>
      <c r="X330" s="0" t="n">
        <f aca="false">IF(AND(食数記録!$A330=プレビュー!$C$3,食数記録!$B330="夕",食数記録!$F330="女性GH",食数記録!$D330="臨時喫食"),1,0)</f>
        <v>0</v>
      </c>
      <c r="Y330" s="0" t="str">
        <f aca="false">IF(X330=1,SUM($X$2:X330),"")</f>
        <v/>
      </c>
    </row>
    <row r="331" customFormat="false" ht="15" hidden="false" customHeight="false" outlineLevel="0" collapsed="false">
      <c r="B331" s="0" t="n">
        <f aca="false">IF(AND(食数記録!$A331=プレビュー!$C$3,食数記録!$B331="朝",食数記録!$F331="男性入所",食数記録!$D331="欠食"),1,0)</f>
        <v>0</v>
      </c>
      <c r="C331" s="0" t="str">
        <f aca="false">IF(B331=1,SUM($B$2:B331),"")</f>
        <v/>
      </c>
      <c r="D331" s="0" t="n">
        <f aca="false">IF(AND(食数記録!$A331=プレビュー!$C$3,食数記録!$B331="昼",食数記録!$F331="男性入所",食数記録!$D331="欠食"),1,0)</f>
        <v>0</v>
      </c>
      <c r="E331" s="0" t="str">
        <f aca="false">IF(D331=1,SUM($D$2:D331),"")</f>
        <v/>
      </c>
      <c r="F331" s="0" t="n">
        <f aca="false">IF(AND(食数記録!$A331=プレビュー!$C$3,食数記録!$B331="夕",食数記録!$F331="男性入所",食数記録!$D331="欠食"),1,0)</f>
        <v>0</v>
      </c>
      <c r="G331" s="0" t="str">
        <f aca="false">IF(F331=1,SUM($F$2:F331),"")</f>
        <v/>
      </c>
      <c r="H331" s="0" t="n">
        <f aca="false">IF(AND(食数記録!$A331=プレビュー!$C$3,食数記録!$B331="朝",食数記録!$F331="女性入所",食数記録!$D331="欠食"),1,0)</f>
        <v>0</v>
      </c>
      <c r="I331" s="0" t="str">
        <f aca="false">IF(H331=1,SUM($H$2:H331),"")</f>
        <v/>
      </c>
      <c r="J331" s="0" t="n">
        <f aca="false">IF(AND(食数記録!$A331=プレビュー!$C$3,食数記録!$B331="昼",食数記録!$F331="女性入所",食数記録!$D331="欠食"),1,0)</f>
        <v>0</v>
      </c>
      <c r="K331" s="0" t="str">
        <f aca="false">IF(J331=1,SUM($J$2:J331),"")</f>
        <v/>
      </c>
      <c r="L331" s="0" t="n">
        <f aca="false">IF(AND(食数記録!$A331=プレビュー!$C$3,食数記録!$B331="夕",食数記録!$F331="女性入所",食数記録!$D331="欠食"),1,0)</f>
        <v>0</v>
      </c>
      <c r="M331" s="0" t="str">
        <f aca="false">IF(L331=1,SUM($L$2:L331),"")</f>
        <v/>
      </c>
      <c r="N331" s="0" t="n">
        <f aca="false">IF(AND(食数記録!$A331=プレビュー!$C$3,食数記録!$B331="朝",食数記録!$F331="男性GH",食数記録!$D331="臨時喫食"),1,0)</f>
        <v>0</v>
      </c>
      <c r="O331" s="0" t="str">
        <f aca="false">IF(N331=1,SUM($N$2:N331),"")</f>
        <v/>
      </c>
      <c r="P331" s="0" t="n">
        <f aca="false">IF(AND(食数記録!$A331=プレビュー!$C$3,食数記録!$B331="昼",食数記録!$F331="男性GH",食数記録!$D331="臨時喫食"),1,0)</f>
        <v>0</v>
      </c>
      <c r="Q331" s="0" t="str">
        <f aca="false">IF(P331=1,SUM($P$2:P331),"")</f>
        <v/>
      </c>
      <c r="R331" s="0" t="n">
        <f aca="false">IF(AND(食数記録!$A331=プレビュー!$C$3,食数記録!$B331="夕",食数記録!$F331="男性GH",食数記録!$D331="臨時喫食"),1,0)</f>
        <v>0</v>
      </c>
      <c r="S331" s="0" t="str">
        <f aca="false">IF(R331=1,SUM($R$2:R331),"")</f>
        <v/>
      </c>
      <c r="T331" s="0" t="n">
        <f aca="false">IF(AND(食数記録!$A331=プレビュー!$C$3,食数記録!$B331="朝",食数記録!$F331="女性GH",食数記録!$D331="臨時喫食"),1,0)</f>
        <v>0</v>
      </c>
      <c r="U331" s="0" t="str">
        <f aca="false">IF(T331=1,SUM($T$2:T331),"")</f>
        <v/>
      </c>
      <c r="V331" s="0" t="n">
        <f aca="false">IF(AND(食数記録!$A331=プレビュー!$C$3,食数記録!$B331="昼",食数記録!$F331="女性GH",食数記録!$D331="臨時喫食"),1,0)</f>
        <v>0</v>
      </c>
      <c r="W331" s="0" t="str">
        <f aca="false">IF(V331=1,SUM($V$2:V331),"")</f>
        <v/>
      </c>
      <c r="X331" s="0" t="n">
        <f aca="false">IF(AND(食数記録!$A331=プレビュー!$C$3,食数記録!$B331="夕",食数記録!$F331="女性GH",食数記録!$D331="臨時喫食"),1,0)</f>
        <v>0</v>
      </c>
      <c r="Y331" s="0" t="str">
        <f aca="false">IF(X331=1,SUM($X$2:X331),"")</f>
        <v/>
      </c>
    </row>
    <row r="332" customFormat="false" ht="15" hidden="false" customHeight="false" outlineLevel="0" collapsed="false">
      <c r="B332" s="0" t="n">
        <f aca="false">IF(AND(食数記録!$A332=プレビュー!$C$3,食数記録!$B332="朝",食数記録!$F332="男性入所",食数記録!$D332="欠食"),1,0)</f>
        <v>0</v>
      </c>
      <c r="C332" s="0" t="str">
        <f aca="false">IF(B332=1,SUM($B$2:B332),"")</f>
        <v/>
      </c>
      <c r="D332" s="0" t="n">
        <f aca="false">IF(AND(食数記録!$A332=プレビュー!$C$3,食数記録!$B332="昼",食数記録!$F332="男性入所",食数記録!$D332="欠食"),1,0)</f>
        <v>0</v>
      </c>
      <c r="E332" s="0" t="str">
        <f aca="false">IF(D332=1,SUM($D$2:D332),"")</f>
        <v/>
      </c>
      <c r="F332" s="0" t="n">
        <f aca="false">IF(AND(食数記録!$A332=プレビュー!$C$3,食数記録!$B332="夕",食数記録!$F332="男性入所",食数記録!$D332="欠食"),1,0)</f>
        <v>0</v>
      </c>
      <c r="G332" s="0" t="str">
        <f aca="false">IF(F332=1,SUM($F$2:F332),"")</f>
        <v/>
      </c>
      <c r="H332" s="0" t="n">
        <f aca="false">IF(AND(食数記録!$A332=プレビュー!$C$3,食数記録!$B332="朝",食数記録!$F332="女性入所",食数記録!$D332="欠食"),1,0)</f>
        <v>0</v>
      </c>
      <c r="I332" s="0" t="str">
        <f aca="false">IF(H332=1,SUM($H$2:H332),"")</f>
        <v/>
      </c>
      <c r="J332" s="0" t="n">
        <f aca="false">IF(AND(食数記録!$A332=プレビュー!$C$3,食数記録!$B332="昼",食数記録!$F332="女性入所",食数記録!$D332="欠食"),1,0)</f>
        <v>0</v>
      </c>
      <c r="K332" s="0" t="str">
        <f aca="false">IF(J332=1,SUM($J$2:J332),"")</f>
        <v/>
      </c>
      <c r="L332" s="0" t="n">
        <f aca="false">IF(AND(食数記録!$A332=プレビュー!$C$3,食数記録!$B332="夕",食数記録!$F332="女性入所",食数記録!$D332="欠食"),1,0)</f>
        <v>0</v>
      </c>
      <c r="M332" s="0" t="str">
        <f aca="false">IF(L332=1,SUM($L$2:L332),"")</f>
        <v/>
      </c>
      <c r="N332" s="0" t="n">
        <f aca="false">IF(AND(食数記録!$A332=プレビュー!$C$3,食数記録!$B332="朝",食数記録!$F332="男性GH",食数記録!$D332="臨時喫食"),1,0)</f>
        <v>0</v>
      </c>
      <c r="O332" s="0" t="str">
        <f aca="false">IF(N332=1,SUM($N$2:N332),"")</f>
        <v/>
      </c>
      <c r="P332" s="0" t="n">
        <f aca="false">IF(AND(食数記録!$A332=プレビュー!$C$3,食数記録!$B332="昼",食数記録!$F332="男性GH",食数記録!$D332="臨時喫食"),1,0)</f>
        <v>0</v>
      </c>
      <c r="Q332" s="0" t="str">
        <f aca="false">IF(P332=1,SUM($P$2:P332),"")</f>
        <v/>
      </c>
      <c r="R332" s="0" t="n">
        <f aca="false">IF(AND(食数記録!$A332=プレビュー!$C$3,食数記録!$B332="夕",食数記録!$F332="男性GH",食数記録!$D332="臨時喫食"),1,0)</f>
        <v>0</v>
      </c>
      <c r="S332" s="0" t="str">
        <f aca="false">IF(R332=1,SUM($R$2:R332),"")</f>
        <v/>
      </c>
      <c r="T332" s="0" t="n">
        <f aca="false">IF(AND(食数記録!$A332=プレビュー!$C$3,食数記録!$B332="朝",食数記録!$F332="女性GH",食数記録!$D332="臨時喫食"),1,0)</f>
        <v>0</v>
      </c>
      <c r="U332" s="0" t="str">
        <f aca="false">IF(T332=1,SUM($T$2:T332),"")</f>
        <v/>
      </c>
      <c r="V332" s="0" t="n">
        <f aca="false">IF(AND(食数記録!$A332=プレビュー!$C$3,食数記録!$B332="昼",食数記録!$F332="女性GH",食数記録!$D332="臨時喫食"),1,0)</f>
        <v>0</v>
      </c>
      <c r="W332" s="0" t="str">
        <f aca="false">IF(V332=1,SUM($V$2:V332),"")</f>
        <v/>
      </c>
      <c r="X332" s="0" t="n">
        <f aca="false">IF(AND(食数記録!$A332=プレビュー!$C$3,食数記録!$B332="夕",食数記録!$F332="女性GH",食数記録!$D332="臨時喫食"),1,0)</f>
        <v>0</v>
      </c>
      <c r="Y332" s="0" t="str">
        <f aca="false">IF(X332=1,SUM($X$2:X332),"")</f>
        <v/>
      </c>
    </row>
    <row r="333" customFormat="false" ht="15" hidden="false" customHeight="false" outlineLevel="0" collapsed="false">
      <c r="B333" s="0" t="n">
        <f aca="false">IF(AND(食数記録!$A333=プレビュー!$C$3,食数記録!$B333="朝",食数記録!$F333="男性入所",食数記録!$D333="欠食"),1,0)</f>
        <v>0</v>
      </c>
      <c r="C333" s="0" t="str">
        <f aca="false">IF(B333=1,SUM($B$2:B333),"")</f>
        <v/>
      </c>
      <c r="D333" s="0" t="n">
        <f aca="false">IF(AND(食数記録!$A333=プレビュー!$C$3,食数記録!$B333="昼",食数記録!$F333="男性入所",食数記録!$D333="欠食"),1,0)</f>
        <v>0</v>
      </c>
      <c r="E333" s="0" t="str">
        <f aca="false">IF(D333=1,SUM($D$2:D333),"")</f>
        <v/>
      </c>
      <c r="F333" s="0" t="n">
        <f aca="false">IF(AND(食数記録!$A333=プレビュー!$C$3,食数記録!$B333="夕",食数記録!$F333="男性入所",食数記録!$D333="欠食"),1,0)</f>
        <v>0</v>
      </c>
      <c r="G333" s="0" t="str">
        <f aca="false">IF(F333=1,SUM($F$2:F333),"")</f>
        <v/>
      </c>
      <c r="H333" s="0" t="n">
        <f aca="false">IF(AND(食数記録!$A333=プレビュー!$C$3,食数記録!$B333="朝",食数記録!$F333="女性入所",食数記録!$D333="欠食"),1,0)</f>
        <v>0</v>
      </c>
      <c r="I333" s="0" t="str">
        <f aca="false">IF(H333=1,SUM($H$2:H333),"")</f>
        <v/>
      </c>
      <c r="J333" s="0" t="n">
        <f aca="false">IF(AND(食数記録!$A333=プレビュー!$C$3,食数記録!$B333="昼",食数記録!$F333="女性入所",食数記録!$D333="欠食"),1,0)</f>
        <v>0</v>
      </c>
      <c r="K333" s="0" t="str">
        <f aca="false">IF(J333=1,SUM($J$2:J333),"")</f>
        <v/>
      </c>
      <c r="L333" s="0" t="n">
        <f aca="false">IF(AND(食数記録!$A333=プレビュー!$C$3,食数記録!$B333="夕",食数記録!$F333="女性入所",食数記録!$D333="欠食"),1,0)</f>
        <v>0</v>
      </c>
      <c r="M333" s="0" t="str">
        <f aca="false">IF(L333=1,SUM($L$2:L333),"")</f>
        <v/>
      </c>
      <c r="N333" s="0" t="n">
        <f aca="false">IF(AND(食数記録!$A333=プレビュー!$C$3,食数記録!$B333="朝",食数記録!$F333="男性GH",食数記録!$D333="臨時喫食"),1,0)</f>
        <v>0</v>
      </c>
      <c r="O333" s="0" t="str">
        <f aca="false">IF(N333=1,SUM($N$2:N333),"")</f>
        <v/>
      </c>
      <c r="P333" s="0" t="n">
        <f aca="false">IF(AND(食数記録!$A333=プレビュー!$C$3,食数記録!$B333="昼",食数記録!$F333="男性GH",食数記録!$D333="臨時喫食"),1,0)</f>
        <v>0</v>
      </c>
      <c r="Q333" s="0" t="str">
        <f aca="false">IF(P333=1,SUM($P$2:P333),"")</f>
        <v/>
      </c>
      <c r="R333" s="0" t="n">
        <f aca="false">IF(AND(食数記録!$A333=プレビュー!$C$3,食数記録!$B333="夕",食数記録!$F333="男性GH",食数記録!$D333="臨時喫食"),1,0)</f>
        <v>0</v>
      </c>
      <c r="S333" s="0" t="str">
        <f aca="false">IF(R333=1,SUM($R$2:R333),"")</f>
        <v/>
      </c>
      <c r="T333" s="0" t="n">
        <f aca="false">IF(AND(食数記録!$A333=プレビュー!$C$3,食数記録!$B333="朝",食数記録!$F333="女性GH",食数記録!$D333="臨時喫食"),1,0)</f>
        <v>0</v>
      </c>
      <c r="U333" s="0" t="str">
        <f aca="false">IF(T333=1,SUM($T$2:T333),"")</f>
        <v/>
      </c>
      <c r="V333" s="0" t="n">
        <f aca="false">IF(AND(食数記録!$A333=プレビュー!$C$3,食数記録!$B333="昼",食数記録!$F333="女性GH",食数記録!$D333="臨時喫食"),1,0)</f>
        <v>0</v>
      </c>
      <c r="W333" s="0" t="str">
        <f aca="false">IF(V333=1,SUM($V$2:V333),"")</f>
        <v/>
      </c>
      <c r="X333" s="0" t="n">
        <f aca="false">IF(AND(食数記録!$A333=プレビュー!$C$3,食数記録!$B333="夕",食数記録!$F333="女性GH",食数記録!$D333="臨時喫食"),1,0)</f>
        <v>0</v>
      </c>
      <c r="Y333" s="0" t="str">
        <f aca="false">IF(X333=1,SUM($X$2:X333),"")</f>
        <v/>
      </c>
    </row>
    <row r="334" customFormat="false" ht="15" hidden="false" customHeight="false" outlineLevel="0" collapsed="false">
      <c r="B334" s="0" t="n">
        <f aca="false">IF(AND(食数記録!$A334=プレビュー!$C$3,食数記録!$B334="朝",食数記録!$F334="男性入所",食数記録!$D334="欠食"),1,0)</f>
        <v>0</v>
      </c>
      <c r="C334" s="0" t="str">
        <f aca="false">IF(B334=1,SUM($B$2:B334),"")</f>
        <v/>
      </c>
      <c r="D334" s="0" t="n">
        <f aca="false">IF(AND(食数記録!$A334=プレビュー!$C$3,食数記録!$B334="昼",食数記録!$F334="男性入所",食数記録!$D334="欠食"),1,0)</f>
        <v>0</v>
      </c>
      <c r="E334" s="0" t="str">
        <f aca="false">IF(D334=1,SUM($D$2:D334),"")</f>
        <v/>
      </c>
      <c r="F334" s="0" t="n">
        <f aca="false">IF(AND(食数記録!$A334=プレビュー!$C$3,食数記録!$B334="夕",食数記録!$F334="男性入所",食数記録!$D334="欠食"),1,0)</f>
        <v>0</v>
      </c>
      <c r="G334" s="0" t="str">
        <f aca="false">IF(F334=1,SUM($F$2:F334),"")</f>
        <v/>
      </c>
      <c r="H334" s="0" t="n">
        <f aca="false">IF(AND(食数記録!$A334=プレビュー!$C$3,食数記録!$B334="朝",食数記録!$F334="女性入所",食数記録!$D334="欠食"),1,0)</f>
        <v>0</v>
      </c>
      <c r="I334" s="0" t="str">
        <f aca="false">IF(H334=1,SUM($H$2:H334),"")</f>
        <v/>
      </c>
      <c r="J334" s="0" t="n">
        <f aca="false">IF(AND(食数記録!$A334=プレビュー!$C$3,食数記録!$B334="昼",食数記録!$F334="女性入所",食数記録!$D334="欠食"),1,0)</f>
        <v>0</v>
      </c>
      <c r="K334" s="0" t="str">
        <f aca="false">IF(J334=1,SUM($J$2:J334),"")</f>
        <v/>
      </c>
      <c r="L334" s="0" t="n">
        <f aca="false">IF(AND(食数記録!$A334=プレビュー!$C$3,食数記録!$B334="夕",食数記録!$F334="女性入所",食数記録!$D334="欠食"),1,0)</f>
        <v>0</v>
      </c>
      <c r="M334" s="0" t="str">
        <f aca="false">IF(L334=1,SUM($L$2:L334),"")</f>
        <v/>
      </c>
      <c r="N334" s="0" t="n">
        <f aca="false">IF(AND(食数記録!$A334=プレビュー!$C$3,食数記録!$B334="朝",食数記録!$F334="男性GH",食数記録!$D334="臨時喫食"),1,0)</f>
        <v>0</v>
      </c>
      <c r="O334" s="0" t="str">
        <f aca="false">IF(N334=1,SUM($N$2:N334),"")</f>
        <v/>
      </c>
      <c r="P334" s="0" t="n">
        <f aca="false">IF(AND(食数記録!$A334=プレビュー!$C$3,食数記録!$B334="昼",食数記録!$F334="男性GH",食数記録!$D334="臨時喫食"),1,0)</f>
        <v>0</v>
      </c>
      <c r="Q334" s="0" t="str">
        <f aca="false">IF(P334=1,SUM($P$2:P334),"")</f>
        <v/>
      </c>
      <c r="R334" s="0" t="n">
        <f aca="false">IF(AND(食数記録!$A334=プレビュー!$C$3,食数記録!$B334="夕",食数記録!$F334="男性GH",食数記録!$D334="臨時喫食"),1,0)</f>
        <v>0</v>
      </c>
      <c r="S334" s="0" t="str">
        <f aca="false">IF(R334=1,SUM($R$2:R334),"")</f>
        <v/>
      </c>
      <c r="T334" s="0" t="n">
        <f aca="false">IF(AND(食数記録!$A334=プレビュー!$C$3,食数記録!$B334="朝",食数記録!$F334="女性GH",食数記録!$D334="臨時喫食"),1,0)</f>
        <v>0</v>
      </c>
      <c r="U334" s="0" t="str">
        <f aca="false">IF(T334=1,SUM($T$2:T334),"")</f>
        <v/>
      </c>
      <c r="V334" s="0" t="n">
        <f aca="false">IF(AND(食数記録!$A334=プレビュー!$C$3,食数記録!$B334="昼",食数記録!$F334="女性GH",食数記録!$D334="臨時喫食"),1,0)</f>
        <v>0</v>
      </c>
      <c r="W334" s="0" t="str">
        <f aca="false">IF(V334=1,SUM($V$2:V334),"")</f>
        <v/>
      </c>
      <c r="X334" s="0" t="n">
        <f aca="false">IF(AND(食数記録!$A334=プレビュー!$C$3,食数記録!$B334="夕",食数記録!$F334="女性GH",食数記録!$D334="臨時喫食"),1,0)</f>
        <v>0</v>
      </c>
      <c r="Y334" s="0" t="str">
        <f aca="false">IF(X334=1,SUM($X$2:X334),"")</f>
        <v/>
      </c>
    </row>
    <row r="335" customFormat="false" ht="15" hidden="false" customHeight="false" outlineLevel="0" collapsed="false">
      <c r="B335" s="0" t="n">
        <f aca="false">IF(AND(食数記録!$A335=プレビュー!$C$3,食数記録!$B335="朝",食数記録!$F335="男性入所",食数記録!$D335="欠食"),1,0)</f>
        <v>0</v>
      </c>
      <c r="C335" s="0" t="str">
        <f aca="false">IF(B335=1,SUM($B$2:B335),"")</f>
        <v/>
      </c>
      <c r="D335" s="0" t="n">
        <f aca="false">IF(AND(食数記録!$A335=プレビュー!$C$3,食数記録!$B335="昼",食数記録!$F335="男性入所",食数記録!$D335="欠食"),1,0)</f>
        <v>0</v>
      </c>
      <c r="E335" s="0" t="str">
        <f aca="false">IF(D335=1,SUM($D$2:D335),"")</f>
        <v/>
      </c>
      <c r="F335" s="0" t="n">
        <f aca="false">IF(AND(食数記録!$A335=プレビュー!$C$3,食数記録!$B335="夕",食数記録!$F335="男性入所",食数記録!$D335="欠食"),1,0)</f>
        <v>0</v>
      </c>
      <c r="G335" s="0" t="str">
        <f aca="false">IF(F335=1,SUM($F$2:F335),"")</f>
        <v/>
      </c>
      <c r="H335" s="0" t="n">
        <f aca="false">IF(AND(食数記録!$A335=プレビュー!$C$3,食数記録!$B335="朝",食数記録!$F335="女性入所",食数記録!$D335="欠食"),1,0)</f>
        <v>0</v>
      </c>
      <c r="I335" s="0" t="str">
        <f aca="false">IF(H335=1,SUM($H$2:H335),"")</f>
        <v/>
      </c>
      <c r="J335" s="0" t="n">
        <f aca="false">IF(AND(食数記録!$A335=プレビュー!$C$3,食数記録!$B335="昼",食数記録!$F335="女性入所",食数記録!$D335="欠食"),1,0)</f>
        <v>0</v>
      </c>
      <c r="K335" s="0" t="str">
        <f aca="false">IF(J335=1,SUM($J$2:J335),"")</f>
        <v/>
      </c>
      <c r="L335" s="0" t="n">
        <f aca="false">IF(AND(食数記録!$A335=プレビュー!$C$3,食数記録!$B335="夕",食数記録!$F335="女性入所",食数記録!$D335="欠食"),1,0)</f>
        <v>0</v>
      </c>
      <c r="M335" s="0" t="str">
        <f aca="false">IF(L335=1,SUM($L$2:L335),"")</f>
        <v/>
      </c>
      <c r="N335" s="0" t="n">
        <f aca="false">IF(AND(食数記録!$A335=プレビュー!$C$3,食数記録!$B335="朝",食数記録!$F335="男性GH",食数記録!$D335="臨時喫食"),1,0)</f>
        <v>0</v>
      </c>
      <c r="O335" s="0" t="str">
        <f aca="false">IF(N335=1,SUM($N$2:N335),"")</f>
        <v/>
      </c>
      <c r="P335" s="0" t="n">
        <f aca="false">IF(AND(食数記録!$A335=プレビュー!$C$3,食数記録!$B335="昼",食数記録!$F335="男性GH",食数記録!$D335="臨時喫食"),1,0)</f>
        <v>0</v>
      </c>
      <c r="Q335" s="0" t="str">
        <f aca="false">IF(P335=1,SUM($P$2:P335),"")</f>
        <v/>
      </c>
      <c r="R335" s="0" t="n">
        <f aca="false">IF(AND(食数記録!$A335=プレビュー!$C$3,食数記録!$B335="夕",食数記録!$F335="男性GH",食数記録!$D335="臨時喫食"),1,0)</f>
        <v>0</v>
      </c>
      <c r="S335" s="0" t="str">
        <f aca="false">IF(R335=1,SUM($R$2:R335),"")</f>
        <v/>
      </c>
      <c r="T335" s="0" t="n">
        <f aca="false">IF(AND(食数記録!$A335=プレビュー!$C$3,食数記録!$B335="朝",食数記録!$F335="女性GH",食数記録!$D335="臨時喫食"),1,0)</f>
        <v>0</v>
      </c>
      <c r="U335" s="0" t="str">
        <f aca="false">IF(T335=1,SUM($T$2:T335),"")</f>
        <v/>
      </c>
      <c r="V335" s="0" t="n">
        <f aca="false">IF(AND(食数記録!$A335=プレビュー!$C$3,食数記録!$B335="昼",食数記録!$F335="女性GH",食数記録!$D335="臨時喫食"),1,0)</f>
        <v>0</v>
      </c>
      <c r="W335" s="0" t="str">
        <f aca="false">IF(V335=1,SUM($V$2:V335),"")</f>
        <v/>
      </c>
      <c r="X335" s="0" t="n">
        <f aca="false">IF(AND(食数記録!$A335=プレビュー!$C$3,食数記録!$B335="夕",食数記録!$F335="女性GH",食数記録!$D335="臨時喫食"),1,0)</f>
        <v>0</v>
      </c>
      <c r="Y335" s="0" t="str">
        <f aca="false">IF(X335=1,SUM($X$2:X335),"")</f>
        <v/>
      </c>
    </row>
    <row r="336" customFormat="false" ht="15" hidden="false" customHeight="false" outlineLevel="0" collapsed="false">
      <c r="B336" s="0" t="n">
        <f aca="false">IF(AND(食数記録!$A336=プレビュー!$C$3,食数記録!$B336="朝",食数記録!$F336="男性入所",食数記録!$D336="欠食"),1,0)</f>
        <v>0</v>
      </c>
      <c r="C336" s="0" t="str">
        <f aca="false">IF(B336=1,SUM($B$2:B336),"")</f>
        <v/>
      </c>
      <c r="D336" s="0" t="n">
        <f aca="false">IF(AND(食数記録!$A336=プレビュー!$C$3,食数記録!$B336="昼",食数記録!$F336="男性入所",食数記録!$D336="欠食"),1,0)</f>
        <v>0</v>
      </c>
      <c r="E336" s="0" t="str">
        <f aca="false">IF(D336=1,SUM($D$2:D336),"")</f>
        <v/>
      </c>
      <c r="F336" s="0" t="n">
        <f aca="false">IF(AND(食数記録!$A336=プレビュー!$C$3,食数記録!$B336="夕",食数記録!$F336="男性入所",食数記録!$D336="欠食"),1,0)</f>
        <v>0</v>
      </c>
      <c r="G336" s="0" t="str">
        <f aca="false">IF(F336=1,SUM($F$2:F336),"")</f>
        <v/>
      </c>
      <c r="H336" s="0" t="n">
        <f aca="false">IF(AND(食数記録!$A336=プレビュー!$C$3,食数記録!$B336="朝",食数記録!$F336="女性入所",食数記録!$D336="欠食"),1,0)</f>
        <v>0</v>
      </c>
      <c r="I336" s="0" t="str">
        <f aca="false">IF(H336=1,SUM($H$2:H336),"")</f>
        <v/>
      </c>
      <c r="J336" s="0" t="n">
        <f aca="false">IF(AND(食数記録!$A336=プレビュー!$C$3,食数記録!$B336="昼",食数記録!$F336="女性入所",食数記録!$D336="欠食"),1,0)</f>
        <v>0</v>
      </c>
      <c r="K336" s="0" t="str">
        <f aca="false">IF(J336=1,SUM($J$2:J336),"")</f>
        <v/>
      </c>
      <c r="L336" s="0" t="n">
        <f aca="false">IF(AND(食数記録!$A336=プレビュー!$C$3,食数記録!$B336="夕",食数記録!$F336="女性入所",食数記録!$D336="欠食"),1,0)</f>
        <v>0</v>
      </c>
      <c r="M336" s="0" t="str">
        <f aca="false">IF(L336=1,SUM($L$2:L336),"")</f>
        <v/>
      </c>
      <c r="N336" s="0" t="n">
        <f aca="false">IF(AND(食数記録!$A336=プレビュー!$C$3,食数記録!$B336="朝",食数記録!$F336="男性GH",食数記録!$D336="臨時喫食"),1,0)</f>
        <v>0</v>
      </c>
      <c r="O336" s="0" t="str">
        <f aca="false">IF(N336=1,SUM($N$2:N336),"")</f>
        <v/>
      </c>
      <c r="P336" s="0" t="n">
        <f aca="false">IF(AND(食数記録!$A336=プレビュー!$C$3,食数記録!$B336="昼",食数記録!$F336="男性GH",食数記録!$D336="臨時喫食"),1,0)</f>
        <v>0</v>
      </c>
      <c r="Q336" s="0" t="str">
        <f aca="false">IF(P336=1,SUM($P$2:P336),"")</f>
        <v/>
      </c>
      <c r="R336" s="0" t="n">
        <f aca="false">IF(AND(食数記録!$A336=プレビュー!$C$3,食数記録!$B336="夕",食数記録!$F336="男性GH",食数記録!$D336="臨時喫食"),1,0)</f>
        <v>0</v>
      </c>
      <c r="S336" s="0" t="str">
        <f aca="false">IF(R336=1,SUM($R$2:R336),"")</f>
        <v/>
      </c>
      <c r="T336" s="0" t="n">
        <f aca="false">IF(AND(食数記録!$A336=プレビュー!$C$3,食数記録!$B336="朝",食数記録!$F336="女性GH",食数記録!$D336="臨時喫食"),1,0)</f>
        <v>0</v>
      </c>
      <c r="U336" s="0" t="str">
        <f aca="false">IF(T336=1,SUM($T$2:T336),"")</f>
        <v/>
      </c>
      <c r="V336" s="0" t="n">
        <f aca="false">IF(AND(食数記録!$A336=プレビュー!$C$3,食数記録!$B336="昼",食数記録!$F336="女性GH",食数記録!$D336="臨時喫食"),1,0)</f>
        <v>0</v>
      </c>
      <c r="W336" s="0" t="str">
        <f aca="false">IF(V336=1,SUM($V$2:V336),"")</f>
        <v/>
      </c>
      <c r="X336" s="0" t="n">
        <f aca="false">IF(AND(食数記録!$A336=プレビュー!$C$3,食数記録!$B336="夕",食数記録!$F336="女性GH",食数記録!$D336="臨時喫食"),1,0)</f>
        <v>0</v>
      </c>
      <c r="Y336" s="0" t="str">
        <f aca="false">IF(X336=1,SUM($X$2:X336),"")</f>
        <v/>
      </c>
    </row>
    <row r="337" customFormat="false" ht="15" hidden="false" customHeight="false" outlineLevel="0" collapsed="false">
      <c r="B337" s="0" t="n">
        <f aca="false">IF(AND(食数記録!$A337=プレビュー!$C$3,食数記録!$B337="朝",食数記録!$F337="男性入所",食数記録!$D337="欠食"),1,0)</f>
        <v>0</v>
      </c>
      <c r="C337" s="0" t="str">
        <f aca="false">IF(B337=1,SUM($B$2:B337),"")</f>
        <v/>
      </c>
      <c r="D337" s="0" t="n">
        <f aca="false">IF(AND(食数記録!$A337=プレビュー!$C$3,食数記録!$B337="昼",食数記録!$F337="男性入所",食数記録!$D337="欠食"),1,0)</f>
        <v>0</v>
      </c>
      <c r="E337" s="0" t="str">
        <f aca="false">IF(D337=1,SUM($D$2:D337),"")</f>
        <v/>
      </c>
      <c r="F337" s="0" t="n">
        <f aca="false">IF(AND(食数記録!$A337=プレビュー!$C$3,食数記録!$B337="夕",食数記録!$F337="男性入所",食数記録!$D337="欠食"),1,0)</f>
        <v>0</v>
      </c>
      <c r="G337" s="0" t="str">
        <f aca="false">IF(F337=1,SUM($F$2:F337),"")</f>
        <v/>
      </c>
      <c r="H337" s="0" t="n">
        <f aca="false">IF(AND(食数記録!$A337=プレビュー!$C$3,食数記録!$B337="朝",食数記録!$F337="女性入所",食数記録!$D337="欠食"),1,0)</f>
        <v>0</v>
      </c>
      <c r="I337" s="0" t="str">
        <f aca="false">IF(H337=1,SUM($H$2:H337),"")</f>
        <v/>
      </c>
      <c r="J337" s="0" t="n">
        <f aca="false">IF(AND(食数記録!$A337=プレビュー!$C$3,食数記録!$B337="昼",食数記録!$F337="女性入所",食数記録!$D337="欠食"),1,0)</f>
        <v>0</v>
      </c>
      <c r="K337" s="0" t="str">
        <f aca="false">IF(J337=1,SUM($J$2:J337),"")</f>
        <v/>
      </c>
      <c r="L337" s="0" t="n">
        <f aca="false">IF(AND(食数記録!$A337=プレビュー!$C$3,食数記録!$B337="夕",食数記録!$F337="女性入所",食数記録!$D337="欠食"),1,0)</f>
        <v>0</v>
      </c>
      <c r="M337" s="0" t="str">
        <f aca="false">IF(L337=1,SUM($L$2:L337),"")</f>
        <v/>
      </c>
      <c r="N337" s="0" t="n">
        <f aca="false">IF(AND(食数記録!$A337=プレビュー!$C$3,食数記録!$B337="朝",食数記録!$F337="男性GH",食数記録!$D337="臨時喫食"),1,0)</f>
        <v>0</v>
      </c>
      <c r="O337" s="0" t="str">
        <f aca="false">IF(N337=1,SUM($N$2:N337),"")</f>
        <v/>
      </c>
      <c r="P337" s="0" t="n">
        <f aca="false">IF(AND(食数記録!$A337=プレビュー!$C$3,食数記録!$B337="昼",食数記録!$F337="男性GH",食数記録!$D337="臨時喫食"),1,0)</f>
        <v>0</v>
      </c>
      <c r="Q337" s="0" t="str">
        <f aca="false">IF(P337=1,SUM($P$2:P337),"")</f>
        <v/>
      </c>
      <c r="R337" s="0" t="n">
        <f aca="false">IF(AND(食数記録!$A337=プレビュー!$C$3,食数記録!$B337="夕",食数記録!$F337="男性GH",食数記録!$D337="臨時喫食"),1,0)</f>
        <v>0</v>
      </c>
      <c r="S337" s="0" t="str">
        <f aca="false">IF(R337=1,SUM($R$2:R337),"")</f>
        <v/>
      </c>
      <c r="T337" s="0" t="n">
        <f aca="false">IF(AND(食数記録!$A337=プレビュー!$C$3,食数記録!$B337="朝",食数記録!$F337="女性GH",食数記録!$D337="臨時喫食"),1,0)</f>
        <v>0</v>
      </c>
      <c r="U337" s="0" t="str">
        <f aca="false">IF(T337=1,SUM($T$2:T337),"")</f>
        <v/>
      </c>
      <c r="V337" s="0" t="n">
        <f aca="false">IF(AND(食数記録!$A337=プレビュー!$C$3,食数記録!$B337="昼",食数記録!$F337="女性GH",食数記録!$D337="臨時喫食"),1,0)</f>
        <v>0</v>
      </c>
      <c r="W337" s="0" t="str">
        <f aca="false">IF(V337=1,SUM($V$2:V337),"")</f>
        <v/>
      </c>
      <c r="X337" s="0" t="n">
        <f aca="false">IF(AND(食数記録!$A337=プレビュー!$C$3,食数記録!$B337="夕",食数記録!$F337="女性GH",食数記録!$D337="臨時喫食"),1,0)</f>
        <v>0</v>
      </c>
      <c r="Y337" s="0" t="str">
        <f aca="false">IF(X337=1,SUM($X$2:X337),"")</f>
        <v/>
      </c>
    </row>
    <row r="338" customFormat="false" ht="15" hidden="false" customHeight="false" outlineLevel="0" collapsed="false">
      <c r="B338" s="0" t="n">
        <f aca="false">IF(AND(食数記録!$A338=プレビュー!$C$3,食数記録!$B338="朝",食数記録!$F338="男性入所",食数記録!$D338="欠食"),1,0)</f>
        <v>0</v>
      </c>
      <c r="C338" s="0" t="str">
        <f aca="false">IF(B338=1,SUM($B$2:B338),"")</f>
        <v/>
      </c>
      <c r="D338" s="0" t="n">
        <f aca="false">IF(AND(食数記録!$A338=プレビュー!$C$3,食数記録!$B338="昼",食数記録!$F338="男性入所",食数記録!$D338="欠食"),1,0)</f>
        <v>0</v>
      </c>
      <c r="E338" s="0" t="str">
        <f aca="false">IF(D338=1,SUM($D$2:D338),"")</f>
        <v/>
      </c>
      <c r="F338" s="0" t="n">
        <f aca="false">IF(AND(食数記録!$A338=プレビュー!$C$3,食数記録!$B338="夕",食数記録!$F338="男性入所",食数記録!$D338="欠食"),1,0)</f>
        <v>0</v>
      </c>
      <c r="G338" s="0" t="str">
        <f aca="false">IF(F338=1,SUM($F$2:F338),"")</f>
        <v/>
      </c>
      <c r="H338" s="0" t="n">
        <f aca="false">IF(AND(食数記録!$A338=プレビュー!$C$3,食数記録!$B338="朝",食数記録!$F338="女性入所",食数記録!$D338="欠食"),1,0)</f>
        <v>0</v>
      </c>
      <c r="I338" s="0" t="str">
        <f aca="false">IF(H338=1,SUM($H$2:H338),"")</f>
        <v/>
      </c>
      <c r="J338" s="0" t="n">
        <f aca="false">IF(AND(食数記録!$A338=プレビュー!$C$3,食数記録!$B338="昼",食数記録!$F338="女性入所",食数記録!$D338="欠食"),1,0)</f>
        <v>0</v>
      </c>
      <c r="K338" s="0" t="str">
        <f aca="false">IF(J338=1,SUM($J$2:J338),"")</f>
        <v/>
      </c>
      <c r="L338" s="0" t="n">
        <f aca="false">IF(AND(食数記録!$A338=プレビュー!$C$3,食数記録!$B338="夕",食数記録!$F338="女性入所",食数記録!$D338="欠食"),1,0)</f>
        <v>0</v>
      </c>
      <c r="M338" s="0" t="str">
        <f aca="false">IF(L338=1,SUM($L$2:L338),"")</f>
        <v/>
      </c>
      <c r="N338" s="0" t="n">
        <f aca="false">IF(AND(食数記録!$A338=プレビュー!$C$3,食数記録!$B338="朝",食数記録!$F338="男性GH",食数記録!$D338="臨時喫食"),1,0)</f>
        <v>0</v>
      </c>
      <c r="O338" s="0" t="str">
        <f aca="false">IF(N338=1,SUM($N$2:N338),"")</f>
        <v/>
      </c>
      <c r="P338" s="0" t="n">
        <f aca="false">IF(AND(食数記録!$A338=プレビュー!$C$3,食数記録!$B338="昼",食数記録!$F338="男性GH",食数記録!$D338="臨時喫食"),1,0)</f>
        <v>0</v>
      </c>
      <c r="Q338" s="0" t="str">
        <f aca="false">IF(P338=1,SUM($P$2:P338),"")</f>
        <v/>
      </c>
      <c r="R338" s="0" t="n">
        <f aca="false">IF(AND(食数記録!$A338=プレビュー!$C$3,食数記録!$B338="夕",食数記録!$F338="男性GH",食数記録!$D338="臨時喫食"),1,0)</f>
        <v>0</v>
      </c>
      <c r="S338" s="0" t="str">
        <f aca="false">IF(R338=1,SUM($R$2:R338),"")</f>
        <v/>
      </c>
      <c r="T338" s="0" t="n">
        <f aca="false">IF(AND(食数記録!$A338=プレビュー!$C$3,食数記録!$B338="朝",食数記録!$F338="女性GH",食数記録!$D338="臨時喫食"),1,0)</f>
        <v>0</v>
      </c>
      <c r="U338" s="0" t="str">
        <f aca="false">IF(T338=1,SUM($T$2:T338),"")</f>
        <v/>
      </c>
      <c r="V338" s="0" t="n">
        <f aca="false">IF(AND(食数記録!$A338=プレビュー!$C$3,食数記録!$B338="昼",食数記録!$F338="女性GH",食数記録!$D338="臨時喫食"),1,0)</f>
        <v>0</v>
      </c>
      <c r="W338" s="0" t="str">
        <f aca="false">IF(V338=1,SUM($V$2:V338),"")</f>
        <v/>
      </c>
      <c r="X338" s="0" t="n">
        <f aca="false">IF(AND(食数記録!$A338=プレビュー!$C$3,食数記録!$B338="夕",食数記録!$F338="女性GH",食数記録!$D338="臨時喫食"),1,0)</f>
        <v>0</v>
      </c>
      <c r="Y338" s="0" t="str">
        <f aca="false">IF(X338=1,SUM($X$2:X338),"")</f>
        <v/>
      </c>
    </row>
    <row r="339" customFormat="false" ht="15" hidden="false" customHeight="false" outlineLevel="0" collapsed="false">
      <c r="B339" s="0" t="n">
        <f aca="false">IF(AND(食数記録!$A339=プレビュー!$C$3,食数記録!$B339="朝",食数記録!$F339="男性入所",食数記録!$D339="欠食"),1,0)</f>
        <v>0</v>
      </c>
      <c r="C339" s="0" t="str">
        <f aca="false">IF(B339=1,SUM($B$2:B339),"")</f>
        <v/>
      </c>
      <c r="D339" s="0" t="n">
        <f aca="false">IF(AND(食数記録!$A339=プレビュー!$C$3,食数記録!$B339="昼",食数記録!$F339="男性入所",食数記録!$D339="欠食"),1,0)</f>
        <v>0</v>
      </c>
      <c r="E339" s="0" t="str">
        <f aca="false">IF(D339=1,SUM($D$2:D339),"")</f>
        <v/>
      </c>
      <c r="F339" s="0" t="n">
        <f aca="false">IF(AND(食数記録!$A339=プレビュー!$C$3,食数記録!$B339="夕",食数記録!$F339="男性入所",食数記録!$D339="欠食"),1,0)</f>
        <v>0</v>
      </c>
      <c r="G339" s="0" t="str">
        <f aca="false">IF(F339=1,SUM($F$2:F339),"")</f>
        <v/>
      </c>
      <c r="H339" s="0" t="n">
        <f aca="false">IF(AND(食数記録!$A339=プレビュー!$C$3,食数記録!$B339="朝",食数記録!$F339="女性入所",食数記録!$D339="欠食"),1,0)</f>
        <v>0</v>
      </c>
      <c r="I339" s="0" t="str">
        <f aca="false">IF(H339=1,SUM($H$2:H339),"")</f>
        <v/>
      </c>
      <c r="J339" s="0" t="n">
        <f aca="false">IF(AND(食数記録!$A339=プレビュー!$C$3,食数記録!$B339="昼",食数記録!$F339="女性入所",食数記録!$D339="欠食"),1,0)</f>
        <v>0</v>
      </c>
      <c r="K339" s="0" t="str">
        <f aca="false">IF(J339=1,SUM($J$2:J339),"")</f>
        <v/>
      </c>
      <c r="L339" s="0" t="n">
        <f aca="false">IF(AND(食数記録!$A339=プレビュー!$C$3,食数記録!$B339="夕",食数記録!$F339="女性入所",食数記録!$D339="欠食"),1,0)</f>
        <v>0</v>
      </c>
      <c r="M339" s="0" t="str">
        <f aca="false">IF(L339=1,SUM($L$2:L339),"")</f>
        <v/>
      </c>
      <c r="N339" s="0" t="n">
        <f aca="false">IF(AND(食数記録!$A339=プレビュー!$C$3,食数記録!$B339="朝",食数記録!$F339="男性GH",食数記録!$D339="臨時喫食"),1,0)</f>
        <v>0</v>
      </c>
      <c r="O339" s="0" t="str">
        <f aca="false">IF(N339=1,SUM($N$2:N339),"")</f>
        <v/>
      </c>
      <c r="P339" s="0" t="n">
        <f aca="false">IF(AND(食数記録!$A339=プレビュー!$C$3,食数記録!$B339="昼",食数記録!$F339="男性GH",食数記録!$D339="臨時喫食"),1,0)</f>
        <v>0</v>
      </c>
      <c r="Q339" s="0" t="str">
        <f aca="false">IF(P339=1,SUM($P$2:P339),"")</f>
        <v/>
      </c>
      <c r="R339" s="0" t="n">
        <f aca="false">IF(AND(食数記録!$A339=プレビュー!$C$3,食数記録!$B339="夕",食数記録!$F339="男性GH",食数記録!$D339="臨時喫食"),1,0)</f>
        <v>0</v>
      </c>
      <c r="S339" s="0" t="str">
        <f aca="false">IF(R339=1,SUM($R$2:R339),"")</f>
        <v/>
      </c>
      <c r="T339" s="0" t="n">
        <f aca="false">IF(AND(食数記録!$A339=プレビュー!$C$3,食数記録!$B339="朝",食数記録!$F339="女性GH",食数記録!$D339="臨時喫食"),1,0)</f>
        <v>0</v>
      </c>
      <c r="U339" s="0" t="str">
        <f aca="false">IF(T339=1,SUM($T$2:T339),"")</f>
        <v/>
      </c>
      <c r="V339" s="0" t="n">
        <f aca="false">IF(AND(食数記録!$A339=プレビュー!$C$3,食数記録!$B339="昼",食数記録!$F339="女性GH",食数記録!$D339="臨時喫食"),1,0)</f>
        <v>0</v>
      </c>
      <c r="W339" s="0" t="str">
        <f aca="false">IF(V339=1,SUM($V$2:V339),"")</f>
        <v/>
      </c>
      <c r="X339" s="0" t="n">
        <f aca="false">IF(AND(食数記録!$A339=プレビュー!$C$3,食数記録!$B339="夕",食数記録!$F339="女性GH",食数記録!$D339="臨時喫食"),1,0)</f>
        <v>0</v>
      </c>
      <c r="Y339" s="0" t="str">
        <f aca="false">IF(X339=1,SUM($X$2:X339),"")</f>
        <v/>
      </c>
    </row>
    <row r="340" customFormat="false" ht="15" hidden="false" customHeight="false" outlineLevel="0" collapsed="false">
      <c r="B340" s="0" t="n">
        <f aca="false">IF(AND(食数記録!$A340=プレビュー!$C$3,食数記録!$B340="朝",食数記録!$F340="男性入所",食数記録!$D340="欠食"),1,0)</f>
        <v>0</v>
      </c>
      <c r="C340" s="0" t="str">
        <f aca="false">IF(B340=1,SUM($B$2:B340),"")</f>
        <v/>
      </c>
      <c r="D340" s="0" t="n">
        <f aca="false">IF(AND(食数記録!$A340=プレビュー!$C$3,食数記録!$B340="昼",食数記録!$F340="男性入所",食数記録!$D340="欠食"),1,0)</f>
        <v>0</v>
      </c>
      <c r="E340" s="0" t="str">
        <f aca="false">IF(D340=1,SUM($D$2:D340),"")</f>
        <v/>
      </c>
      <c r="F340" s="0" t="n">
        <f aca="false">IF(AND(食数記録!$A340=プレビュー!$C$3,食数記録!$B340="夕",食数記録!$F340="男性入所",食数記録!$D340="欠食"),1,0)</f>
        <v>0</v>
      </c>
      <c r="G340" s="0" t="str">
        <f aca="false">IF(F340=1,SUM($F$2:F340),"")</f>
        <v/>
      </c>
      <c r="H340" s="0" t="n">
        <f aca="false">IF(AND(食数記録!$A340=プレビュー!$C$3,食数記録!$B340="朝",食数記録!$F340="女性入所",食数記録!$D340="欠食"),1,0)</f>
        <v>0</v>
      </c>
      <c r="I340" s="0" t="str">
        <f aca="false">IF(H340=1,SUM($H$2:H340),"")</f>
        <v/>
      </c>
      <c r="J340" s="0" t="n">
        <f aca="false">IF(AND(食数記録!$A340=プレビュー!$C$3,食数記録!$B340="昼",食数記録!$F340="女性入所",食数記録!$D340="欠食"),1,0)</f>
        <v>0</v>
      </c>
      <c r="K340" s="0" t="str">
        <f aca="false">IF(J340=1,SUM($J$2:J340),"")</f>
        <v/>
      </c>
      <c r="L340" s="0" t="n">
        <f aca="false">IF(AND(食数記録!$A340=プレビュー!$C$3,食数記録!$B340="夕",食数記録!$F340="女性入所",食数記録!$D340="欠食"),1,0)</f>
        <v>0</v>
      </c>
      <c r="M340" s="0" t="str">
        <f aca="false">IF(L340=1,SUM($L$2:L340),"")</f>
        <v/>
      </c>
      <c r="N340" s="0" t="n">
        <f aca="false">IF(AND(食数記録!$A340=プレビュー!$C$3,食数記録!$B340="朝",食数記録!$F340="男性GH",食数記録!$D340="臨時喫食"),1,0)</f>
        <v>0</v>
      </c>
      <c r="O340" s="0" t="str">
        <f aca="false">IF(N340=1,SUM($N$2:N340),"")</f>
        <v/>
      </c>
      <c r="P340" s="0" t="n">
        <f aca="false">IF(AND(食数記録!$A340=プレビュー!$C$3,食数記録!$B340="昼",食数記録!$F340="男性GH",食数記録!$D340="臨時喫食"),1,0)</f>
        <v>0</v>
      </c>
      <c r="Q340" s="0" t="str">
        <f aca="false">IF(P340=1,SUM($P$2:P340),"")</f>
        <v/>
      </c>
      <c r="R340" s="0" t="n">
        <f aca="false">IF(AND(食数記録!$A340=プレビュー!$C$3,食数記録!$B340="夕",食数記録!$F340="男性GH",食数記録!$D340="臨時喫食"),1,0)</f>
        <v>0</v>
      </c>
      <c r="S340" s="0" t="str">
        <f aca="false">IF(R340=1,SUM($R$2:R340),"")</f>
        <v/>
      </c>
      <c r="T340" s="0" t="n">
        <f aca="false">IF(AND(食数記録!$A340=プレビュー!$C$3,食数記録!$B340="朝",食数記録!$F340="女性GH",食数記録!$D340="臨時喫食"),1,0)</f>
        <v>0</v>
      </c>
      <c r="U340" s="0" t="str">
        <f aca="false">IF(T340=1,SUM($T$2:T340),"")</f>
        <v/>
      </c>
      <c r="V340" s="0" t="n">
        <f aca="false">IF(AND(食数記録!$A340=プレビュー!$C$3,食数記録!$B340="昼",食数記録!$F340="女性GH",食数記録!$D340="臨時喫食"),1,0)</f>
        <v>0</v>
      </c>
      <c r="W340" s="0" t="str">
        <f aca="false">IF(V340=1,SUM($V$2:V340),"")</f>
        <v/>
      </c>
      <c r="X340" s="0" t="n">
        <f aca="false">IF(AND(食数記録!$A340=プレビュー!$C$3,食数記録!$B340="夕",食数記録!$F340="女性GH",食数記録!$D340="臨時喫食"),1,0)</f>
        <v>0</v>
      </c>
      <c r="Y340" s="0" t="str">
        <f aca="false">IF(X340=1,SUM($X$2:X340),"")</f>
        <v/>
      </c>
    </row>
    <row r="341" customFormat="false" ht="15" hidden="false" customHeight="false" outlineLevel="0" collapsed="false">
      <c r="B341" s="0" t="n">
        <f aca="false">IF(AND(食数記録!$A341=プレビュー!$C$3,食数記録!$B341="朝",食数記録!$F341="男性入所",食数記録!$D341="欠食"),1,0)</f>
        <v>0</v>
      </c>
      <c r="C341" s="0" t="str">
        <f aca="false">IF(B341=1,SUM($B$2:B341),"")</f>
        <v/>
      </c>
      <c r="D341" s="0" t="n">
        <f aca="false">IF(AND(食数記録!$A341=プレビュー!$C$3,食数記録!$B341="昼",食数記録!$F341="男性入所",食数記録!$D341="欠食"),1,0)</f>
        <v>0</v>
      </c>
      <c r="E341" s="0" t="str">
        <f aca="false">IF(D341=1,SUM($D$2:D341),"")</f>
        <v/>
      </c>
      <c r="F341" s="0" t="n">
        <f aca="false">IF(AND(食数記録!$A341=プレビュー!$C$3,食数記録!$B341="夕",食数記録!$F341="男性入所",食数記録!$D341="欠食"),1,0)</f>
        <v>0</v>
      </c>
      <c r="G341" s="0" t="str">
        <f aca="false">IF(F341=1,SUM($F$2:F341),"")</f>
        <v/>
      </c>
      <c r="H341" s="0" t="n">
        <f aca="false">IF(AND(食数記録!$A341=プレビュー!$C$3,食数記録!$B341="朝",食数記録!$F341="女性入所",食数記録!$D341="欠食"),1,0)</f>
        <v>0</v>
      </c>
      <c r="I341" s="0" t="str">
        <f aca="false">IF(H341=1,SUM($H$2:H341),"")</f>
        <v/>
      </c>
      <c r="J341" s="0" t="n">
        <f aca="false">IF(AND(食数記録!$A341=プレビュー!$C$3,食数記録!$B341="昼",食数記録!$F341="女性入所",食数記録!$D341="欠食"),1,0)</f>
        <v>0</v>
      </c>
      <c r="K341" s="0" t="str">
        <f aca="false">IF(J341=1,SUM($J$2:J341),"")</f>
        <v/>
      </c>
      <c r="L341" s="0" t="n">
        <f aca="false">IF(AND(食数記録!$A341=プレビュー!$C$3,食数記録!$B341="夕",食数記録!$F341="女性入所",食数記録!$D341="欠食"),1,0)</f>
        <v>0</v>
      </c>
      <c r="M341" s="0" t="str">
        <f aca="false">IF(L341=1,SUM($L$2:L341),"")</f>
        <v/>
      </c>
      <c r="N341" s="0" t="n">
        <f aca="false">IF(AND(食数記録!$A341=プレビュー!$C$3,食数記録!$B341="朝",食数記録!$F341="男性GH",食数記録!$D341="臨時喫食"),1,0)</f>
        <v>0</v>
      </c>
      <c r="O341" s="0" t="str">
        <f aca="false">IF(N341=1,SUM($N$2:N341),"")</f>
        <v/>
      </c>
      <c r="P341" s="0" t="n">
        <f aca="false">IF(AND(食数記録!$A341=プレビュー!$C$3,食数記録!$B341="昼",食数記録!$F341="男性GH",食数記録!$D341="臨時喫食"),1,0)</f>
        <v>0</v>
      </c>
      <c r="Q341" s="0" t="str">
        <f aca="false">IF(P341=1,SUM($P$2:P341),"")</f>
        <v/>
      </c>
      <c r="R341" s="0" t="n">
        <f aca="false">IF(AND(食数記録!$A341=プレビュー!$C$3,食数記録!$B341="夕",食数記録!$F341="男性GH",食数記録!$D341="臨時喫食"),1,0)</f>
        <v>0</v>
      </c>
      <c r="S341" s="0" t="str">
        <f aca="false">IF(R341=1,SUM($R$2:R341),"")</f>
        <v/>
      </c>
      <c r="T341" s="0" t="n">
        <f aca="false">IF(AND(食数記録!$A341=プレビュー!$C$3,食数記録!$B341="朝",食数記録!$F341="女性GH",食数記録!$D341="臨時喫食"),1,0)</f>
        <v>0</v>
      </c>
      <c r="U341" s="0" t="str">
        <f aca="false">IF(T341=1,SUM($T$2:T341),"")</f>
        <v/>
      </c>
      <c r="V341" s="0" t="n">
        <f aca="false">IF(AND(食数記録!$A341=プレビュー!$C$3,食数記録!$B341="昼",食数記録!$F341="女性GH",食数記録!$D341="臨時喫食"),1,0)</f>
        <v>0</v>
      </c>
      <c r="W341" s="0" t="str">
        <f aca="false">IF(V341=1,SUM($V$2:V341),"")</f>
        <v/>
      </c>
      <c r="X341" s="0" t="n">
        <f aca="false">IF(AND(食数記録!$A341=プレビュー!$C$3,食数記録!$B341="夕",食数記録!$F341="女性GH",食数記録!$D341="臨時喫食"),1,0)</f>
        <v>0</v>
      </c>
      <c r="Y341" s="0" t="str">
        <f aca="false">IF(X341=1,SUM($X$2:X341),"")</f>
        <v/>
      </c>
    </row>
    <row r="342" customFormat="false" ht="15" hidden="false" customHeight="false" outlineLevel="0" collapsed="false">
      <c r="B342" s="0" t="n">
        <f aca="false">IF(AND(食数記録!$A342=プレビュー!$C$3,食数記録!$B342="朝",食数記録!$F342="男性入所",食数記録!$D342="欠食"),1,0)</f>
        <v>0</v>
      </c>
      <c r="C342" s="0" t="str">
        <f aca="false">IF(B342=1,SUM($B$2:B342),"")</f>
        <v/>
      </c>
      <c r="D342" s="0" t="n">
        <f aca="false">IF(AND(食数記録!$A342=プレビュー!$C$3,食数記録!$B342="昼",食数記録!$F342="男性入所",食数記録!$D342="欠食"),1,0)</f>
        <v>0</v>
      </c>
      <c r="E342" s="0" t="str">
        <f aca="false">IF(D342=1,SUM($D$2:D342),"")</f>
        <v/>
      </c>
      <c r="F342" s="0" t="n">
        <f aca="false">IF(AND(食数記録!$A342=プレビュー!$C$3,食数記録!$B342="夕",食数記録!$F342="男性入所",食数記録!$D342="欠食"),1,0)</f>
        <v>0</v>
      </c>
      <c r="G342" s="0" t="str">
        <f aca="false">IF(F342=1,SUM($F$2:F342),"")</f>
        <v/>
      </c>
      <c r="H342" s="0" t="n">
        <f aca="false">IF(AND(食数記録!$A342=プレビュー!$C$3,食数記録!$B342="朝",食数記録!$F342="女性入所",食数記録!$D342="欠食"),1,0)</f>
        <v>0</v>
      </c>
      <c r="I342" s="0" t="str">
        <f aca="false">IF(H342=1,SUM($H$2:H342),"")</f>
        <v/>
      </c>
      <c r="J342" s="0" t="n">
        <f aca="false">IF(AND(食数記録!$A342=プレビュー!$C$3,食数記録!$B342="昼",食数記録!$F342="女性入所",食数記録!$D342="欠食"),1,0)</f>
        <v>0</v>
      </c>
      <c r="K342" s="0" t="str">
        <f aca="false">IF(J342=1,SUM($J$2:J342),"")</f>
        <v/>
      </c>
      <c r="L342" s="0" t="n">
        <f aca="false">IF(AND(食数記録!$A342=プレビュー!$C$3,食数記録!$B342="夕",食数記録!$F342="女性入所",食数記録!$D342="欠食"),1,0)</f>
        <v>0</v>
      </c>
      <c r="M342" s="0" t="str">
        <f aca="false">IF(L342=1,SUM($L$2:L342),"")</f>
        <v/>
      </c>
      <c r="N342" s="0" t="n">
        <f aca="false">IF(AND(食数記録!$A342=プレビュー!$C$3,食数記録!$B342="朝",食数記録!$F342="男性GH",食数記録!$D342="臨時喫食"),1,0)</f>
        <v>0</v>
      </c>
      <c r="O342" s="0" t="str">
        <f aca="false">IF(N342=1,SUM($N$2:N342),"")</f>
        <v/>
      </c>
      <c r="P342" s="0" t="n">
        <f aca="false">IF(AND(食数記録!$A342=プレビュー!$C$3,食数記録!$B342="昼",食数記録!$F342="男性GH",食数記録!$D342="臨時喫食"),1,0)</f>
        <v>0</v>
      </c>
      <c r="Q342" s="0" t="str">
        <f aca="false">IF(P342=1,SUM($P$2:P342),"")</f>
        <v/>
      </c>
      <c r="R342" s="0" t="n">
        <f aca="false">IF(AND(食数記録!$A342=プレビュー!$C$3,食数記録!$B342="夕",食数記録!$F342="男性GH",食数記録!$D342="臨時喫食"),1,0)</f>
        <v>0</v>
      </c>
      <c r="S342" s="0" t="str">
        <f aca="false">IF(R342=1,SUM($R$2:R342),"")</f>
        <v/>
      </c>
      <c r="T342" s="0" t="n">
        <f aca="false">IF(AND(食数記録!$A342=プレビュー!$C$3,食数記録!$B342="朝",食数記録!$F342="女性GH",食数記録!$D342="臨時喫食"),1,0)</f>
        <v>0</v>
      </c>
      <c r="U342" s="0" t="str">
        <f aca="false">IF(T342=1,SUM($T$2:T342),"")</f>
        <v/>
      </c>
      <c r="V342" s="0" t="n">
        <f aca="false">IF(AND(食数記録!$A342=プレビュー!$C$3,食数記録!$B342="昼",食数記録!$F342="女性GH",食数記録!$D342="臨時喫食"),1,0)</f>
        <v>0</v>
      </c>
      <c r="W342" s="0" t="str">
        <f aca="false">IF(V342=1,SUM($V$2:V342),"")</f>
        <v/>
      </c>
      <c r="X342" s="0" t="n">
        <f aca="false">IF(AND(食数記録!$A342=プレビュー!$C$3,食数記録!$B342="夕",食数記録!$F342="女性GH",食数記録!$D342="臨時喫食"),1,0)</f>
        <v>0</v>
      </c>
      <c r="Y342" s="0" t="str">
        <f aca="false">IF(X342=1,SUM($X$2:X342),"")</f>
        <v/>
      </c>
    </row>
    <row r="343" customFormat="false" ht="15" hidden="false" customHeight="false" outlineLevel="0" collapsed="false">
      <c r="B343" s="0" t="n">
        <f aca="false">IF(AND(食数記録!$A343=プレビュー!$C$3,食数記録!$B343="朝",食数記録!$F343="男性入所",食数記録!$D343="欠食"),1,0)</f>
        <v>0</v>
      </c>
      <c r="C343" s="0" t="str">
        <f aca="false">IF(B343=1,SUM($B$2:B343),"")</f>
        <v/>
      </c>
      <c r="D343" s="0" t="n">
        <f aca="false">IF(AND(食数記録!$A343=プレビュー!$C$3,食数記録!$B343="昼",食数記録!$F343="男性入所",食数記録!$D343="欠食"),1,0)</f>
        <v>0</v>
      </c>
      <c r="E343" s="0" t="str">
        <f aca="false">IF(D343=1,SUM($D$2:D343),"")</f>
        <v/>
      </c>
      <c r="F343" s="0" t="n">
        <f aca="false">IF(AND(食数記録!$A343=プレビュー!$C$3,食数記録!$B343="夕",食数記録!$F343="男性入所",食数記録!$D343="欠食"),1,0)</f>
        <v>0</v>
      </c>
      <c r="G343" s="0" t="str">
        <f aca="false">IF(F343=1,SUM($F$2:F343),"")</f>
        <v/>
      </c>
      <c r="H343" s="0" t="n">
        <f aca="false">IF(AND(食数記録!$A343=プレビュー!$C$3,食数記録!$B343="朝",食数記録!$F343="女性入所",食数記録!$D343="欠食"),1,0)</f>
        <v>0</v>
      </c>
      <c r="I343" s="0" t="str">
        <f aca="false">IF(H343=1,SUM($H$2:H343),"")</f>
        <v/>
      </c>
      <c r="J343" s="0" t="n">
        <f aca="false">IF(AND(食数記録!$A343=プレビュー!$C$3,食数記録!$B343="昼",食数記録!$F343="女性入所",食数記録!$D343="欠食"),1,0)</f>
        <v>0</v>
      </c>
      <c r="K343" s="0" t="str">
        <f aca="false">IF(J343=1,SUM($J$2:J343),"")</f>
        <v/>
      </c>
      <c r="L343" s="0" t="n">
        <f aca="false">IF(AND(食数記録!$A343=プレビュー!$C$3,食数記録!$B343="夕",食数記録!$F343="女性入所",食数記録!$D343="欠食"),1,0)</f>
        <v>0</v>
      </c>
      <c r="M343" s="0" t="str">
        <f aca="false">IF(L343=1,SUM($L$2:L343),"")</f>
        <v/>
      </c>
      <c r="N343" s="0" t="n">
        <f aca="false">IF(AND(食数記録!$A343=プレビュー!$C$3,食数記録!$B343="朝",食数記録!$F343="男性GH",食数記録!$D343="臨時喫食"),1,0)</f>
        <v>0</v>
      </c>
      <c r="O343" s="0" t="str">
        <f aca="false">IF(N343=1,SUM($N$2:N343),"")</f>
        <v/>
      </c>
      <c r="P343" s="0" t="n">
        <f aca="false">IF(AND(食数記録!$A343=プレビュー!$C$3,食数記録!$B343="昼",食数記録!$F343="男性GH",食数記録!$D343="臨時喫食"),1,0)</f>
        <v>0</v>
      </c>
      <c r="Q343" s="0" t="str">
        <f aca="false">IF(P343=1,SUM($P$2:P343),"")</f>
        <v/>
      </c>
      <c r="R343" s="0" t="n">
        <f aca="false">IF(AND(食数記録!$A343=プレビュー!$C$3,食数記録!$B343="夕",食数記録!$F343="男性GH",食数記録!$D343="臨時喫食"),1,0)</f>
        <v>0</v>
      </c>
      <c r="S343" s="0" t="str">
        <f aca="false">IF(R343=1,SUM($R$2:R343),"")</f>
        <v/>
      </c>
      <c r="T343" s="0" t="n">
        <f aca="false">IF(AND(食数記録!$A343=プレビュー!$C$3,食数記録!$B343="朝",食数記録!$F343="女性GH",食数記録!$D343="臨時喫食"),1,0)</f>
        <v>0</v>
      </c>
      <c r="U343" s="0" t="str">
        <f aca="false">IF(T343=1,SUM($T$2:T343),"")</f>
        <v/>
      </c>
      <c r="V343" s="0" t="n">
        <f aca="false">IF(AND(食数記録!$A343=プレビュー!$C$3,食数記録!$B343="昼",食数記録!$F343="女性GH",食数記録!$D343="臨時喫食"),1,0)</f>
        <v>0</v>
      </c>
      <c r="W343" s="0" t="str">
        <f aca="false">IF(V343=1,SUM($V$2:V343),"")</f>
        <v/>
      </c>
      <c r="X343" s="0" t="n">
        <f aca="false">IF(AND(食数記録!$A343=プレビュー!$C$3,食数記録!$B343="夕",食数記録!$F343="女性GH",食数記録!$D343="臨時喫食"),1,0)</f>
        <v>0</v>
      </c>
      <c r="Y343" s="0" t="str">
        <f aca="false">IF(X343=1,SUM($X$2:X343),"")</f>
        <v/>
      </c>
    </row>
    <row r="344" customFormat="false" ht="15" hidden="false" customHeight="false" outlineLevel="0" collapsed="false">
      <c r="B344" s="0" t="n">
        <f aca="false">IF(AND(食数記録!$A344=プレビュー!$C$3,食数記録!$B344="朝",食数記録!$F344="男性入所",食数記録!$D344="欠食"),1,0)</f>
        <v>0</v>
      </c>
      <c r="C344" s="0" t="str">
        <f aca="false">IF(B344=1,SUM($B$2:B344),"")</f>
        <v/>
      </c>
      <c r="D344" s="0" t="n">
        <f aca="false">IF(AND(食数記録!$A344=プレビュー!$C$3,食数記録!$B344="昼",食数記録!$F344="男性入所",食数記録!$D344="欠食"),1,0)</f>
        <v>0</v>
      </c>
      <c r="E344" s="0" t="str">
        <f aca="false">IF(D344=1,SUM($D$2:D344),"")</f>
        <v/>
      </c>
      <c r="F344" s="0" t="n">
        <f aca="false">IF(AND(食数記録!$A344=プレビュー!$C$3,食数記録!$B344="夕",食数記録!$F344="男性入所",食数記録!$D344="欠食"),1,0)</f>
        <v>0</v>
      </c>
      <c r="G344" s="0" t="str">
        <f aca="false">IF(F344=1,SUM($F$2:F344),"")</f>
        <v/>
      </c>
      <c r="H344" s="0" t="n">
        <f aca="false">IF(AND(食数記録!$A344=プレビュー!$C$3,食数記録!$B344="朝",食数記録!$F344="女性入所",食数記録!$D344="欠食"),1,0)</f>
        <v>0</v>
      </c>
      <c r="I344" s="0" t="str">
        <f aca="false">IF(H344=1,SUM($H$2:H344),"")</f>
        <v/>
      </c>
      <c r="J344" s="0" t="n">
        <f aca="false">IF(AND(食数記録!$A344=プレビュー!$C$3,食数記録!$B344="昼",食数記録!$F344="女性入所",食数記録!$D344="欠食"),1,0)</f>
        <v>0</v>
      </c>
      <c r="K344" s="0" t="str">
        <f aca="false">IF(J344=1,SUM($J$2:J344),"")</f>
        <v/>
      </c>
      <c r="L344" s="0" t="n">
        <f aca="false">IF(AND(食数記録!$A344=プレビュー!$C$3,食数記録!$B344="夕",食数記録!$F344="女性入所",食数記録!$D344="欠食"),1,0)</f>
        <v>0</v>
      </c>
      <c r="M344" s="0" t="str">
        <f aca="false">IF(L344=1,SUM($L$2:L344),"")</f>
        <v/>
      </c>
      <c r="N344" s="0" t="n">
        <f aca="false">IF(AND(食数記録!$A344=プレビュー!$C$3,食数記録!$B344="朝",食数記録!$F344="男性GH",食数記録!$D344="臨時喫食"),1,0)</f>
        <v>0</v>
      </c>
      <c r="O344" s="0" t="str">
        <f aca="false">IF(N344=1,SUM($N$2:N344),"")</f>
        <v/>
      </c>
      <c r="P344" s="0" t="n">
        <f aca="false">IF(AND(食数記録!$A344=プレビュー!$C$3,食数記録!$B344="昼",食数記録!$F344="男性GH",食数記録!$D344="臨時喫食"),1,0)</f>
        <v>0</v>
      </c>
      <c r="Q344" s="0" t="str">
        <f aca="false">IF(P344=1,SUM($P$2:P344),"")</f>
        <v/>
      </c>
      <c r="R344" s="0" t="n">
        <f aca="false">IF(AND(食数記録!$A344=プレビュー!$C$3,食数記録!$B344="夕",食数記録!$F344="男性GH",食数記録!$D344="臨時喫食"),1,0)</f>
        <v>0</v>
      </c>
      <c r="S344" s="0" t="str">
        <f aca="false">IF(R344=1,SUM($R$2:R344),"")</f>
        <v/>
      </c>
      <c r="T344" s="0" t="n">
        <f aca="false">IF(AND(食数記録!$A344=プレビュー!$C$3,食数記録!$B344="朝",食数記録!$F344="女性GH",食数記録!$D344="臨時喫食"),1,0)</f>
        <v>0</v>
      </c>
      <c r="U344" s="0" t="str">
        <f aca="false">IF(T344=1,SUM($T$2:T344),"")</f>
        <v/>
      </c>
      <c r="V344" s="0" t="n">
        <f aca="false">IF(AND(食数記録!$A344=プレビュー!$C$3,食数記録!$B344="昼",食数記録!$F344="女性GH",食数記録!$D344="臨時喫食"),1,0)</f>
        <v>0</v>
      </c>
      <c r="W344" s="0" t="str">
        <f aca="false">IF(V344=1,SUM($V$2:V344),"")</f>
        <v/>
      </c>
      <c r="X344" s="0" t="n">
        <f aca="false">IF(AND(食数記録!$A344=プレビュー!$C$3,食数記録!$B344="夕",食数記録!$F344="女性GH",食数記録!$D344="臨時喫食"),1,0)</f>
        <v>0</v>
      </c>
      <c r="Y344" s="0" t="str">
        <f aca="false">IF(X344=1,SUM($X$2:X344),"")</f>
        <v/>
      </c>
    </row>
    <row r="345" customFormat="false" ht="15" hidden="false" customHeight="false" outlineLevel="0" collapsed="false">
      <c r="B345" s="0" t="n">
        <f aca="false">IF(AND(食数記録!$A345=プレビュー!$C$3,食数記録!$B345="朝",食数記録!$F345="男性入所",食数記録!$D345="欠食"),1,0)</f>
        <v>0</v>
      </c>
      <c r="C345" s="0" t="str">
        <f aca="false">IF(B345=1,SUM($B$2:B345),"")</f>
        <v/>
      </c>
      <c r="D345" s="0" t="n">
        <f aca="false">IF(AND(食数記録!$A345=プレビュー!$C$3,食数記録!$B345="昼",食数記録!$F345="男性入所",食数記録!$D345="欠食"),1,0)</f>
        <v>0</v>
      </c>
      <c r="E345" s="0" t="str">
        <f aca="false">IF(D345=1,SUM($D$2:D345),"")</f>
        <v/>
      </c>
      <c r="F345" s="0" t="n">
        <f aca="false">IF(AND(食数記録!$A345=プレビュー!$C$3,食数記録!$B345="夕",食数記録!$F345="男性入所",食数記録!$D345="欠食"),1,0)</f>
        <v>0</v>
      </c>
      <c r="G345" s="0" t="str">
        <f aca="false">IF(F345=1,SUM($F$2:F345),"")</f>
        <v/>
      </c>
      <c r="H345" s="0" t="n">
        <f aca="false">IF(AND(食数記録!$A345=プレビュー!$C$3,食数記録!$B345="朝",食数記録!$F345="女性入所",食数記録!$D345="欠食"),1,0)</f>
        <v>0</v>
      </c>
      <c r="I345" s="0" t="str">
        <f aca="false">IF(H345=1,SUM($H$2:H345),"")</f>
        <v/>
      </c>
      <c r="J345" s="0" t="n">
        <f aca="false">IF(AND(食数記録!$A345=プレビュー!$C$3,食数記録!$B345="昼",食数記録!$F345="女性入所",食数記録!$D345="欠食"),1,0)</f>
        <v>0</v>
      </c>
      <c r="K345" s="0" t="str">
        <f aca="false">IF(J345=1,SUM($J$2:J345),"")</f>
        <v/>
      </c>
      <c r="L345" s="0" t="n">
        <f aca="false">IF(AND(食数記録!$A345=プレビュー!$C$3,食数記録!$B345="夕",食数記録!$F345="女性入所",食数記録!$D345="欠食"),1,0)</f>
        <v>0</v>
      </c>
      <c r="M345" s="0" t="str">
        <f aca="false">IF(L345=1,SUM($L$2:L345),"")</f>
        <v/>
      </c>
      <c r="N345" s="0" t="n">
        <f aca="false">IF(AND(食数記録!$A345=プレビュー!$C$3,食数記録!$B345="朝",食数記録!$F345="男性GH",食数記録!$D345="臨時喫食"),1,0)</f>
        <v>0</v>
      </c>
      <c r="O345" s="0" t="str">
        <f aca="false">IF(N345=1,SUM($N$2:N345),"")</f>
        <v/>
      </c>
      <c r="P345" s="0" t="n">
        <f aca="false">IF(AND(食数記録!$A345=プレビュー!$C$3,食数記録!$B345="昼",食数記録!$F345="男性GH",食数記録!$D345="臨時喫食"),1,0)</f>
        <v>0</v>
      </c>
      <c r="Q345" s="0" t="str">
        <f aca="false">IF(P345=1,SUM($P$2:P345),"")</f>
        <v/>
      </c>
      <c r="R345" s="0" t="n">
        <f aca="false">IF(AND(食数記録!$A345=プレビュー!$C$3,食数記録!$B345="夕",食数記録!$F345="男性GH",食数記録!$D345="臨時喫食"),1,0)</f>
        <v>0</v>
      </c>
      <c r="S345" s="0" t="str">
        <f aca="false">IF(R345=1,SUM($R$2:R345),"")</f>
        <v/>
      </c>
      <c r="T345" s="0" t="n">
        <f aca="false">IF(AND(食数記録!$A345=プレビュー!$C$3,食数記録!$B345="朝",食数記録!$F345="女性GH",食数記録!$D345="臨時喫食"),1,0)</f>
        <v>0</v>
      </c>
      <c r="U345" s="0" t="str">
        <f aca="false">IF(T345=1,SUM($T$2:T345),"")</f>
        <v/>
      </c>
      <c r="V345" s="0" t="n">
        <f aca="false">IF(AND(食数記録!$A345=プレビュー!$C$3,食数記録!$B345="昼",食数記録!$F345="女性GH",食数記録!$D345="臨時喫食"),1,0)</f>
        <v>0</v>
      </c>
      <c r="W345" s="0" t="str">
        <f aca="false">IF(V345=1,SUM($V$2:V345),"")</f>
        <v/>
      </c>
      <c r="X345" s="0" t="n">
        <f aca="false">IF(AND(食数記録!$A345=プレビュー!$C$3,食数記録!$B345="夕",食数記録!$F345="女性GH",食数記録!$D345="臨時喫食"),1,0)</f>
        <v>0</v>
      </c>
      <c r="Y345" s="0" t="str">
        <f aca="false">IF(X345=1,SUM($X$2:X345),"")</f>
        <v/>
      </c>
    </row>
    <row r="346" customFormat="false" ht="15" hidden="false" customHeight="false" outlineLevel="0" collapsed="false">
      <c r="B346" s="0" t="n">
        <f aca="false">IF(AND(食数記録!$A346=プレビュー!$C$3,食数記録!$B346="朝",食数記録!$F346="男性入所",食数記録!$D346="欠食"),1,0)</f>
        <v>0</v>
      </c>
      <c r="C346" s="0" t="str">
        <f aca="false">IF(B346=1,SUM($B$2:B346),"")</f>
        <v/>
      </c>
      <c r="D346" s="0" t="n">
        <f aca="false">IF(AND(食数記録!$A346=プレビュー!$C$3,食数記録!$B346="昼",食数記録!$F346="男性入所",食数記録!$D346="欠食"),1,0)</f>
        <v>0</v>
      </c>
      <c r="E346" s="0" t="str">
        <f aca="false">IF(D346=1,SUM($D$2:D346),"")</f>
        <v/>
      </c>
      <c r="F346" s="0" t="n">
        <f aca="false">IF(AND(食数記録!$A346=プレビュー!$C$3,食数記録!$B346="夕",食数記録!$F346="男性入所",食数記録!$D346="欠食"),1,0)</f>
        <v>0</v>
      </c>
      <c r="G346" s="0" t="str">
        <f aca="false">IF(F346=1,SUM($F$2:F346),"")</f>
        <v/>
      </c>
      <c r="H346" s="0" t="n">
        <f aca="false">IF(AND(食数記録!$A346=プレビュー!$C$3,食数記録!$B346="朝",食数記録!$F346="女性入所",食数記録!$D346="欠食"),1,0)</f>
        <v>0</v>
      </c>
      <c r="I346" s="0" t="str">
        <f aca="false">IF(H346=1,SUM($H$2:H346),"")</f>
        <v/>
      </c>
      <c r="J346" s="0" t="n">
        <f aca="false">IF(AND(食数記録!$A346=プレビュー!$C$3,食数記録!$B346="昼",食数記録!$F346="女性入所",食数記録!$D346="欠食"),1,0)</f>
        <v>0</v>
      </c>
      <c r="K346" s="0" t="str">
        <f aca="false">IF(J346=1,SUM($J$2:J346),"")</f>
        <v/>
      </c>
      <c r="L346" s="0" t="n">
        <f aca="false">IF(AND(食数記録!$A346=プレビュー!$C$3,食数記録!$B346="夕",食数記録!$F346="女性入所",食数記録!$D346="欠食"),1,0)</f>
        <v>0</v>
      </c>
      <c r="M346" s="0" t="str">
        <f aca="false">IF(L346=1,SUM($L$2:L346),"")</f>
        <v/>
      </c>
      <c r="N346" s="0" t="n">
        <f aca="false">IF(AND(食数記録!$A346=プレビュー!$C$3,食数記録!$B346="朝",食数記録!$F346="男性GH",食数記録!$D346="臨時喫食"),1,0)</f>
        <v>0</v>
      </c>
      <c r="O346" s="0" t="str">
        <f aca="false">IF(N346=1,SUM($N$2:N346),"")</f>
        <v/>
      </c>
      <c r="P346" s="0" t="n">
        <f aca="false">IF(AND(食数記録!$A346=プレビュー!$C$3,食数記録!$B346="昼",食数記録!$F346="男性GH",食数記録!$D346="臨時喫食"),1,0)</f>
        <v>0</v>
      </c>
      <c r="Q346" s="0" t="str">
        <f aca="false">IF(P346=1,SUM($P$2:P346),"")</f>
        <v/>
      </c>
      <c r="R346" s="0" t="n">
        <f aca="false">IF(AND(食数記録!$A346=プレビュー!$C$3,食数記録!$B346="夕",食数記録!$F346="男性GH",食数記録!$D346="臨時喫食"),1,0)</f>
        <v>0</v>
      </c>
      <c r="S346" s="0" t="str">
        <f aca="false">IF(R346=1,SUM($R$2:R346),"")</f>
        <v/>
      </c>
      <c r="T346" s="0" t="n">
        <f aca="false">IF(AND(食数記録!$A346=プレビュー!$C$3,食数記録!$B346="朝",食数記録!$F346="女性GH",食数記録!$D346="臨時喫食"),1,0)</f>
        <v>0</v>
      </c>
      <c r="U346" s="0" t="str">
        <f aca="false">IF(T346=1,SUM($T$2:T346),"")</f>
        <v/>
      </c>
      <c r="V346" s="0" t="n">
        <f aca="false">IF(AND(食数記録!$A346=プレビュー!$C$3,食数記録!$B346="昼",食数記録!$F346="女性GH",食数記録!$D346="臨時喫食"),1,0)</f>
        <v>0</v>
      </c>
      <c r="W346" s="0" t="str">
        <f aca="false">IF(V346=1,SUM($V$2:V346),"")</f>
        <v/>
      </c>
      <c r="X346" s="0" t="n">
        <f aca="false">IF(AND(食数記録!$A346=プレビュー!$C$3,食数記録!$B346="夕",食数記録!$F346="女性GH",食数記録!$D346="臨時喫食"),1,0)</f>
        <v>0</v>
      </c>
      <c r="Y346" s="0" t="str">
        <f aca="false">IF(X346=1,SUM($X$2:X346),"")</f>
        <v/>
      </c>
    </row>
    <row r="347" customFormat="false" ht="15" hidden="false" customHeight="false" outlineLevel="0" collapsed="false">
      <c r="B347" s="0" t="n">
        <f aca="false">IF(AND(食数記録!$A347=プレビュー!$C$3,食数記録!$B347="朝",食数記録!$F347="男性入所",食数記録!$D347="欠食"),1,0)</f>
        <v>0</v>
      </c>
      <c r="C347" s="0" t="str">
        <f aca="false">IF(B347=1,SUM($B$2:B347),"")</f>
        <v/>
      </c>
      <c r="D347" s="0" t="n">
        <f aca="false">IF(AND(食数記録!$A347=プレビュー!$C$3,食数記録!$B347="昼",食数記録!$F347="男性入所",食数記録!$D347="欠食"),1,0)</f>
        <v>0</v>
      </c>
      <c r="E347" s="0" t="str">
        <f aca="false">IF(D347=1,SUM($D$2:D347),"")</f>
        <v/>
      </c>
      <c r="F347" s="0" t="n">
        <f aca="false">IF(AND(食数記録!$A347=プレビュー!$C$3,食数記録!$B347="夕",食数記録!$F347="男性入所",食数記録!$D347="欠食"),1,0)</f>
        <v>0</v>
      </c>
      <c r="G347" s="0" t="str">
        <f aca="false">IF(F347=1,SUM($F$2:F347),"")</f>
        <v/>
      </c>
      <c r="H347" s="0" t="n">
        <f aca="false">IF(AND(食数記録!$A347=プレビュー!$C$3,食数記録!$B347="朝",食数記録!$F347="女性入所",食数記録!$D347="欠食"),1,0)</f>
        <v>0</v>
      </c>
      <c r="I347" s="0" t="str">
        <f aca="false">IF(H347=1,SUM($H$2:H347),"")</f>
        <v/>
      </c>
      <c r="J347" s="0" t="n">
        <f aca="false">IF(AND(食数記録!$A347=プレビュー!$C$3,食数記録!$B347="昼",食数記録!$F347="女性入所",食数記録!$D347="欠食"),1,0)</f>
        <v>0</v>
      </c>
      <c r="K347" s="0" t="str">
        <f aca="false">IF(J347=1,SUM($J$2:J347),"")</f>
        <v/>
      </c>
      <c r="L347" s="0" t="n">
        <f aca="false">IF(AND(食数記録!$A347=プレビュー!$C$3,食数記録!$B347="夕",食数記録!$F347="女性入所",食数記録!$D347="欠食"),1,0)</f>
        <v>0</v>
      </c>
      <c r="M347" s="0" t="str">
        <f aca="false">IF(L347=1,SUM($L$2:L347),"")</f>
        <v/>
      </c>
      <c r="N347" s="0" t="n">
        <f aca="false">IF(AND(食数記録!$A347=プレビュー!$C$3,食数記録!$B347="朝",食数記録!$F347="男性GH",食数記録!$D347="臨時喫食"),1,0)</f>
        <v>0</v>
      </c>
      <c r="O347" s="0" t="str">
        <f aca="false">IF(N347=1,SUM($N$2:N347),"")</f>
        <v/>
      </c>
      <c r="P347" s="0" t="n">
        <f aca="false">IF(AND(食数記録!$A347=プレビュー!$C$3,食数記録!$B347="昼",食数記録!$F347="男性GH",食数記録!$D347="臨時喫食"),1,0)</f>
        <v>0</v>
      </c>
      <c r="Q347" s="0" t="str">
        <f aca="false">IF(P347=1,SUM($P$2:P347),"")</f>
        <v/>
      </c>
      <c r="R347" s="0" t="n">
        <f aca="false">IF(AND(食数記録!$A347=プレビュー!$C$3,食数記録!$B347="夕",食数記録!$F347="男性GH",食数記録!$D347="臨時喫食"),1,0)</f>
        <v>0</v>
      </c>
      <c r="S347" s="0" t="str">
        <f aca="false">IF(R347=1,SUM($R$2:R347),"")</f>
        <v/>
      </c>
      <c r="T347" s="0" t="n">
        <f aca="false">IF(AND(食数記録!$A347=プレビュー!$C$3,食数記録!$B347="朝",食数記録!$F347="女性GH",食数記録!$D347="臨時喫食"),1,0)</f>
        <v>0</v>
      </c>
      <c r="U347" s="0" t="str">
        <f aca="false">IF(T347=1,SUM($T$2:T347),"")</f>
        <v/>
      </c>
      <c r="V347" s="0" t="n">
        <f aca="false">IF(AND(食数記録!$A347=プレビュー!$C$3,食数記録!$B347="昼",食数記録!$F347="女性GH",食数記録!$D347="臨時喫食"),1,0)</f>
        <v>0</v>
      </c>
      <c r="W347" s="0" t="str">
        <f aca="false">IF(V347=1,SUM($V$2:V347),"")</f>
        <v/>
      </c>
      <c r="X347" s="0" t="n">
        <f aca="false">IF(AND(食数記録!$A347=プレビュー!$C$3,食数記録!$B347="夕",食数記録!$F347="女性GH",食数記録!$D347="臨時喫食"),1,0)</f>
        <v>0</v>
      </c>
      <c r="Y347" s="0" t="str">
        <f aca="false">IF(X347=1,SUM($X$2:X347),"")</f>
        <v/>
      </c>
    </row>
    <row r="348" customFormat="false" ht="15" hidden="false" customHeight="false" outlineLevel="0" collapsed="false">
      <c r="B348" s="0" t="n">
        <f aca="false">IF(AND(食数記録!$A348=プレビュー!$C$3,食数記録!$B348="朝",食数記録!$F348="男性入所",食数記録!$D348="欠食"),1,0)</f>
        <v>0</v>
      </c>
      <c r="C348" s="0" t="str">
        <f aca="false">IF(B348=1,SUM($B$2:B348),"")</f>
        <v/>
      </c>
      <c r="D348" s="0" t="n">
        <f aca="false">IF(AND(食数記録!$A348=プレビュー!$C$3,食数記録!$B348="昼",食数記録!$F348="男性入所",食数記録!$D348="欠食"),1,0)</f>
        <v>0</v>
      </c>
      <c r="E348" s="0" t="str">
        <f aca="false">IF(D348=1,SUM($D$2:D348),"")</f>
        <v/>
      </c>
      <c r="F348" s="0" t="n">
        <f aca="false">IF(AND(食数記録!$A348=プレビュー!$C$3,食数記録!$B348="夕",食数記録!$F348="男性入所",食数記録!$D348="欠食"),1,0)</f>
        <v>0</v>
      </c>
      <c r="G348" s="0" t="str">
        <f aca="false">IF(F348=1,SUM($F$2:F348),"")</f>
        <v/>
      </c>
      <c r="H348" s="0" t="n">
        <f aca="false">IF(AND(食数記録!$A348=プレビュー!$C$3,食数記録!$B348="朝",食数記録!$F348="女性入所",食数記録!$D348="欠食"),1,0)</f>
        <v>0</v>
      </c>
      <c r="I348" s="0" t="str">
        <f aca="false">IF(H348=1,SUM($H$2:H348),"")</f>
        <v/>
      </c>
      <c r="J348" s="0" t="n">
        <f aca="false">IF(AND(食数記録!$A348=プレビュー!$C$3,食数記録!$B348="昼",食数記録!$F348="女性入所",食数記録!$D348="欠食"),1,0)</f>
        <v>0</v>
      </c>
      <c r="K348" s="0" t="str">
        <f aca="false">IF(J348=1,SUM($J$2:J348),"")</f>
        <v/>
      </c>
      <c r="L348" s="0" t="n">
        <f aca="false">IF(AND(食数記録!$A348=プレビュー!$C$3,食数記録!$B348="夕",食数記録!$F348="女性入所",食数記録!$D348="欠食"),1,0)</f>
        <v>0</v>
      </c>
      <c r="M348" s="0" t="str">
        <f aca="false">IF(L348=1,SUM($L$2:L348),"")</f>
        <v/>
      </c>
      <c r="N348" s="0" t="n">
        <f aca="false">IF(AND(食数記録!$A348=プレビュー!$C$3,食数記録!$B348="朝",食数記録!$F348="男性GH",食数記録!$D348="臨時喫食"),1,0)</f>
        <v>0</v>
      </c>
      <c r="O348" s="0" t="str">
        <f aca="false">IF(N348=1,SUM($N$2:N348),"")</f>
        <v/>
      </c>
      <c r="P348" s="0" t="n">
        <f aca="false">IF(AND(食数記録!$A348=プレビュー!$C$3,食数記録!$B348="昼",食数記録!$F348="男性GH",食数記録!$D348="臨時喫食"),1,0)</f>
        <v>0</v>
      </c>
      <c r="Q348" s="0" t="str">
        <f aca="false">IF(P348=1,SUM($P$2:P348),"")</f>
        <v/>
      </c>
      <c r="R348" s="0" t="n">
        <f aca="false">IF(AND(食数記録!$A348=プレビュー!$C$3,食数記録!$B348="夕",食数記録!$F348="男性GH",食数記録!$D348="臨時喫食"),1,0)</f>
        <v>0</v>
      </c>
      <c r="S348" s="0" t="str">
        <f aca="false">IF(R348=1,SUM($R$2:R348),"")</f>
        <v/>
      </c>
      <c r="T348" s="0" t="n">
        <f aca="false">IF(AND(食数記録!$A348=プレビュー!$C$3,食数記録!$B348="朝",食数記録!$F348="女性GH",食数記録!$D348="臨時喫食"),1,0)</f>
        <v>0</v>
      </c>
      <c r="U348" s="0" t="str">
        <f aca="false">IF(T348=1,SUM($T$2:T348),"")</f>
        <v/>
      </c>
      <c r="V348" s="0" t="n">
        <f aca="false">IF(AND(食数記録!$A348=プレビュー!$C$3,食数記録!$B348="昼",食数記録!$F348="女性GH",食数記録!$D348="臨時喫食"),1,0)</f>
        <v>0</v>
      </c>
      <c r="W348" s="0" t="str">
        <f aca="false">IF(V348=1,SUM($V$2:V348),"")</f>
        <v/>
      </c>
      <c r="X348" s="0" t="n">
        <f aca="false">IF(AND(食数記録!$A348=プレビュー!$C$3,食数記録!$B348="夕",食数記録!$F348="女性GH",食数記録!$D348="臨時喫食"),1,0)</f>
        <v>0</v>
      </c>
      <c r="Y348" s="0" t="str">
        <f aca="false">IF(X348=1,SUM($X$2:X348),"")</f>
        <v/>
      </c>
    </row>
    <row r="349" customFormat="false" ht="15" hidden="false" customHeight="false" outlineLevel="0" collapsed="false">
      <c r="B349" s="0" t="n">
        <f aca="false">IF(AND(食数記録!$A349=プレビュー!$C$3,食数記録!$B349="朝",食数記録!$F349="男性入所",食数記録!$D349="欠食"),1,0)</f>
        <v>0</v>
      </c>
      <c r="C349" s="0" t="str">
        <f aca="false">IF(B349=1,SUM($B$2:B349),"")</f>
        <v/>
      </c>
      <c r="D349" s="0" t="n">
        <f aca="false">IF(AND(食数記録!$A349=プレビュー!$C$3,食数記録!$B349="昼",食数記録!$F349="男性入所",食数記録!$D349="欠食"),1,0)</f>
        <v>0</v>
      </c>
      <c r="E349" s="0" t="str">
        <f aca="false">IF(D349=1,SUM($D$2:D349),"")</f>
        <v/>
      </c>
      <c r="F349" s="0" t="n">
        <f aca="false">IF(AND(食数記録!$A349=プレビュー!$C$3,食数記録!$B349="夕",食数記録!$F349="男性入所",食数記録!$D349="欠食"),1,0)</f>
        <v>0</v>
      </c>
      <c r="G349" s="0" t="str">
        <f aca="false">IF(F349=1,SUM($F$2:F349),"")</f>
        <v/>
      </c>
      <c r="H349" s="0" t="n">
        <f aca="false">IF(AND(食数記録!$A349=プレビュー!$C$3,食数記録!$B349="朝",食数記録!$F349="女性入所",食数記録!$D349="欠食"),1,0)</f>
        <v>0</v>
      </c>
      <c r="I349" s="0" t="str">
        <f aca="false">IF(H349=1,SUM($H$2:H349),"")</f>
        <v/>
      </c>
      <c r="J349" s="0" t="n">
        <f aca="false">IF(AND(食数記録!$A349=プレビュー!$C$3,食数記録!$B349="昼",食数記録!$F349="女性入所",食数記録!$D349="欠食"),1,0)</f>
        <v>0</v>
      </c>
      <c r="K349" s="0" t="str">
        <f aca="false">IF(J349=1,SUM($J$2:J349),"")</f>
        <v/>
      </c>
      <c r="L349" s="0" t="n">
        <f aca="false">IF(AND(食数記録!$A349=プレビュー!$C$3,食数記録!$B349="夕",食数記録!$F349="女性入所",食数記録!$D349="欠食"),1,0)</f>
        <v>0</v>
      </c>
      <c r="M349" s="0" t="str">
        <f aca="false">IF(L349=1,SUM($L$2:L349),"")</f>
        <v/>
      </c>
      <c r="N349" s="0" t="n">
        <f aca="false">IF(AND(食数記録!$A349=プレビュー!$C$3,食数記録!$B349="朝",食数記録!$F349="男性GH",食数記録!$D349="臨時喫食"),1,0)</f>
        <v>0</v>
      </c>
      <c r="O349" s="0" t="str">
        <f aca="false">IF(N349=1,SUM($N$2:N349),"")</f>
        <v/>
      </c>
      <c r="P349" s="0" t="n">
        <f aca="false">IF(AND(食数記録!$A349=プレビュー!$C$3,食数記録!$B349="昼",食数記録!$F349="男性GH",食数記録!$D349="臨時喫食"),1,0)</f>
        <v>0</v>
      </c>
      <c r="Q349" s="0" t="str">
        <f aca="false">IF(P349=1,SUM($P$2:P349),"")</f>
        <v/>
      </c>
      <c r="R349" s="0" t="n">
        <f aca="false">IF(AND(食数記録!$A349=プレビュー!$C$3,食数記録!$B349="夕",食数記録!$F349="男性GH",食数記録!$D349="臨時喫食"),1,0)</f>
        <v>0</v>
      </c>
      <c r="S349" s="0" t="str">
        <f aca="false">IF(R349=1,SUM($R$2:R349),"")</f>
        <v/>
      </c>
      <c r="T349" s="0" t="n">
        <f aca="false">IF(AND(食数記録!$A349=プレビュー!$C$3,食数記録!$B349="朝",食数記録!$F349="女性GH",食数記録!$D349="臨時喫食"),1,0)</f>
        <v>0</v>
      </c>
      <c r="U349" s="0" t="str">
        <f aca="false">IF(T349=1,SUM($T$2:T349),"")</f>
        <v/>
      </c>
      <c r="V349" s="0" t="n">
        <f aca="false">IF(AND(食数記録!$A349=プレビュー!$C$3,食数記録!$B349="昼",食数記録!$F349="女性GH",食数記録!$D349="臨時喫食"),1,0)</f>
        <v>0</v>
      </c>
      <c r="W349" s="0" t="str">
        <f aca="false">IF(V349=1,SUM($V$2:V349),"")</f>
        <v/>
      </c>
      <c r="X349" s="0" t="n">
        <f aca="false">IF(AND(食数記録!$A349=プレビュー!$C$3,食数記録!$B349="夕",食数記録!$F349="女性GH",食数記録!$D349="臨時喫食"),1,0)</f>
        <v>0</v>
      </c>
      <c r="Y349" s="0" t="str">
        <f aca="false">IF(X349=1,SUM($X$2:X349),"")</f>
        <v/>
      </c>
    </row>
    <row r="350" customFormat="false" ht="15" hidden="false" customHeight="false" outlineLevel="0" collapsed="false">
      <c r="B350" s="0" t="n">
        <f aca="false">IF(AND(食数記録!$A350=プレビュー!$C$3,食数記録!$B350="朝",食数記録!$F350="男性入所",食数記録!$D350="欠食"),1,0)</f>
        <v>0</v>
      </c>
      <c r="C350" s="0" t="str">
        <f aca="false">IF(B350=1,SUM($B$2:B350),"")</f>
        <v/>
      </c>
      <c r="D350" s="0" t="n">
        <f aca="false">IF(AND(食数記録!$A350=プレビュー!$C$3,食数記録!$B350="昼",食数記録!$F350="男性入所",食数記録!$D350="欠食"),1,0)</f>
        <v>0</v>
      </c>
      <c r="E350" s="0" t="str">
        <f aca="false">IF(D350=1,SUM($D$2:D350),"")</f>
        <v/>
      </c>
      <c r="F350" s="0" t="n">
        <f aca="false">IF(AND(食数記録!$A350=プレビュー!$C$3,食数記録!$B350="夕",食数記録!$F350="男性入所",食数記録!$D350="欠食"),1,0)</f>
        <v>0</v>
      </c>
      <c r="G350" s="0" t="str">
        <f aca="false">IF(F350=1,SUM($F$2:F350),"")</f>
        <v/>
      </c>
      <c r="H350" s="0" t="n">
        <f aca="false">IF(AND(食数記録!$A350=プレビュー!$C$3,食数記録!$B350="朝",食数記録!$F350="女性入所",食数記録!$D350="欠食"),1,0)</f>
        <v>0</v>
      </c>
      <c r="I350" s="0" t="str">
        <f aca="false">IF(H350=1,SUM($H$2:H350),"")</f>
        <v/>
      </c>
      <c r="J350" s="0" t="n">
        <f aca="false">IF(AND(食数記録!$A350=プレビュー!$C$3,食数記録!$B350="昼",食数記録!$F350="女性入所",食数記録!$D350="欠食"),1,0)</f>
        <v>0</v>
      </c>
      <c r="K350" s="0" t="str">
        <f aca="false">IF(J350=1,SUM($J$2:J350),"")</f>
        <v/>
      </c>
      <c r="L350" s="0" t="n">
        <f aca="false">IF(AND(食数記録!$A350=プレビュー!$C$3,食数記録!$B350="夕",食数記録!$F350="女性入所",食数記録!$D350="欠食"),1,0)</f>
        <v>0</v>
      </c>
      <c r="M350" s="0" t="str">
        <f aca="false">IF(L350=1,SUM($L$2:L350),"")</f>
        <v/>
      </c>
      <c r="N350" s="0" t="n">
        <f aca="false">IF(AND(食数記録!$A350=プレビュー!$C$3,食数記録!$B350="朝",食数記録!$F350="男性GH",食数記録!$D350="臨時喫食"),1,0)</f>
        <v>0</v>
      </c>
      <c r="O350" s="0" t="str">
        <f aca="false">IF(N350=1,SUM($N$2:N350),"")</f>
        <v/>
      </c>
      <c r="P350" s="0" t="n">
        <f aca="false">IF(AND(食数記録!$A350=プレビュー!$C$3,食数記録!$B350="昼",食数記録!$F350="男性GH",食数記録!$D350="臨時喫食"),1,0)</f>
        <v>0</v>
      </c>
      <c r="Q350" s="0" t="str">
        <f aca="false">IF(P350=1,SUM($P$2:P350),"")</f>
        <v/>
      </c>
      <c r="R350" s="0" t="n">
        <f aca="false">IF(AND(食数記録!$A350=プレビュー!$C$3,食数記録!$B350="夕",食数記録!$F350="男性GH",食数記録!$D350="臨時喫食"),1,0)</f>
        <v>0</v>
      </c>
      <c r="S350" s="0" t="str">
        <f aca="false">IF(R350=1,SUM($R$2:R350),"")</f>
        <v/>
      </c>
      <c r="T350" s="0" t="n">
        <f aca="false">IF(AND(食数記録!$A350=プレビュー!$C$3,食数記録!$B350="朝",食数記録!$F350="女性GH",食数記録!$D350="臨時喫食"),1,0)</f>
        <v>0</v>
      </c>
      <c r="U350" s="0" t="str">
        <f aca="false">IF(T350=1,SUM($T$2:T350),"")</f>
        <v/>
      </c>
      <c r="V350" s="0" t="n">
        <f aca="false">IF(AND(食数記録!$A350=プレビュー!$C$3,食数記録!$B350="昼",食数記録!$F350="女性GH",食数記録!$D350="臨時喫食"),1,0)</f>
        <v>0</v>
      </c>
      <c r="W350" s="0" t="str">
        <f aca="false">IF(V350=1,SUM($V$2:V350),"")</f>
        <v/>
      </c>
      <c r="X350" s="0" t="n">
        <f aca="false">IF(AND(食数記録!$A350=プレビュー!$C$3,食数記録!$B350="夕",食数記録!$F350="女性GH",食数記録!$D350="臨時喫食"),1,0)</f>
        <v>0</v>
      </c>
      <c r="Y350" s="0" t="str">
        <f aca="false">IF(X350=1,SUM($X$2:X350),"")</f>
        <v/>
      </c>
    </row>
    <row r="351" customFormat="false" ht="15" hidden="false" customHeight="false" outlineLevel="0" collapsed="false">
      <c r="B351" s="0" t="n">
        <f aca="false">IF(AND(食数記録!$A351=プレビュー!$C$3,食数記録!$B351="朝",食数記録!$F351="男性入所",食数記録!$D351="欠食"),1,0)</f>
        <v>0</v>
      </c>
      <c r="C351" s="0" t="str">
        <f aca="false">IF(B351=1,SUM($B$2:B351),"")</f>
        <v/>
      </c>
      <c r="D351" s="0" t="n">
        <f aca="false">IF(AND(食数記録!$A351=プレビュー!$C$3,食数記録!$B351="昼",食数記録!$F351="男性入所",食数記録!$D351="欠食"),1,0)</f>
        <v>0</v>
      </c>
      <c r="E351" s="0" t="str">
        <f aca="false">IF(D351=1,SUM($D$2:D351),"")</f>
        <v/>
      </c>
      <c r="F351" s="0" t="n">
        <f aca="false">IF(AND(食数記録!$A351=プレビュー!$C$3,食数記録!$B351="夕",食数記録!$F351="男性入所",食数記録!$D351="欠食"),1,0)</f>
        <v>0</v>
      </c>
      <c r="G351" s="0" t="str">
        <f aca="false">IF(F351=1,SUM($F$2:F351),"")</f>
        <v/>
      </c>
      <c r="H351" s="0" t="n">
        <f aca="false">IF(AND(食数記録!$A351=プレビュー!$C$3,食数記録!$B351="朝",食数記録!$F351="女性入所",食数記録!$D351="欠食"),1,0)</f>
        <v>0</v>
      </c>
      <c r="I351" s="0" t="str">
        <f aca="false">IF(H351=1,SUM($H$2:H351),"")</f>
        <v/>
      </c>
      <c r="J351" s="0" t="n">
        <f aca="false">IF(AND(食数記録!$A351=プレビュー!$C$3,食数記録!$B351="昼",食数記録!$F351="女性入所",食数記録!$D351="欠食"),1,0)</f>
        <v>0</v>
      </c>
      <c r="K351" s="0" t="str">
        <f aca="false">IF(J351=1,SUM($J$2:J351),"")</f>
        <v/>
      </c>
      <c r="L351" s="0" t="n">
        <f aca="false">IF(AND(食数記録!$A351=プレビュー!$C$3,食数記録!$B351="夕",食数記録!$F351="女性入所",食数記録!$D351="欠食"),1,0)</f>
        <v>0</v>
      </c>
      <c r="M351" s="0" t="str">
        <f aca="false">IF(L351=1,SUM($L$2:L351),"")</f>
        <v/>
      </c>
      <c r="N351" s="0" t="n">
        <f aca="false">IF(AND(食数記録!$A351=プレビュー!$C$3,食数記録!$B351="朝",食数記録!$F351="男性GH",食数記録!$D351="臨時喫食"),1,0)</f>
        <v>0</v>
      </c>
      <c r="O351" s="0" t="str">
        <f aca="false">IF(N351=1,SUM($N$2:N351),"")</f>
        <v/>
      </c>
      <c r="P351" s="0" t="n">
        <f aca="false">IF(AND(食数記録!$A351=プレビュー!$C$3,食数記録!$B351="昼",食数記録!$F351="男性GH",食数記録!$D351="臨時喫食"),1,0)</f>
        <v>0</v>
      </c>
      <c r="Q351" s="0" t="str">
        <f aca="false">IF(P351=1,SUM($P$2:P351),"")</f>
        <v/>
      </c>
      <c r="R351" s="0" t="n">
        <f aca="false">IF(AND(食数記録!$A351=プレビュー!$C$3,食数記録!$B351="夕",食数記録!$F351="男性GH",食数記録!$D351="臨時喫食"),1,0)</f>
        <v>0</v>
      </c>
      <c r="S351" s="0" t="str">
        <f aca="false">IF(R351=1,SUM($R$2:R351),"")</f>
        <v/>
      </c>
      <c r="T351" s="0" t="n">
        <f aca="false">IF(AND(食数記録!$A351=プレビュー!$C$3,食数記録!$B351="朝",食数記録!$F351="女性GH",食数記録!$D351="臨時喫食"),1,0)</f>
        <v>0</v>
      </c>
      <c r="U351" s="0" t="str">
        <f aca="false">IF(T351=1,SUM($T$2:T351),"")</f>
        <v/>
      </c>
      <c r="V351" s="0" t="n">
        <f aca="false">IF(AND(食数記録!$A351=プレビュー!$C$3,食数記録!$B351="昼",食数記録!$F351="女性GH",食数記録!$D351="臨時喫食"),1,0)</f>
        <v>0</v>
      </c>
      <c r="W351" s="0" t="str">
        <f aca="false">IF(V351=1,SUM($V$2:V351),"")</f>
        <v/>
      </c>
      <c r="X351" s="0" t="n">
        <f aca="false">IF(AND(食数記録!$A351=プレビュー!$C$3,食数記録!$B351="夕",食数記録!$F351="女性GH",食数記録!$D351="臨時喫食"),1,0)</f>
        <v>0</v>
      </c>
      <c r="Y351" s="0" t="str">
        <f aca="false">IF(X351=1,SUM($X$2:X351),"")</f>
        <v/>
      </c>
    </row>
    <row r="352" customFormat="false" ht="15" hidden="false" customHeight="false" outlineLevel="0" collapsed="false">
      <c r="B352" s="0" t="n">
        <f aca="false">IF(AND(食数記録!$A352=プレビュー!$C$3,食数記録!$B352="朝",食数記録!$F352="男性入所",食数記録!$D352="欠食"),1,0)</f>
        <v>0</v>
      </c>
      <c r="C352" s="0" t="str">
        <f aca="false">IF(B352=1,SUM($B$2:B352),"")</f>
        <v/>
      </c>
      <c r="D352" s="0" t="n">
        <f aca="false">IF(AND(食数記録!$A352=プレビュー!$C$3,食数記録!$B352="昼",食数記録!$F352="男性入所",食数記録!$D352="欠食"),1,0)</f>
        <v>0</v>
      </c>
      <c r="E352" s="0" t="str">
        <f aca="false">IF(D352=1,SUM($D$2:D352),"")</f>
        <v/>
      </c>
      <c r="F352" s="0" t="n">
        <f aca="false">IF(AND(食数記録!$A352=プレビュー!$C$3,食数記録!$B352="夕",食数記録!$F352="男性入所",食数記録!$D352="欠食"),1,0)</f>
        <v>0</v>
      </c>
      <c r="G352" s="0" t="str">
        <f aca="false">IF(F352=1,SUM($F$2:F352),"")</f>
        <v/>
      </c>
      <c r="H352" s="0" t="n">
        <f aca="false">IF(AND(食数記録!$A352=プレビュー!$C$3,食数記録!$B352="朝",食数記録!$F352="女性入所",食数記録!$D352="欠食"),1,0)</f>
        <v>0</v>
      </c>
      <c r="I352" s="0" t="str">
        <f aca="false">IF(H352=1,SUM($H$2:H352),"")</f>
        <v/>
      </c>
      <c r="J352" s="0" t="n">
        <f aca="false">IF(AND(食数記録!$A352=プレビュー!$C$3,食数記録!$B352="昼",食数記録!$F352="女性入所",食数記録!$D352="欠食"),1,0)</f>
        <v>0</v>
      </c>
      <c r="K352" s="0" t="str">
        <f aca="false">IF(J352=1,SUM($J$2:J352),"")</f>
        <v/>
      </c>
      <c r="L352" s="0" t="n">
        <f aca="false">IF(AND(食数記録!$A352=プレビュー!$C$3,食数記録!$B352="夕",食数記録!$F352="女性入所",食数記録!$D352="欠食"),1,0)</f>
        <v>0</v>
      </c>
      <c r="M352" s="0" t="str">
        <f aca="false">IF(L352=1,SUM($L$2:L352),"")</f>
        <v/>
      </c>
      <c r="N352" s="0" t="n">
        <f aca="false">IF(AND(食数記録!$A352=プレビュー!$C$3,食数記録!$B352="朝",食数記録!$F352="男性GH",食数記録!$D352="臨時喫食"),1,0)</f>
        <v>0</v>
      </c>
      <c r="O352" s="0" t="str">
        <f aca="false">IF(N352=1,SUM($N$2:N352),"")</f>
        <v/>
      </c>
      <c r="P352" s="0" t="n">
        <f aca="false">IF(AND(食数記録!$A352=プレビュー!$C$3,食数記録!$B352="昼",食数記録!$F352="男性GH",食数記録!$D352="臨時喫食"),1,0)</f>
        <v>0</v>
      </c>
      <c r="Q352" s="0" t="str">
        <f aca="false">IF(P352=1,SUM($P$2:P352),"")</f>
        <v/>
      </c>
      <c r="R352" s="0" t="n">
        <f aca="false">IF(AND(食数記録!$A352=プレビュー!$C$3,食数記録!$B352="夕",食数記録!$F352="男性GH",食数記録!$D352="臨時喫食"),1,0)</f>
        <v>0</v>
      </c>
      <c r="S352" s="0" t="str">
        <f aca="false">IF(R352=1,SUM($R$2:R352),"")</f>
        <v/>
      </c>
      <c r="T352" s="0" t="n">
        <f aca="false">IF(AND(食数記録!$A352=プレビュー!$C$3,食数記録!$B352="朝",食数記録!$F352="女性GH",食数記録!$D352="臨時喫食"),1,0)</f>
        <v>0</v>
      </c>
      <c r="U352" s="0" t="str">
        <f aca="false">IF(T352=1,SUM($T$2:T352),"")</f>
        <v/>
      </c>
      <c r="V352" s="0" t="n">
        <f aca="false">IF(AND(食数記録!$A352=プレビュー!$C$3,食数記録!$B352="昼",食数記録!$F352="女性GH",食数記録!$D352="臨時喫食"),1,0)</f>
        <v>0</v>
      </c>
      <c r="W352" s="0" t="str">
        <f aca="false">IF(V352=1,SUM($V$2:V352),"")</f>
        <v/>
      </c>
      <c r="X352" s="0" t="n">
        <f aca="false">IF(AND(食数記録!$A352=プレビュー!$C$3,食数記録!$B352="夕",食数記録!$F352="女性GH",食数記録!$D352="臨時喫食"),1,0)</f>
        <v>0</v>
      </c>
      <c r="Y352" s="0" t="str">
        <f aca="false">IF(X352=1,SUM($X$2:X352),"")</f>
        <v/>
      </c>
    </row>
    <row r="353" customFormat="false" ht="15" hidden="false" customHeight="false" outlineLevel="0" collapsed="false">
      <c r="B353" s="0" t="n">
        <f aca="false">IF(AND(食数記録!$A353=プレビュー!$C$3,食数記録!$B353="朝",食数記録!$F353="男性入所",食数記録!$D353="欠食"),1,0)</f>
        <v>0</v>
      </c>
      <c r="C353" s="0" t="str">
        <f aca="false">IF(B353=1,SUM($B$2:B353),"")</f>
        <v/>
      </c>
      <c r="D353" s="0" t="n">
        <f aca="false">IF(AND(食数記録!$A353=プレビュー!$C$3,食数記録!$B353="昼",食数記録!$F353="男性入所",食数記録!$D353="欠食"),1,0)</f>
        <v>0</v>
      </c>
      <c r="E353" s="0" t="str">
        <f aca="false">IF(D353=1,SUM($D$2:D353),"")</f>
        <v/>
      </c>
      <c r="F353" s="0" t="n">
        <f aca="false">IF(AND(食数記録!$A353=プレビュー!$C$3,食数記録!$B353="夕",食数記録!$F353="男性入所",食数記録!$D353="欠食"),1,0)</f>
        <v>0</v>
      </c>
      <c r="G353" s="0" t="str">
        <f aca="false">IF(F353=1,SUM($F$2:F353),"")</f>
        <v/>
      </c>
      <c r="H353" s="0" t="n">
        <f aca="false">IF(AND(食数記録!$A353=プレビュー!$C$3,食数記録!$B353="朝",食数記録!$F353="女性入所",食数記録!$D353="欠食"),1,0)</f>
        <v>0</v>
      </c>
      <c r="I353" s="0" t="str">
        <f aca="false">IF(H353=1,SUM($H$2:H353),"")</f>
        <v/>
      </c>
      <c r="J353" s="0" t="n">
        <f aca="false">IF(AND(食数記録!$A353=プレビュー!$C$3,食数記録!$B353="昼",食数記録!$F353="女性入所",食数記録!$D353="欠食"),1,0)</f>
        <v>0</v>
      </c>
      <c r="K353" s="0" t="str">
        <f aca="false">IF(J353=1,SUM($J$2:J353),"")</f>
        <v/>
      </c>
      <c r="L353" s="0" t="n">
        <f aca="false">IF(AND(食数記録!$A353=プレビュー!$C$3,食数記録!$B353="夕",食数記録!$F353="女性入所",食数記録!$D353="欠食"),1,0)</f>
        <v>0</v>
      </c>
      <c r="M353" s="0" t="str">
        <f aca="false">IF(L353=1,SUM($L$2:L353),"")</f>
        <v/>
      </c>
      <c r="N353" s="0" t="n">
        <f aca="false">IF(AND(食数記録!$A353=プレビュー!$C$3,食数記録!$B353="朝",食数記録!$F353="男性GH",食数記録!$D353="臨時喫食"),1,0)</f>
        <v>0</v>
      </c>
      <c r="O353" s="0" t="str">
        <f aca="false">IF(N353=1,SUM($N$2:N353),"")</f>
        <v/>
      </c>
      <c r="P353" s="0" t="n">
        <f aca="false">IF(AND(食数記録!$A353=プレビュー!$C$3,食数記録!$B353="昼",食数記録!$F353="男性GH",食数記録!$D353="臨時喫食"),1,0)</f>
        <v>0</v>
      </c>
      <c r="Q353" s="0" t="str">
        <f aca="false">IF(P353=1,SUM($P$2:P353),"")</f>
        <v/>
      </c>
      <c r="R353" s="0" t="n">
        <f aca="false">IF(AND(食数記録!$A353=プレビュー!$C$3,食数記録!$B353="夕",食数記録!$F353="男性GH",食数記録!$D353="臨時喫食"),1,0)</f>
        <v>0</v>
      </c>
      <c r="S353" s="0" t="str">
        <f aca="false">IF(R353=1,SUM($R$2:R353),"")</f>
        <v/>
      </c>
      <c r="T353" s="0" t="n">
        <f aca="false">IF(AND(食数記録!$A353=プレビュー!$C$3,食数記録!$B353="朝",食数記録!$F353="女性GH",食数記録!$D353="臨時喫食"),1,0)</f>
        <v>0</v>
      </c>
      <c r="U353" s="0" t="str">
        <f aca="false">IF(T353=1,SUM($T$2:T353),"")</f>
        <v/>
      </c>
      <c r="V353" s="0" t="n">
        <f aca="false">IF(AND(食数記録!$A353=プレビュー!$C$3,食数記録!$B353="昼",食数記録!$F353="女性GH",食数記録!$D353="臨時喫食"),1,0)</f>
        <v>0</v>
      </c>
      <c r="W353" s="0" t="str">
        <f aca="false">IF(V353=1,SUM($V$2:V353),"")</f>
        <v/>
      </c>
      <c r="X353" s="0" t="n">
        <f aca="false">IF(AND(食数記録!$A353=プレビュー!$C$3,食数記録!$B353="夕",食数記録!$F353="女性GH",食数記録!$D353="臨時喫食"),1,0)</f>
        <v>0</v>
      </c>
      <c r="Y353" s="0" t="str">
        <f aca="false">IF(X353=1,SUM($X$2:X353),"")</f>
        <v/>
      </c>
    </row>
    <row r="354" customFormat="false" ht="15" hidden="false" customHeight="false" outlineLevel="0" collapsed="false">
      <c r="B354" s="0" t="n">
        <f aca="false">IF(AND(食数記録!$A354=プレビュー!$C$3,食数記録!$B354="朝",食数記録!$F354="男性入所",食数記録!$D354="欠食"),1,0)</f>
        <v>0</v>
      </c>
      <c r="C354" s="0" t="str">
        <f aca="false">IF(B354=1,SUM($B$2:B354),"")</f>
        <v/>
      </c>
      <c r="D354" s="0" t="n">
        <f aca="false">IF(AND(食数記録!$A354=プレビュー!$C$3,食数記録!$B354="昼",食数記録!$F354="男性入所",食数記録!$D354="欠食"),1,0)</f>
        <v>0</v>
      </c>
      <c r="E354" s="0" t="str">
        <f aca="false">IF(D354=1,SUM($D$2:D354),"")</f>
        <v/>
      </c>
      <c r="F354" s="0" t="n">
        <f aca="false">IF(AND(食数記録!$A354=プレビュー!$C$3,食数記録!$B354="夕",食数記録!$F354="男性入所",食数記録!$D354="欠食"),1,0)</f>
        <v>0</v>
      </c>
      <c r="G354" s="0" t="str">
        <f aca="false">IF(F354=1,SUM($F$2:F354),"")</f>
        <v/>
      </c>
      <c r="H354" s="0" t="n">
        <f aca="false">IF(AND(食数記録!$A354=プレビュー!$C$3,食数記録!$B354="朝",食数記録!$F354="女性入所",食数記録!$D354="欠食"),1,0)</f>
        <v>0</v>
      </c>
      <c r="I354" s="0" t="str">
        <f aca="false">IF(H354=1,SUM($H$2:H354),"")</f>
        <v/>
      </c>
      <c r="J354" s="0" t="n">
        <f aca="false">IF(AND(食数記録!$A354=プレビュー!$C$3,食数記録!$B354="昼",食数記録!$F354="女性入所",食数記録!$D354="欠食"),1,0)</f>
        <v>0</v>
      </c>
      <c r="K354" s="0" t="str">
        <f aca="false">IF(J354=1,SUM($J$2:J354),"")</f>
        <v/>
      </c>
      <c r="L354" s="0" t="n">
        <f aca="false">IF(AND(食数記録!$A354=プレビュー!$C$3,食数記録!$B354="夕",食数記録!$F354="女性入所",食数記録!$D354="欠食"),1,0)</f>
        <v>0</v>
      </c>
      <c r="M354" s="0" t="str">
        <f aca="false">IF(L354=1,SUM($L$2:L354),"")</f>
        <v/>
      </c>
      <c r="N354" s="0" t="n">
        <f aca="false">IF(AND(食数記録!$A354=プレビュー!$C$3,食数記録!$B354="朝",食数記録!$F354="男性GH",食数記録!$D354="臨時喫食"),1,0)</f>
        <v>0</v>
      </c>
      <c r="O354" s="0" t="str">
        <f aca="false">IF(N354=1,SUM($N$2:N354),"")</f>
        <v/>
      </c>
      <c r="P354" s="0" t="n">
        <f aca="false">IF(AND(食数記録!$A354=プレビュー!$C$3,食数記録!$B354="昼",食数記録!$F354="男性GH",食数記録!$D354="臨時喫食"),1,0)</f>
        <v>0</v>
      </c>
      <c r="Q354" s="0" t="str">
        <f aca="false">IF(P354=1,SUM($P$2:P354),"")</f>
        <v/>
      </c>
      <c r="R354" s="0" t="n">
        <f aca="false">IF(AND(食数記録!$A354=プレビュー!$C$3,食数記録!$B354="夕",食数記録!$F354="男性GH",食数記録!$D354="臨時喫食"),1,0)</f>
        <v>0</v>
      </c>
      <c r="S354" s="0" t="str">
        <f aca="false">IF(R354=1,SUM($R$2:R354),"")</f>
        <v/>
      </c>
      <c r="T354" s="0" t="n">
        <f aca="false">IF(AND(食数記録!$A354=プレビュー!$C$3,食数記録!$B354="朝",食数記録!$F354="女性GH",食数記録!$D354="臨時喫食"),1,0)</f>
        <v>0</v>
      </c>
      <c r="U354" s="0" t="str">
        <f aca="false">IF(T354=1,SUM($T$2:T354),"")</f>
        <v/>
      </c>
      <c r="V354" s="0" t="n">
        <f aca="false">IF(AND(食数記録!$A354=プレビュー!$C$3,食数記録!$B354="昼",食数記録!$F354="女性GH",食数記録!$D354="臨時喫食"),1,0)</f>
        <v>0</v>
      </c>
      <c r="W354" s="0" t="str">
        <f aca="false">IF(V354=1,SUM($V$2:V354),"")</f>
        <v/>
      </c>
      <c r="X354" s="0" t="n">
        <f aca="false">IF(AND(食数記録!$A354=プレビュー!$C$3,食数記録!$B354="夕",食数記録!$F354="女性GH",食数記録!$D354="臨時喫食"),1,0)</f>
        <v>0</v>
      </c>
      <c r="Y354" s="0" t="str">
        <f aca="false">IF(X354=1,SUM($X$2:X354),"")</f>
        <v/>
      </c>
    </row>
    <row r="355" customFormat="false" ht="15" hidden="false" customHeight="false" outlineLevel="0" collapsed="false">
      <c r="B355" s="0" t="n">
        <f aca="false">IF(AND(食数記録!$A355=プレビュー!$C$3,食数記録!$B355="朝",食数記録!$F355="男性入所",食数記録!$D355="欠食"),1,0)</f>
        <v>0</v>
      </c>
      <c r="C355" s="0" t="str">
        <f aca="false">IF(B355=1,SUM($B$2:B355),"")</f>
        <v/>
      </c>
      <c r="D355" s="0" t="n">
        <f aca="false">IF(AND(食数記録!$A355=プレビュー!$C$3,食数記録!$B355="昼",食数記録!$F355="男性入所",食数記録!$D355="欠食"),1,0)</f>
        <v>0</v>
      </c>
      <c r="E355" s="0" t="str">
        <f aca="false">IF(D355=1,SUM($D$2:D355),"")</f>
        <v/>
      </c>
      <c r="F355" s="0" t="n">
        <f aca="false">IF(AND(食数記録!$A355=プレビュー!$C$3,食数記録!$B355="夕",食数記録!$F355="男性入所",食数記録!$D355="欠食"),1,0)</f>
        <v>0</v>
      </c>
      <c r="G355" s="0" t="str">
        <f aca="false">IF(F355=1,SUM($F$2:F355),"")</f>
        <v/>
      </c>
      <c r="H355" s="0" t="n">
        <f aca="false">IF(AND(食数記録!$A355=プレビュー!$C$3,食数記録!$B355="朝",食数記録!$F355="女性入所",食数記録!$D355="欠食"),1,0)</f>
        <v>0</v>
      </c>
      <c r="I355" s="0" t="str">
        <f aca="false">IF(H355=1,SUM($H$2:H355),"")</f>
        <v/>
      </c>
      <c r="J355" s="0" t="n">
        <f aca="false">IF(AND(食数記録!$A355=プレビュー!$C$3,食数記録!$B355="昼",食数記録!$F355="女性入所",食数記録!$D355="欠食"),1,0)</f>
        <v>0</v>
      </c>
      <c r="K355" s="0" t="str">
        <f aca="false">IF(J355=1,SUM($J$2:J355),"")</f>
        <v/>
      </c>
      <c r="L355" s="0" t="n">
        <f aca="false">IF(AND(食数記録!$A355=プレビュー!$C$3,食数記録!$B355="夕",食数記録!$F355="女性入所",食数記録!$D355="欠食"),1,0)</f>
        <v>0</v>
      </c>
      <c r="M355" s="0" t="str">
        <f aca="false">IF(L355=1,SUM($L$2:L355),"")</f>
        <v/>
      </c>
      <c r="N355" s="0" t="n">
        <f aca="false">IF(AND(食数記録!$A355=プレビュー!$C$3,食数記録!$B355="朝",食数記録!$F355="男性GH",食数記録!$D355="臨時喫食"),1,0)</f>
        <v>0</v>
      </c>
      <c r="O355" s="0" t="str">
        <f aca="false">IF(N355=1,SUM($N$2:N355),"")</f>
        <v/>
      </c>
      <c r="P355" s="0" t="n">
        <f aca="false">IF(AND(食数記録!$A355=プレビュー!$C$3,食数記録!$B355="昼",食数記録!$F355="男性GH",食数記録!$D355="臨時喫食"),1,0)</f>
        <v>0</v>
      </c>
      <c r="Q355" s="0" t="str">
        <f aca="false">IF(P355=1,SUM($P$2:P355),"")</f>
        <v/>
      </c>
      <c r="R355" s="0" t="n">
        <f aca="false">IF(AND(食数記録!$A355=プレビュー!$C$3,食数記録!$B355="夕",食数記録!$F355="男性GH",食数記録!$D355="臨時喫食"),1,0)</f>
        <v>0</v>
      </c>
      <c r="S355" s="0" t="str">
        <f aca="false">IF(R355=1,SUM($R$2:R355),"")</f>
        <v/>
      </c>
      <c r="T355" s="0" t="n">
        <f aca="false">IF(AND(食数記録!$A355=プレビュー!$C$3,食数記録!$B355="朝",食数記録!$F355="女性GH",食数記録!$D355="臨時喫食"),1,0)</f>
        <v>0</v>
      </c>
      <c r="U355" s="0" t="str">
        <f aca="false">IF(T355=1,SUM($T$2:T355),"")</f>
        <v/>
      </c>
      <c r="V355" s="0" t="n">
        <f aca="false">IF(AND(食数記録!$A355=プレビュー!$C$3,食数記録!$B355="昼",食数記録!$F355="女性GH",食数記録!$D355="臨時喫食"),1,0)</f>
        <v>0</v>
      </c>
      <c r="W355" s="0" t="str">
        <f aca="false">IF(V355=1,SUM($V$2:V355),"")</f>
        <v/>
      </c>
      <c r="X355" s="0" t="n">
        <f aca="false">IF(AND(食数記録!$A355=プレビュー!$C$3,食数記録!$B355="夕",食数記録!$F355="女性GH",食数記録!$D355="臨時喫食"),1,0)</f>
        <v>0</v>
      </c>
      <c r="Y355" s="0" t="str">
        <f aca="false">IF(X355=1,SUM($X$2:X355),"")</f>
        <v/>
      </c>
    </row>
    <row r="356" customFormat="false" ht="15" hidden="false" customHeight="false" outlineLevel="0" collapsed="false">
      <c r="B356" s="0" t="n">
        <f aca="false">IF(AND(食数記録!$A356=プレビュー!$C$3,食数記録!$B356="朝",食数記録!$F356="男性入所",食数記録!$D356="欠食"),1,0)</f>
        <v>0</v>
      </c>
      <c r="C356" s="0" t="str">
        <f aca="false">IF(B356=1,SUM($B$2:B356),"")</f>
        <v/>
      </c>
      <c r="D356" s="0" t="n">
        <f aca="false">IF(AND(食数記録!$A356=プレビュー!$C$3,食数記録!$B356="昼",食数記録!$F356="男性入所",食数記録!$D356="欠食"),1,0)</f>
        <v>0</v>
      </c>
      <c r="E356" s="0" t="str">
        <f aca="false">IF(D356=1,SUM($D$2:D356),"")</f>
        <v/>
      </c>
      <c r="F356" s="0" t="n">
        <f aca="false">IF(AND(食数記録!$A356=プレビュー!$C$3,食数記録!$B356="夕",食数記録!$F356="男性入所",食数記録!$D356="欠食"),1,0)</f>
        <v>0</v>
      </c>
      <c r="G356" s="0" t="str">
        <f aca="false">IF(F356=1,SUM($F$2:F356),"")</f>
        <v/>
      </c>
      <c r="H356" s="0" t="n">
        <f aca="false">IF(AND(食数記録!$A356=プレビュー!$C$3,食数記録!$B356="朝",食数記録!$F356="女性入所",食数記録!$D356="欠食"),1,0)</f>
        <v>0</v>
      </c>
      <c r="I356" s="0" t="str">
        <f aca="false">IF(H356=1,SUM($H$2:H356),"")</f>
        <v/>
      </c>
      <c r="J356" s="0" t="n">
        <f aca="false">IF(AND(食数記録!$A356=プレビュー!$C$3,食数記録!$B356="昼",食数記録!$F356="女性入所",食数記録!$D356="欠食"),1,0)</f>
        <v>0</v>
      </c>
      <c r="K356" s="0" t="str">
        <f aca="false">IF(J356=1,SUM($J$2:J356),"")</f>
        <v/>
      </c>
      <c r="L356" s="0" t="n">
        <f aca="false">IF(AND(食数記録!$A356=プレビュー!$C$3,食数記録!$B356="夕",食数記録!$F356="女性入所",食数記録!$D356="欠食"),1,0)</f>
        <v>0</v>
      </c>
      <c r="M356" s="0" t="str">
        <f aca="false">IF(L356=1,SUM($L$2:L356),"")</f>
        <v/>
      </c>
      <c r="N356" s="0" t="n">
        <f aca="false">IF(AND(食数記録!$A356=プレビュー!$C$3,食数記録!$B356="朝",食数記録!$F356="男性GH",食数記録!$D356="臨時喫食"),1,0)</f>
        <v>0</v>
      </c>
      <c r="O356" s="0" t="str">
        <f aca="false">IF(N356=1,SUM($N$2:N356),"")</f>
        <v/>
      </c>
      <c r="P356" s="0" t="n">
        <f aca="false">IF(AND(食数記録!$A356=プレビュー!$C$3,食数記録!$B356="昼",食数記録!$F356="男性GH",食数記録!$D356="臨時喫食"),1,0)</f>
        <v>0</v>
      </c>
      <c r="Q356" s="0" t="str">
        <f aca="false">IF(P356=1,SUM($P$2:P356),"")</f>
        <v/>
      </c>
      <c r="R356" s="0" t="n">
        <f aca="false">IF(AND(食数記録!$A356=プレビュー!$C$3,食数記録!$B356="夕",食数記録!$F356="男性GH",食数記録!$D356="臨時喫食"),1,0)</f>
        <v>0</v>
      </c>
      <c r="S356" s="0" t="str">
        <f aca="false">IF(R356=1,SUM($R$2:R356),"")</f>
        <v/>
      </c>
      <c r="T356" s="0" t="n">
        <f aca="false">IF(AND(食数記録!$A356=プレビュー!$C$3,食数記録!$B356="朝",食数記録!$F356="女性GH",食数記録!$D356="臨時喫食"),1,0)</f>
        <v>0</v>
      </c>
      <c r="U356" s="0" t="str">
        <f aca="false">IF(T356=1,SUM($T$2:T356),"")</f>
        <v/>
      </c>
      <c r="V356" s="0" t="n">
        <f aca="false">IF(AND(食数記録!$A356=プレビュー!$C$3,食数記録!$B356="昼",食数記録!$F356="女性GH",食数記録!$D356="臨時喫食"),1,0)</f>
        <v>0</v>
      </c>
      <c r="W356" s="0" t="str">
        <f aca="false">IF(V356=1,SUM($V$2:V356),"")</f>
        <v/>
      </c>
      <c r="X356" s="0" t="n">
        <f aca="false">IF(AND(食数記録!$A356=プレビュー!$C$3,食数記録!$B356="夕",食数記録!$F356="女性GH",食数記録!$D356="臨時喫食"),1,0)</f>
        <v>0</v>
      </c>
      <c r="Y356" s="0" t="str">
        <f aca="false">IF(X356=1,SUM($X$2:X356),"")</f>
        <v/>
      </c>
    </row>
    <row r="357" customFormat="false" ht="15" hidden="false" customHeight="false" outlineLevel="0" collapsed="false">
      <c r="B357" s="0" t="n">
        <f aca="false">IF(AND(食数記録!$A357=プレビュー!$C$3,食数記録!$B357="朝",食数記録!$F357="男性入所",食数記録!$D357="欠食"),1,0)</f>
        <v>0</v>
      </c>
      <c r="C357" s="0" t="str">
        <f aca="false">IF(B357=1,SUM($B$2:B357),"")</f>
        <v/>
      </c>
      <c r="D357" s="0" t="n">
        <f aca="false">IF(AND(食数記録!$A357=プレビュー!$C$3,食数記録!$B357="昼",食数記録!$F357="男性入所",食数記録!$D357="欠食"),1,0)</f>
        <v>0</v>
      </c>
      <c r="E357" s="0" t="str">
        <f aca="false">IF(D357=1,SUM($D$2:D357),"")</f>
        <v/>
      </c>
      <c r="F357" s="0" t="n">
        <f aca="false">IF(AND(食数記録!$A357=プレビュー!$C$3,食数記録!$B357="夕",食数記録!$F357="男性入所",食数記録!$D357="欠食"),1,0)</f>
        <v>0</v>
      </c>
      <c r="G357" s="0" t="str">
        <f aca="false">IF(F357=1,SUM($F$2:F357),"")</f>
        <v/>
      </c>
      <c r="H357" s="0" t="n">
        <f aca="false">IF(AND(食数記録!$A357=プレビュー!$C$3,食数記録!$B357="朝",食数記録!$F357="女性入所",食数記録!$D357="欠食"),1,0)</f>
        <v>0</v>
      </c>
      <c r="I357" s="0" t="str">
        <f aca="false">IF(H357=1,SUM($H$2:H357),"")</f>
        <v/>
      </c>
      <c r="J357" s="0" t="n">
        <f aca="false">IF(AND(食数記録!$A357=プレビュー!$C$3,食数記録!$B357="昼",食数記録!$F357="女性入所",食数記録!$D357="欠食"),1,0)</f>
        <v>0</v>
      </c>
      <c r="K357" s="0" t="str">
        <f aca="false">IF(J357=1,SUM($J$2:J357),"")</f>
        <v/>
      </c>
      <c r="L357" s="0" t="n">
        <f aca="false">IF(AND(食数記録!$A357=プレビュー!$C$3,食数記録!$B357="夕",食数記録!$F357="女性入所",食数記録!$D357="欠食"),1,0)</f>
        <v>0</v>
      </c>
      <c r="M357" s="0" t="str">
        <f aca="false">IF(L357=1,SUM($L$2:L357),"")</f>
        <v/>
      </c>
      <c r="N357" s="0" t="n">
        <f aca="false">IF(AND(食数記録!$A357=プレビュー!$C$3,食数記録!$B357="朝",食数記録!$F357="男性GH",食数記録!$D357="臨時喫食"),1,0)</f>
        <v>0</v>
      </c>
      <c r="O357" s="0" t="str">
        <f aca="false">IF(N357=1,SUM($N$2:N357),"")</f>
        <v/>
      </c>
      <c r="P357" s="0" t="n">
        <f aca="false">IF(AND(食数記録!$A357=プレビュー!$C$3,食数記録!$B357="昼",食数記録!$F357="男性GH",食数記録!$D357="臨時喫食"),1,0)</f>
        <v>0</v>
      </c>
      <c r="Q357" s="0" t="str">
        <f aca="false">IF(P357=1,SUM($P$2:P357),"")</f>
        <v/>
      </c>
      <c r="R357" s="0" t="n">
        <f aca="false">IF(AND(食数記録!$A357=プレビュー!$C$3,食数記録!$B357="夕",食数記録!$F357="男性GH",食数記録!$D357="臨時喫食"),1,0)</f>
        <v>0</v>
      </c>
      <c r="S357" s="0" t="str">
        <f aca="false">IF(R357=1,SUM($R$2:R357),"")</f>
        <v/>
      </c>
      <c r="T357" s="0" t="n">
        <f aca="false">IF(AND(食数記録!$A357=プレビュー!$C$3,食数記録!$B357="朝",食数記録!$F357="女性GH",食数記録!$D357="臨時喫食"),1,0)</f>
        <v>0</v>
      </c>
      <c r="U357" s="0" t="str">
        <f aca="false">IF(T357=1,SUM($T$2:T357),"")</f>
        <v/>
      </c>
      <c r="V357" s="0" t="n">
        <f aca="false">IF(AND(食数記録!$A357=プレビュー!$C$3,食数記録!$B357="昼",食数記録!$F357="女性GH",食数記録!$D357="臨時喫食"),1,0)</f>
        <v>0</v>
      </c>
      <c r="W357" s="0" t="str">
        <f aca="false">IF(V357=1,SUM($V$2:V357),"")</f>
        <v/>
      </c>
      <c r="X357" s="0" t="n">
        <f aca="false">IF(AND(食数記録!$A357=プレビュー!$C$3,食数記録!$B357="夕",食数記録!$F357="女性GH",食数記録!$D357="臨時喫食"),1,0)</f>
        <v>0</v>
      </c>
      <c r="Y357" s="0" t="str">
        <f aca="false">IF(X357=1,SUM($X$2:X357),"")</f>
        <v/>
      </c>
    </row>
    <row r="358" customFormat="false" ht="15" hidden="false" customHeight="false" outlineLevel="0" collapsed="false">
      <c r="B358" s="0" t="n">
        <f aca="false">IF(AND(食数記録!$A358=プレビュー!$C$3,食数記録!$B358="朝",食数記録!$F358="男性入所",食数記録!$D358="欠食"),1,0)</f>
        <v>0</v>
      </c>
      <c r="C358" s="0" t="str">
        <f aca="false">IF(B358=1,SUM($B$2:B358),"")</f>
        <v/>
      </c>
      <c r="D358" s="0" t="n">
        <f aca="false">IF(AND(食数記録!$A358=プレビュー!$C$3,食数記録!$B358="昼",食数記録!$F358="男性入所",食数記録!$D358="欠食"),1,0)</f>
        <v>0</v>
      </c>
      <c r="E358" s="0" t="str">
        <f aca="false">IF(D358=1,SUM($D$2:D358),"")</f>
        <v/>
      </c>
      <c r="F358" s="0" t="n">
        <f aca="false">IF(AND(食数記録!$A358=プレビュー!$C$3,食数記録!$B358="夕",食数記録!$F358="男性入所",食数記録!$D358="欠食"),1,0)</f>
        <v>0</v>
      </c>
      <c r="G358" s="0" t="str">
        <f aca="false">IF(F358=1,SUM($F$2:F358),"")</f>
        <v/>
      </c>
      <c r="H358" s="0" t="n">
        <f aca="false">IF(AND(食数記録!$A358=プレビュー!$C$3,食数記録!$B358="朝",食数記録!$F358="女性入所",食数記録!$D358="欠食"),1,0)</f>
        <v>0</v>
      </c>
      <c r="I358" s="0" t="str">
        <f aca="false">IF(H358=1,SUM($H$2:H358),"")</f>
        <v/>
      </c>
      <c r="J358" s="0" t="n">
        <f aca="false">IF(AND(食数記録!$A358=プレビュー!$C$3,食数記録!$B358="昼",食数記録!$F358="女性入所",食数記録!$D358="欠食"),1,0)</f>
        <v>0</v>
      </c>
      <c r="K358" s="0" t="str">
        <f aca="false">IF(J358=1,SUM($J$2:J358),"")</f>
        <v/>
      </c>
      <c r="L358" s="0" t="n">
        <f aca="false">IF(AND(食数記録!$A358=プレビュー!$C$3,食数記録!$B358="夕",食数記録!$F358="女性入所",食数記録!$D358="欠食"),1,0)</f>
        <v>0</v>
      </c>
      <c r="M358" s="0" t="str">
        <f aca="false">IF(L358=1,SUM($L$2:L358),"")</f>
        <v/>
      </c>
      <c r="N358" s="0" t="n">
        <f aca="false">IF(AND(食数記録!$A358=プレビュー!$C$3,食数記録!$B358="朝",食数記録!$F358="男性GH",食数記録!$D358="臨時喫食"),1,0)</f>
        <v>0</v>
      </c>
      <c r="O358" s="0" t="str">
        <f aca="false">IF(N358=1,SUM($N$2:N358),"")</f>
        <v/>
      </c>
      <c r="P358" s="0" t="n">
        <f aca="false">IF(AND(食数記録!$A358=プレビュー!$C$3,食数記録!$B358="昼",食数記録!$F358="男性GH",食数記録!$D358="臨時喫食"),1,0)</f>
        <v>0</v>
      </c>
      <c r="Q358" s="0" t="str">
        <f aca="false">IF(P358=1,SUM($P$2:P358),"")</f>
        <v/>
      </c>
      <c r="R358" s="0" t="n">
        <f aca="false">IF(AND(食数記録!$A358=プレビュー!$C$3,食数記録!$B358="夕",食数記録!$F358="男性GH",食数記録!$D358="臨時喫食"),1,0)</f>
        <v>0</v>
      </c>
      <c r="S358" s="0" t="str">
        <f aca="false">IF(R358=1,SUM($R$2:R358),"")</f>
        <v/>
      </c>
      <c r="T358" s="0" t="n">
        <f aca="false">IF(AND(食数記録!$A358=プレビュー!$C$3,食数記録!$B358="朝",食数記録!$F358="女性GH",食数記録!$D358="臨時喫食"),1,0)</f>
        <v>0</v>
      </c>
      <c r="U358" s="0" t="str">
        <f aca="false">IF(T358=1,SUM($T$2:T358),"")</f>
        <v/>
      </c>
      <c r="V358" s="0" t="n">
        <f aca="false">IF(AND(食数記録!$A358=プレビュー!$C$3,食数記録!$B358="昼",食数記録!$F358="女性GH",食数記録!$D358="臨時喫食"),1,0)</f>
        <v>0</v>
      </c>
      <c r="W358" s="0" t="str">
        <f aca="false">IF(V358=1,SUM($V$2:V358),"")</f>
        <v/>
      </c>
      <c r="X358" s="0" t="n">
        <f aca="false">IF(AND(食数記録!$A358=プレビュー!$C$3,食数記録!$B358="夕",食数記録!$F358="女性GH",食数記録!$D358="臨時喫食"),1,0)</f>
        <v>0</v>
      </c>
      <c r="Y358" s="0" t="str">
        <f aca="false">IF(X358=1,SUM($X$2:X358),"")</f>
        <v/>
      </c>
    </row>
    <row r="359" customFormat="false" ht="15" hidden="false" customHeight="false" outlineLevel="0" collapsed="false">
      <c r="B359" s="0" t="n">
        <f aca="false">IF(AND(食数記録!$A359=プレビュー!$C$3,食数記録!$B359="朝",食数記録!$F359="男性入所",食数記録!$D359="欠食"),1,0)</f>
        <v>0</v>
      </c>
      <c r="C359" s="0" t="str">
        <f aca="false">IF(B359=1,SUM($B$2:B359),"")</f>
        <v/>
      </c>
      <c r="D359" s="0" t="n">
        <f aca="false">IF(AND(食数記録!$A359=プレビュー!$C$3,食数記録!$B359="昼",食数記録!$F359="男性入所",食数記録!$D359="欠食"),1,0)</f>
        <v>0</v>
      </c>
      <c r="E359" s="0" t="str">
        <f aca="false">IF(D359=1,SUM($D$2:D359),"")</f>
        <v/>
      </c>
      <c r="F359" s="0" t="n">
        <f aca="false">IF(AND(食数記録!$A359=プレビュー!$C$3,食数記録!$B359="夕",食数記録!$F359="男性入所",食数記録!$D359="欠食"),1,0)</f>
        <v>0</v>
      </c>
      <c r="G359" s="0" t="str">
        <f aca="false">IF(F359=1,SUM($F$2:F359),"")</f>
        <v/>
      </c>
      <c r="H359" s="0" t="n">
        <f aca="false">IF(AND(食数記録!$A359=プレビュー!$C$3,食数記録!$B359="朝",食数記録!$F359="女性入所",食数記録!$D359="欠食"),1,0)</f>
        <v>0</v>
      </c>
      <c r="I359" s="0" t="str">
        <f aca="false">IF(H359=1,SUM($H$2:H359),"")</f>
        <v/>
      </c>
      <c r="J359" s="0" t="n">
        <f aca="false">IF(AND(食数記録!$A359=プレビュー!$C$3,食数記録!$B359="昼",食数記録!$F359="女性入所",食数記録!$D359="欠食"),1,0)</f>
        <v>0</v>
      </c>
      <c r="K359" s="0" t="str">
        <f aca="false">IF(J359=1,SUM($J$2:J359),"")</f>
        <v/>
      </c>
      <c r="L359" s="0" t="n">
        <f aca="false">IF(AND(食数記録!$A359=プレビュー!$C$3,食数記録!$B359="夕",食数記録!$F359="女性入所",食数記録!$D359="欠食"),1,0)</f>
        <v>0</v>
      </c>
      <c r="M359" s="0" t="str">
        <f aca="false">IF(L359=1,SUM($L$2:L359),"")</f>
        <v/>
      </c>
      <c r="N359" s="0" t="n">
        <f aca="false">IF(AND(食数記録!$A359=プレビュー!$C$3,食数記録!$B359="朝",食数記録!$F359="男性GH",食数記録!$D359="臨時喫食"),1,0)</f>
        <v>0</v>
      </c>
      <c r="O359" s="0" t="str">
        <f aca="false">IF(N359=1,SUM($N$2:N359),"")</f>
        <v/>
      </c>
      <c r="P359" s="0" t="n">
        <f aca="false">IF(AND(食数記録!$A359=プレビュー!$C$3,食数記録!$B359="昼",食数記録!$F359="男性GH",食数記録!$D359="臨時喫食"),1,0)</f>
        <v>0</v>
      </c>
      <c r="Q359" s="0" t="str">
        <f aca="false">IF(P359=1,SUM($P$2:P359),"")</f>
        <v/>
      </c>
      <c r="R359" s="0" t="n">
        <f aca="false">IF(AND(食数記録!$A359=プレビュー!$C$3,食数記録!$B359="夕",食数記録!$F359="男性GH",食数記録!$D359="臨時喫食"),1,0)</f>
        <v>0</v>
      </c>
      <c r="S359" s="0" t="str">
        <f aca="false">IF(R359=1,SUM($R$2:R359),"")</f>
        <v/>
      </c>
      <c r="T359" s="0" t="n">
        <f aca="false">IF(AND(食数記録!$A359=プレビュー!$C$3,食数記録!$B359="朝",食数記録!$F359="女性GH",食数記録!$D359="臨時喫食"),1,0)</f>
        <v>0</v>
      </c>
      <c r="U359" s="0" t="str">
        <f aca="false">IF(T359=1,SUM($T$2:T359),"")</f>
        <v/>
      </c>
      <c r="V359" s="0" t="n">
        <f aca="false">IF(AND(食数記録!$A359=プレビュー!$C$3,食数記録!$B359="昼",食数記録!$F359="女性GH",食数記録!$D359="臨時喫食"),1,0)</f>
        <v>0</v>
      </c>
      <c r="W359" s="0" t="str">
        <f aca="false">IF(V359=1,SUM($V$2:V359),"")</f>
        <v/>
      </c>
      <c r="X359" s="0" t="n">
        <f aca="false">IF(AND(食数記録!$A359=プレビュー!$C$3,食数記録!$B359="夕",食数記録!$F359="女性GH",食数記録!$D359="臨時喫食"),1,0)</f>
        <v>0</v>
      </c>
      <c r="Y359" s="0" t="str">
        <f aca="false">IF(X359=1,SUM($X$2:X359),"")</f>
        <v/>
      </c>
    </row>
    <row r="360" customFormat="false" ht="15" hidden="false" customHeight="false" outlineLevel="0" collapsed="false">
      <c r="B360" s="0" t="n">
        <f aca="false">IF(AND(食数記録!$A360=プレビュー!$C$3,食数記録!$B360="朝",食数記録!$F360="男性入所",食数記録!$D360="欠食"),1,0)</f>
        <v>0</v>
      </c>
      <c r="C360" s="0" t="str">
        <f aca="false">IF(B360=1,SUM($B$2:B360),"")</f>
        <v/>
      </c>
      <c r="D360" s="0" t="n">
        <f aca="false">IF(AND(食数記録!$A360=プレビュー!$C$3,食数記録!$B360="昼",食数記録!$F360="男性入所",食数記録!$D360="欠食"),1,0)</f>
        <v>0</v>
      </c>
      <c r="E360" s="0" t="str">
        <f aca="false">IF(D360=1,SUM($D$2:D360),"")</f>
        <v/>
      </c>
      <c r="F360" s="0" t="n">
        <f aca="false">IF(AND(食数記録!$A360=プレビュー!$C$3,食数記録!$B360="夕",食数記録!$F360="男性入所",食数記録!$D360="欠食"),1,0)</f>
        <v>0</v>
      </c>
      <c r="G360" s="0" t="str">
        <f aca="false">IF(F360=1,SUM($F$2:F360),"")</f>
        <v/>
      </c>
      <c r="H360" s="0" t="n">
        <f aca="false">IF(AND(食数記録!$A360=プレビュー!$C$3,食数記録!$B360="朝",食数記録!$F360="女性入所",食数記録!$D360="欠食"),1,0)</f>
        <v>0</v>
      </c>
      <c r="I360" s="0" t="str">
        <f aca="false">IF(H360=1,SUM($H$2:H360),"")</f>
        <v/>
      </c>
      <c r="J360" s="0" t="n">
        <f aca="false">IF(AND(食数記録!$A360=プレビュー!$C$3,食数記録!$B360="昼",食数記録!$F360="女性入所",食数記録!$D360="欠食"),1,0)</f>
        <v>0</v>
      </c>
      <c r="K360" s="0" t="str">
        <f aca="false">IF(J360=1,SUM($J$2:J360),"")</f>
        <v/>
      </c>
      <c r="L360" s="0" t="n">
        <f aca="false">IF(AND(食数記録!$A360=プレビュー!$C$3,食数記録!$B360="夕",食数記録!$F360="女性入所",食数記録!$D360="欠食"),1,0)</f>
        <v>0</v>
      </c>
      <c r="M360" s="0" t="str">
        <f aca="false">IF(L360=1,SUM($L$2:L360),"")</f>
        <v/>
      </c>
      <c r="N360" s="0" t="n">
        <f aca="false">IF(AND(食数記録!$A360=プレビュー!$C$3,食数記録!$B360="朝",食数記録!$F360="男性GH",食数記録!$D360="臨時喫食"),1,0)</f>
        <v>0</v>
      </c>
      <c r="O360" s="0" t="str">
        <f aca="false">IF(N360=1,SUM($N$2:N360),"")</f>
        <v/>
      </c>
      <c r="P360" s="0" t="n">
        <f aca="false">IF(AND(食数記録!$A360=プレビュー!$C$3,食数記録!$B360="昼",食数記録!$F360="男性GH",食数記録!$D360="臨時喫食"),1,0)</f>
        <v>0</v>
      </c>
      <c r="Q360" s="0" t="str">
        <f aca="false">IF(P360=1,SUM($P$2:P360),"")</f>
        <v/>
      </c>
      <c r="R360" s="0" t="n">
        <f aca="false">IF(AND(食数記録!$A360=プレビュー!$C$3,食数記録!$B360="夕",食数記録!$F360="男性GH",食数記録!$D360="臨時喫食"),1,0)</f>
        <v>0</v>
      </c>
      <c r="S360" s="0" t="str">
        <f aca="false">IF(R360=1,SUM($R$2:R360),"")</f>
        <v/>
      </c>
      <c r="T360" s="0" t="n">
        <f aca="false">IF(AND(食数記録!$A360=プレビュー!$C$3,食数記録!$B360="朝",食数記録!$F360="女性GH",食数記録!$D360="臨時喫食"),1,0)</f>
        <v>0</v>
      </c>
      <c r="U360" s="0" t="str">
        <f aca="false">IF(T360=1,SUM($T$2:T360),"")</f>
        <v/>
      </c>
      <c r="V360" s="0" t="n">
        <f aca="false">IF(AND(食数記録!$A360=プレビュー!$C$3,食数記録!$B360="昼",食数記録!$F360="女性GH",食数記録!$D360="臨時喫食"),1,0)</f>
        <v>0</v>
      </c>
      <c r="W360" s="0" t="str">
        <f aca="false">IF(V360=1,SUM($V$2:V360),"")</f>
        <v/>
      </c>
      <c r="X360" s="0" t="n">
        <f aca="false">IF(AND(食数記録!$A360=プレビュー!$C$3,食数記録!$B360="夕",食数記録!$F360="女性GH",食数記録!$D360="臨時喫食"),1,0)</f>
        <v>0</v>
      </c>
      <c r="Y360" s="0" t="str">
        <f aca="false">IF(X360=1,SUM($X$2:X360),"")</f>
        <v/>
      </c>
    </row>
    <row r="361" customFormat="false" ht="15" hidden="false" customHeight="false" outlineLevel="0" collapsed="false">
      <c r="B361" s="0" t="n">
        <f aca="false">IF(AND(食数記録!$A361=プレビュー!$C$3,食数記録!$B361="朝",食数記録!$F361="男性入所",食数記録!$D361="欠食"),1,0)</f>
        <v>0</v>
      </c>
      <c r="C361" s="0" t="str">
        <f aca="false">IF(B361=1,SUM($B$2:B361),"")</f>
        <v/>
      </c>
      <c r="D361" s="0" t="n">
        <f aca="false">IF(AND(食数記録!$A361=プレビュー!$C$3,食数記録!$B361="昼",食数記録!$F361="男性入所",食数記録!$D361="欠食"),1,0)</f>
        <v>0</v>
      </c>
      <c r="E361" s="0" t="str">
        <f aca="false">IF(D361=1,SUM($D$2:D361),"")</f>
        <v/>
      </c>
      <c r="F361" s="0" t="n">
        <f aca="false">IF(AND(食数記録!$A361=プレビュー!$C$3,食数記録!$B361="夕",食数記録!$F361="男性入所",食数記録!$D361="欠食"),1,0)</f>
        <v>0</v>
      </c>
      <c r="G361" s="0" t="str">
        <f aca="false">IF(F361=1,SUM($F$2:F361),"")</f>
        <v/>
      </c>
      <c r="H361" s="0" t="n">
        <f aca="false">IF(AND(食数記録!$A361=プレビュー!$C$3,食数記録!$B361="朝",食数記録!$F361="女性入所",食数記録!$D361="欠食"),1,0)</f>
        <v>0</v>
      </c>
      <c r="I361" s="0" t="str">
        <f aca="false">IF(H361=1,SUM($H$2:H361),"")</f>
        <v/>
      </c>
      <c r="J361" s="0" t="n">
        <f aca="false">IF(AND(食数記録!$A361=プレビュー!$C$3,食数記録!$B361="昼",食数記録!$F361="女性入所",食数記録!$D361="欠食"),1,0)</f>
        <v>0</v>
      </c>
      <c r="K361" s="0" t="str">
        <f aca="false">IF(J361=1,SUM($J$2:J361),"")</f>
        <v/>
      </c>
      <c r="L361" s="0" t="n">
        <f aca="false">IF(AND(食数記録!$A361=プレビュー!$C$3,食数記録!$B361="夕",食数記録!$F361="女性入所",食数記録!$D361="欠食"),1,0)</f>
        <v>0</v>
      </c>
      <c r="M361" s="0" t="str">
        <f aca="false">IF(L361=1,SUM($L$2:L361),"")</f>
        <v/>
      </c>
      <c r="N361" s="0" t="n">
        <f aca="false">IF(AND(食数記録!$A361=プレビュー!$C$3,食数記録!$B361="朝",食数記録!$F361="男性GH",食数記録!$D361="臨時喫食"),1,0)</f>
        <v>0</v>
      </c>
      <c r="O361" s="0" t="str">
        <f aca="false">IF(N361=1,SUM($N$2:N361),"")</f>
        <v/>
      </c>
      <c r="P361" s="0" t="n">
        <f aca="false">IF(AND(食数記録!$A361=プレビュー!$C$3,食数記録!$B361="昼",食数記録!$F361="男性GH",食数記録!$D361="臨時喫食"),1,0)</f>
        <v>0</v>
      </c>
      <c r="Q361" s="0" t="str">
        <f aca="false">IF(P361=1,SUM($P$2:P361),"")</f>
        <v/>
      </c>
      <c r="R361" s="0" t="n">
        <f aca="false">IF(AND(食数記録!$A361=プレビュー!$C$3,食数記録!$B361="夕",食数記録!$F361="男性GH",食数記録!$D361="臨時喫食"),1,0)</f>
        <v>0</v>
      </c>
      <c r="S361" s="0" t="str">
        <f aca="false">IF(R361=1,SUM($R$2:R361),"")</f>
        <v/>
      </c>
      <c r="T361" s="0" t="n">
        <f aca="false">IF(AND(食数記録!$A361=プレビュー!$C$3,食数記録!$B361="朝",食数記録!$F361="女性GH",食数記録!$D361="臨時喫食"),1,0)</f>
        <v>0</v>
      </c>
      <c r="U361" s="0" t="str">
        <f aca="false">IF(T361=1,SUM($T$2:T361),"")</f>
        <v/>
      </c>
      <c r="V361" s="0" t="n">
        <f aca="false">IF(AND(食数記録!$A361=プレビュー!$C$3,食数記録!$B361="昼",食数記録!$F361="女性GH",食数記録!$D361="臨時喫食"),1,0)</f>
        <v>0</v>
      </c>
      <c r="W361" s="0" t="str">
        <f aca="false">IF(V361=1,SUM($V$2:V361),"")</f>
        <v/>
      </c>
      <c r="X361" s="0" t="n">
        <f aca="false">IF(AND(食数記録!$A361=プレビュー!$C$3,食数記録!$B361="夕",食数記録!$F361="女性GH",食数記録!$D361="臨時喫食"),1,0)</f>
        <v>0</v>
      </c>
      <c r="Y361" s="0" t="str">
        <f aca="false">IF(X361=1,SUM($X$2:X361),"")</f>
        <v/>
      </c>
    </row>
    <row r="362" customFormat="false" ht="15" hidden="false" customHeight="false" outlineLevel="0" collapsed="false">
      <c r="B362" s="0" t="n">
        <f aca="false">IF(AND(食数記録!$A362=プレビュー!$C$3,食数記録!$B362="朝",食数記録!$F362="男性入所",食数記録!$D362="欠食"),1,0)</f>
        <v>0</v>
      </c>
      <c r="C362" s="0" t="str">
        <f aca="false">IF(B362=1,SUM($B$2:B362),"")</f>
        <v/>
      </c>
      <c r="D362" s="0" t="n">
        <f aca="false">IF(AND(食数記録!$A362=プレビュー!$C$3,食数記録!$B362="昼",食数記録!$F362="男性入所",食数記録!$D362="欠食"),1,0)</f>
        <v>0</v>
      </c>
      <c r="E362" s="0" t="str">
        <f aca="false">IF(D362=1,SUM($D$2:D362),"")</f>
        <v/>
      </c>
      <c r="F362" s="0" t="n">
        <f aca="false">IF(AND(食数記録!$A362=プレビュー!$C$3,食数記録!$B362="夕",食数記録!$F362="男性入所",食数記録!$D362="欠食"),1,0)</f>
        <v>0</v>
      </c>
      <c r="G362" s="0" t="str">
        <f aca="false">IF(F362=1,SUM($F$2:F362),"")</f>
        <v/>
      </c>
      <c r="H362" s="0" t="n">
        <f aca="false">IF(AND(食数記録!$A362=プレビュー!$C$3,食数記録!$B362="朝",食数記録!$F362="女性入所",食数記録!$D362="欠食"),1,0)</f>
        <v>0</v>
      </c>
      <c r="I362" s="0" t="str">
        <f aca="false">IF(H362=1,SUM($H$2:H362),"")</f>
        <v/>
      </c>
      <c r="J362" s="0" t="n">
        <f aca="false">IF(AND(食数記録!$A362=プレビュー!$C$3,食数記録!$B362="昼",食数記録!$F362="女性入所",食数記録!$D362="欠食"),1,0)</f>
        <v>0</v>
      </c>
      <c r="K362" s="0" t="str">
        <f aca="false">IF(J362=1,SUM($J$2:J362),"")</f>
        <v/>
      </c>
      <c r="L362" s="0" t="n">
        <f aca="false">IF(AND(食数記録!$A362=プレビュー!$C$3,食数記録!$B362="夕",食数記録!$F362="女性入所",食数記録!$D362="欠食"),1,0)</f>
        <v>0</v>
      </c>
      <c r="M362" s="0" t="str">
        <f aca="false">IF(L362=1,SUM($L$2:L362),"")</f>
        <v/>
      </c>
      <c r="N362" s="0" t="n">
        <f aca="false">IF(AND(食数記録!$A362=プレビュー!$C$3,食数記録!$B362="朝",食数記録!$F362="男性GH",食数記録!$D362="臨時喫食"),1,0)</f>
        <v>0</v>
      </c>
      <c r="O362" s="0" t="str">
        <f aca="false">IF(N362=1,SUM($N$2:N362),"")</f>
        <v/>
      </c>
      <c r="P362" s="0" t="n">
        <f aca="false">IF(AND(食数記録!$A362=プレビュー!$C$3,食数記録!$B362="昼",食数記録!$F362="男性GH",食数記録!$D362="臨時喫食"),1,0)</f>
        <v>0</v>
      </c>
      <c r="Q362" s="0" t="str">
        <f aca="false">IF(P362=1,SUM($P$2:P362),"")</f>
        <v/>
      </c>
      <c r="R362" s="0" t="n">
        <f aca="false">IF(AND(食数記録!$A362=プレビュー!$C$3,食数記録!$B362="夕",食数記録!$F362="男性GH",食数記録!$D362="臨時喫食"),1,0)</f>
        <v>0</v>
      </c>
      <c r="S362" s="0" t="str">
        <f aca="false">IF(R362=1,SUM($R$2:R362),"")</f>
        <v/>
      </c>
      <c r="T362" s="0" t="n">
        <f aca="false">IF(AND(食数記録!$A362=プレビュー!$C$3,食数記録!$B362="朝",食数記録!$F362="女性GH",食数記録!$D362="臨時喫食"),1,0)</f>
        <v>0</v>
      </c>
      <c r="U362" s="0" t="str">
        <f aca="false">IF(T362=1,SUM($T$2:T362),"")</f>
        <v/>
      </c>
      <c r="V362" s="0" t="n">
        <f aca="false">IF(AND(食数記録!$A362=プレビュー!$C$3,食数記録!$B362="昼",食数記録!$F362="女性GH",食数記録!$D362="臨時喫食"),1,0)</f>
        <v>0</v>
      </c>
      <c r="W362" s="0" t="str">
        <f aca="false">IF(V362=1,SUM($V$2:V362),"")</f>
        <v/>
      </c>
      <c r="X362" s="0" t="n">
        <f aca="false">IF(AND(食数記録!$A362=プレビュー!$C$3,食数記録!$B362="夕",食数記録!$F362="女性GH",食数記録!$D362="臨時喫食"),1,0)</f>
        <v>0</v>
      </c>
      <c r="Y362" s="0" t="str">
        <f aca="false">IF(X362=1,SUM($X$2:X362),"")</f>
        <v/>
      </c>
    </row>
    <row r="363" customFormat="false" ht="15" hidden="false" customHeight="false" outlineLevel="0" collapsed="false">
      <c r="B363" s="0" t="n">
        <f aca="false">IF(AND(食数記録!$A363=プレビュー!$C$3,食数記録!$B363="朝",食数記録!$F363="男性入所",食数記録!$D363="欠食"),1,0)</f>
        <v>0</v>
      </c>
      <c r="C363" s="0" t="str">
        <f aca="false">IF(B363=1,SUM($B$2:B363),"")</f>
        <v/>
      </c>
      <c r="D363" s="0" t="n">
        <f aca="false">IF(AND(食数記録!$A363=プレビュー!$C$3,食数記録!$B363="昼",食数記録!$F363="男性入所",食数記録!$D363="欠食"),1,0)</f>
        <v>0</v>
      </c>
      <c r="E363" s="0" t="str">
        <f aca="false">IF(D363=1,SUM($D$2:D363),"")</f>
        <v/>
      </c>
      <c r="F363" s="0" t="n">
        <f aca="false">IF(AND(食数記録!$A363=プレビュー!$C$3,食数記録!$B363="夕",食数記録!$F363="男性入所",食数記録!$D363="欠食"),1,0)</f>
        <v>0</v>
      </c>
      <c r="G363" s="0" t="str">
        <f aca="false">IF(F363=1,SUM($F$2:F363),"")</f>
        <v/>
      </c>
      <c r="H363" s="0" t="n">
        <f aca="false">IF(AND(食数記録!$A363=プレビュー!$C$3,食数記録!$B363="朝",食数記録!$F363="女性入所",食数記録!$D363="欠食"),1,0)</f>
        <v>0</v>
      </c>
      <c r="I363" s="0" t="str">
        <f aca="false">IF(H363=1,SUM($H$2:H363),"")</f>
        <v/>
      </c>
      <c r="J363" s="0" t="n">
        <f aca="false">IF(AND(食数記録!$A363=プレビュー!$C$3,食数記録!$B363="昼",食数記録!$F363="女性入所",食数記録!$D363="欠食"),1,0)</f>
        <v>0</v>
      </c>
      <c r="K363" s="0" t="str">
        <f aca="false">IF(J363=1,SUM($J$2:J363),"")</f>
        <v/>
      </c>
      <c r="L363" s="0" t="n">
        <f aca="false">IF(AND(食数記録!$A363=プレビュー!$C$3,食数記録!$B363="夕",食数記録!$F363="女性入所",食数記録!$D363="欠食"),1,0)</f>
        <v>0</v>
      </c>
      <c r="M363" s="0" t="str">
        <f aca="false">IF(L363=1,SUM($L$2:L363),"")</f>
        <v/>
      </c>
      <c r="N363" s="0" t="n">
        <f aca="false">IF(AND(食数記録!$A363=プレビュー!$C$3,食数記録!$B363="朝",食数記録!$F363="男性GH",食数記録!$D363="臨時喫食"),1,0)</f>
        <v>0</v>
      </c>
      <c r="O363" s="0" t="str">
        <f aca="false">IF(N363=1,SUM($N$2:N363),"")</f>
        <v/>
      </c>
      <c r="P363" s="0" t="n">
        <f aca="false">IF(AND(食数記録!$A363=プレビュー!$C$3,食数記録!$B363="昼",食数記録!$F363="男性GH",食数記録!$D363="臨時喫食"),1,0)</f>
        <v>0</v>
      </c>
      <c r="Q363" s="0" t="str">
        <f aca="false">IF(P363=1,SUM($P$2:P363),"")</f>
        <v/>
      </c>
      <c r="R363" s="0" t="n">
        <f aca="false">IF(AND(食数記録!$A363=プレビュー!$C$3,食数記録!$B363="夕",食数記録!$F363="男性GH",食数記録!$D363="臨時喫食"),1,0)</f>
        <v>0</v>
      </c>
      <c r="S363" s="0" t="str">
        <f aca="false">IF(R363=1,SUM($R$2:R363),"")</f>
        <v/>
      </c>
      <c r="T363" s="0" t="n">
        <f aca="false">IF(AND(食数記録!$A363=プレビュー!$C$3,食数記録!$B363="朝",食数記録!$F363="女性GH",食数記録!$D363="臨時喫食"),1,0)</f>
        <v>0</v>
      </c>
      <c r="U363" s="0" t="str">
        <f aca="false">IF(T363=1,SUM($T$2:T363),"")</f>
        <v/>
      </c>
      <c r="V363" s="0" t="n">
        <f aca="false">IF(AND(食数記録!$A363=プレビュー!$C$3,食数記録!$B363="昼",食数記録!$F363="女性GH",食数記録!$D363="臨時喫食"),1,0)</f>
        <v>0</v>
      </c>
      <c r="W363" s="0" t="str">
        <f aca="false">IF(V363=1,SUM($V$2:V363),"")</f>
        <v/>
      </c>
      <c r="X363" s="0" t="n">
        <f aca="false">IF(AND(食数記録!$A363=プレビュー!$C$3,食数記録!$B363="夕",食数記録!$F363="女性GH",食数記録!$D363="臨時喫食"),1,0)</f>
        <v>0</v>
      </c>
      <c r="Y363" s="0" t="str">
        <f aca="false">IF(X363=1,SUM($X$2:X363),"")</f>
        <v/>
      </c>
    </row>
    <row r="364" customFormat="false" ht="15" hidden="false" customHeight="false" outlineLevel="0" collapsed="false">
      <c r="B364" s="0" t="n">
        <f aca="false">IF(AND(食数記録!$A364=プレビュー!$C$3,食数記録!$B364="朝",食数記録!$F364="男性入所",食数記録!$D364="欠食"),1,0)</f>
        <v>0</v>
      </c>
      <c r="C364" s="0" t="str">
        <f aca="false">IF(B364=1,SUM($B$2:B364),"")</f>
        <v/>
      </c>
      <c r="D364" s="0" t="n">
        <f aca="false">IF(AND(食数記録!$A364=プレビュー!$C$3,食数記録!$B364="昼",食数記録!$F364="男性入所",食数記録!$D364="欠食"),1,0)</f>
        <v>0</v>
      </c>
      <c r="E364" s="0" t="str">
        <f aca="false">IF(D364=1,SUM($D$2:D364),"")</f>
        <v/>
      </c>
      <c r="F364" s="0" t="n">
        <f aca="false">IF(AND(食数記録!$A364=プレビュー!$C$3,食数記録!$B364="夕",食数記録!$F364="男性入所",食数記録!$D364="欠食"),1,0)</f>
        <v>0</v>
      </c>
      <c r="G364" s="0" t="str">
        <f aca="false">IF(F364=1,SUM($F$2:F364),"")</f>
        <v/>
      </c>
      <c r="H364" s="0" t="n">
        <f aca="false">IF(AND(食数記録!$A364=プレビュー!$C$3,食数記録!$B364="朝",食数記録!$F364="女性入所",食数記録!$D364="欠食"),1,0)</f>
        <v>0</v>
      </c>
      <c r="I364" s="0" t="str">
        <f aca="false">IF(H364=1,SUM($H$2:H364),"")</f>
        <v/>
      </c>
      <c r="J364" s="0" t="n">
        <f aca="false">IF(AND(食数記録!$A364=プレビュー!$C$3,食数記録!$B364="昼",食数記録!$F364="女性入所",食数記録!$D364="欠食"),1,0)</f>
        <v>0</v>
      </c>
      <c r="K364" s="0" t="str">
        <f aca="false">IF(J364=1,SUM($J$2:J364),"")</f>
        <v/>
      </c>
      <c r="L364" s="0" t="n">
        <f aca="false">IF(AND(食数記録!$A364=プレビュー!$C$3,食数記録!$B364="夕",食数記録!$F364="女性入所",食数記録!$D364="欠食"),1,0)</f>
        <v>0</v>
      </c>
      <c r="M364" s="0" t="str">
        <f aca="false">IF(L364=1,SUM($L$2:L364),"")</f>
        <v/>
      </c>
      <c r="N364" s="0" t="n">
        <f aca="false">IF(AND(食数記録!$A364=プレビュー!$C$3,食数記録!$B364="朝",食数記録!$F364="男性GH",食数記録!$D364="臨時喫食"),1,0)</f>
        <v>0</v>
      </c>
      <c r="O364" s="0" t="str">
        <f aca="false">IF(N364=1,SUM($N$2:N364),"")</f>
        <v/>
      </c>
      <c r="P364" s="0" t="n">
        <f aca="false">IF(AND(食数記録!$A364=プレビュー!$C$3,食数記録!$B364="昼",食数記録!$F364="男性GH",食数記録!$D364="臨時喫食"),1,0)</f>
        <v>0</v>
      </c>
      <c r="Q364" s="0" t="str">
        <f aca="false">IF(P364=1,SUM($P$2:P364),"")</f>
        <v/>
      </c>
      <c r="R364" s="0" t="n">
        <f aca="false">IF(AND(食数記録!$A364=プレビュー!$C$3,食数記録!$B364="夕",食数記録!$F364="男性GH",食数記録!$D364="臨時喫食"),1,0)</f>
        <v>0</v>
      </c>
      <c r="S364" s="0" t="str">
        <f aca="false">IF(R364=1,SUM($R$2:R364),"")</f>
        <v/>
      </c>
      <c r="T364" s="0" t="n">
        <f aca="false">IF(AND(食数記録!$A364=プレビュー!$C$3,食数記録!$B364="朝",食数記録!$F364="女性GH",食数記録!$D364="臨時喫食"),1,0)</f>
        <v>0</v>
      </c>
      <c r="U364" s="0" t="str">
        <f aca="false">IF(T364=1,SUM($T$2:T364),"")</f>
        <v/>
      </c>
      <c r="V364" s="0" t="n">
        <f aca="false">IF(AND(食数記録!$A364=プレビュー!$C$3,食数記録!$B364="昼",食数記録!$F364="女性GH",食数記録!$D364="臨時喫食"),1,0)</f>
        <v>0</v>
      </c>
      <c r="W364" s="0" t="str">
        <f aca="false">IF(V364=1,SUM($V$2:V364),"")</f>
        <v/>
      </c>
      <c r="X364" s="0" t="n">
        <f aca="false">IF(AND(食数記録!$A364=プレビュー!$C$3,食数記録!$B364="夕",食数記録!$F364="女性GH",食数記録!$D364="臨時喫食"),1,0)</f>
        <v>0</v>
      </c>
      <c r="Y364" s="0" t="str">
        <f aca="false">IF(X364=1,SUM($X$2:X364),"")</f>
        <v/>
      </c>
    </row>
    <row r="365" customFormat="false" ht="15" hidden="false" customHeight="false" outlineLevel="0" collapsed="false">
      <c r="B365" s="0" t="n">
        <f aca="false">IF(AND(食数記録!$A365=プレビュー!$C$3,食数記録!$B365="朝",食数記録!$F365="男性入所",食数記録!$D365="欠食"),1,0)</f>
        <v>0</v>
      </c>
      <c r="C365" s="0" t="str">
        <f aca="false">IF(B365=1,SUM($B$2:B365),"")</f>
        <v/>
      </c>
      <c r="D365" s="0" t="n">
        <f aca="false">IF(AND(食数記録!$A365=プレビュー!$C$3,食数記録!$B365="昼",食数記録!$F365="男性入所",食数記録!$D365="欠食"),1,0)</f>
        <v>0</v>
      </c>
      <c r="E365" s="0" t="str">
        <f aca="false">IF(D365=1,SUM($D$2:D365),"")</f>
        <v/>
      </c>
      <c r="F365" s="0" t="n">
        <f aca="false">IF(AND(食数記録!$A365=プレビュー!$C$3,食数記録!$B365="夕",食数記録!$F365="男性入所",食数記録!$D365="欠食"),1,0)</f>
        <v>0</v>
      </c>
      <c r="G365" s="0" t="str">
        <f aca="false">IF(F365=1,SUM($F$2:F365),"")</f>
        <v/>
      </c>
      <c r="H365" s="0" t="n">
        <f aca="false">IF(AND(食数記録!$A365=プレビュー!$C$3,食数記録!$B365="朝",食数記録!$F365="女性入所",食数記録!$D365="欠食"),1,0)</f>
        <v>0</v>
      </c>
      <c r="I365" s="0" t="str">
        <f aca="false">IF(H365=1,SUM($H$2:H365),"")</f>
        <v/>
      </c>
      <c r="J365" s="0" t="n">
        <f aca="false">IF(AND(食数記録!$A365=プレビュー!$C$3,食数記録!$B365="昼",食数記録!$F365="女性入所",食数記録!$D365="欠食"),1,0)</f>
        <v>0</v>
      </c>
      <c r="K365" s="0" t="str">
        <f aca="false">IF(J365=1,SUM($J$2:J365),"")</f>
        <v/>
      </c>
      <c r="L365" s="0" t="n">
        <f aca="false">IF(AND(食数記録!$A365=プレビュー!$C$3,食数記録!$B365="夕",食数記録!$F365="女性入所",食数記録!$D365="欠食"),1,0)</f>
        <v>0</v>
      </c>
      <c r="M365" s="0" t="str">
        <f aca="false">IF(L365=1,SUM($L$2:L365),"")</f>
        <v/>
      </c>
      <c r="N365" s="0" t="n">
        <f aca="false">IF(AND(食数記録!$A365=プレビュー!$C$3,食数記録!$B365="朝",食数記録!$F365="男性GH",食数記録!$D365="臨時喫食"),1,0)</f>
        <v>0</v>
      </c>
      <c r="O365" s="0" t="str">
        <f aca="false">IF(N365=1,SUM($N$2:N365),"")</f>
        <v/>
      </c>
      <c r="P365" s="0" t="n">
        <f aca="false">IF(AND(食数記録!$A365=プレビュー!$C$3,食数記録!$B365="昼",食数記録!$F365="男性GH",食数記録!$D365="臨時喫食"),1,0)</f>
        <v>0</v>
      </c>
      <c r="Q365" s="0" t="str">
        <f aca="false">IF(P365=1,SUM($P$2:P365),"")</f>
        <v/>
      </c>
      <c r="R365" s="0" t="n">
        <f aca="false">IF(AND(食数記録!$A365=プレビュー!$C$3,食数記録!$B365="夕",食数記録!$F365="男性GH",食数記録!$D365="臨時喫食"),1,0)</f>
        <v>0</v>
      </c>
      <c r="S365" s="0" t="str">
        <f aca="false">IF(R365=1,SUM($R$2:R365),"")</f>
        <v/>
      </c>
      <c r="T365" s="0" t="n">
        <f aca="false">IF(AND(食数記録!$A365=プレビュー!$C$3,食数記録!$B365="朝",食数記録!$F365="女性GH",食数記録!$D365="臨時喫食"),1,0)</f>
        <v>0</v>
      </c>
      <c r="U365" s="0" t="str">
        <f aca="false">IF(T365=1,SUM($T$2:T365),"")</f>
        <v/>
      </c>
      <c r="V365" s="0" t="n">
        <f aca="false">IF(AND(食数記録!$A365=プレビュー!$C$3,食数記録!$B365="昼",食数記録!$F365="女性GH",食数記録!$D365="臨時喫食"),1,0)</f>
        <v>0</v>
      </c>
      <c r="W365" s="0" t="str">
        <f aca="false">IF(V365=1,SUM($V$2:V365),"")</f>
        <v/>
      </c>
      <c r="X365" s="0" t="n">
        <f aca="false">IF(AND(食数記録!$A365=プレビュー!$C$3,食数記録!$B365="夕",食数記録!$F365="女性GH",食数記録!$D365="臨時喫食"),1,0)</f>
        <v>0</v>
      </c>
      <c r="Y365" s="0" t="str">
        <f aca="false">IF(X365=1,SUM($X$2:X365),"")</f>
        <v/>
      </c>
    </row>
    <row r="366" customFormat="false" ht="15" hidden="false" customHeight="false" outlineLevel="0" collapsed="false">
      <c r="B366" s="0" t="n">
        <f aca="false">IF(AND(食数記録!$A366=プレビュー!$C$3,食数記録!$B366="朝",食数記録!$F366="男性入所",食数記録!$D366="欠食"),1,0)</f>
        <v>0</v>
      </c>
      <c r="C366" s="0" t="str">
        <f aca="false">IF(B366=1,SUM($B$2:B366),"")</f>
        <v/>
      </c>
      <c r="D366" s="0" t="n">
        <f aca="false">IF(AND(食数記録!$A366=プレビュー!$C$3,食数記録!$B366="昼",食数記録!$F366="男性入所",食数記録!$D366="欠食"),1,0)</f>
        <v>0</v>
      </c>
      <c r="E366" s="0" t="str">
        <f aca="false">IF(D366=1,SUM($D$2:D366),"")</f>
        <v/>
      </c>
      <c r="F366" s="0" t="n">
        <f aca="false">IF(AND(食数記録!$A366=プレビュー!$C$3,食数記録!$B366="夕",食数記録!$F366="男性入所",食数記録!$D366="欠食"),1,0)</f>
        <v>0</v>
      </c>
      <c r="G366" s="0" t="str">
        <f aca="false">IF(F366=1,SUM($F$2:F366),"")</f>
        <v/>
      </c>
      <c r="H366" s="0" t="n">
        <f aca="false">IF(AND(食数記録!$A366=プレビュー!$C$3,食数記録!$B366="朝",食数記録!$F366="女性入所",食数記録!$D366="欠食"),1,0)</f>
        <v>0</v>
      </c>
      <c r="I366" s="0" t="str">
        <f aca="false">IF(H366=1,SUM($H$2:H366),"")</f>
        <v/>
      </c>
      <c r="J366" s="0" t="n">
        <f aca="false">IF(AND(食数記録!$A366=プレビュー!$C$3,食数記録!$B366="昼",食数記録!$F366="女性入所",食数記録!$D366="欠食"),1,0)</f>
        <v>0</v>
      </c>
      <c r="K366" s="0" t="str">
        <f aca="false">IF(J366=1,SUM($J$2:J366),"")</f>
        <v/>
      </c>
      <c r="L366" s="0" t="n">
        <f aca="false">IF(AND(食数記録!$A366=プレビュー!$C$3,食数記録!$B366="夕",食数記録!$F366="女性入所",食数記録!$D366="欠食"),1,0)</f>
        <v>0</v>
      </c>
      <c r="M366" s="0" t="str">
        <f aca="false">IF(L366=1,SUM($L$2:L366),"")</f>
        <v/>
      </c>
      <c r="N366" s="0" t="n">
        <f aca="false">IF(AND(食数記録!$A366=プレビュー!$C$3,食数記録!$B366="朝",食数記録!$F366="男性GH",食数記録!$D366="臨時喫食"),1,0)</f>
        <v>0</v>
      </c>
      <c r="O366" s="0" t="str">
        <f aca="false">IF(N366=1,SUM($N$2:N366),"")</f>
        <v/>
      </c>
      <c r="P366" s="0" t="n">
        <f aca="false">IF(AND(食数記録!$A366=プレビュー!$C$3,食数記録!$B366="昼",食数記録!$F366="男性GH",食数記録!$D366="臨時喫食"),1,0)</f>
        <v>0</v>
      </c>
      <c r="Q366" s="0" t="str">
        <f aca="false">IF(P366=1,SUM($P$2:P366),"")</f>
        <v/>
      </c>
      <c r="R366" s="0" t="n">
        <f aca="false">IF(AND(食数記録!$A366=プレビュー!$C$3,食数記録!$B366="夕",食数記録!$F366="男性GH",食数記録!$D366="臨時喫食"),1,0)</f>
        <v>0</v>
      </c>
      <c r="S366" s="0" t="str">
        <f aca="false">IF(R366=1,SUM($R$2:R366),"")</f>
        <v/>
      </c>
      <c r="T366" s="0" t="n">
        <f aca="false">IF(AND(食数記録!$A366=プレビュー!$C$3,食数記録!$B366="朝",食数記録!$F366="女性GH",食数記録!$D366="臨時喫食"),1,0)</f>
        <v>0</v>
      </c>
      <c r="U366" s="0" t="str">
        <f aca="false">IF(T366=1,SUM($T$2:T366),"")</f>
        <v/>
      </c>
      <c r="V366" s="0" t="n">
        <f aca="false">IF(AND(食数記録!$A366=プレビュー!$C$3,食数記録!$B366="昼",食数記録!$F366="女性GH",食数記録!$D366="臨時喫食"),1,0)</f>
        <v>0</v>
      </c>
      <c r="W366" s="0" t="str">
        <f aca="false">IF(V366=1,SUM($V$2:V366),"")</f>
        <v/>
      </c>
      <c r="X366" s="0" t="n">
        <f aca="false">IF(AND(食数記録!$A366=プレビュー!$C$3,食数記録!$B366="夕",食数記録!$F366="女性GH",食数記録!$D366="臨時喫食"),1,0)</f>
        <v>0</v>
      </c>
      <c r="Y366" s="0" t="str">
        <f aca="false">IF(X366=1,SUM($X$2:X366),"")</f>
        <v/>
      </c>
    </row>
    <row r="367" customFormat="false" ht="15" hidden="false" customHeight="false" outlineLevel="0" collapsed="false">
      <c r="B367" s="0" t="n">
        <f aca="false">IF(AND(食数記録!$A367=プレビュー!$C$3,食数記録!$B367="朝",食数記録!$F367="男性入所",食数記録!$D367="欠食"),1,0)</f>
        <v>0</v>
      </c>
      <c r="C367" s="0" t="str">
        <f aca="false">IF(B367=1,SUM($B$2:B367),"")</f>
        <v/>
      </c>
      <c r="D367" s="0" t="n">
        <f aca="false">IF(AND(食数記録!$A367=プレビュー!$C$3,食数記録!$B367="昼",食数記録!$F367="男性入所",食数記録!$D367="欠食"),1,0)</f>
        <v>0</v>
      </c>
      <c r="E367" s="0" t="str">
        <f aca="false">IF(D367=1,SUM($D$2:D367),"")</f>
        <v/>
      </c>
      <c r="F367" s="0" t="n">
        <f aca="false">IF(AND(食数記録!$A367=プレビュー!$C$3,食数記録!$B367="夕",食数記録!$F367="男性入所",食数記録!$D367="欠食"),1,0)</f>
        <v>0</v>
      </c>
      <c r="G367" s="0" t="str">
        <f aca="false">IF(F367=1,SUM($F$2:F367),"")</f>
        <v/>
      </c>
      <c r="H367" s="0" t="n">
        <f aca="false">IF(AND(食数記録!$A367=プレビュー!$C$3,食数記録!$B367="朝",食数記録!$F367="女性入所",食数記録!$D367="欠食"),1,0)</f>
        <v>0</v>
      </c>
      <c r="I367" s="0" t="str">
        <f aca="false">IF(H367=1,SUM($H$2:H367),"")</f>
        <v/>
      </c>
      <c r="J367" s="0" t="n">
        <f aca="false">IF(AND(食数記録!$A367=プレビュー!$C$3,食数記録!$B367="昼",食数記録!$F367="女性入所",食数記録!$D367="欠食"),1,0)</f>
        <v>0</v>
      </c>
      <c r="K367" s="0" t="str">
        <f aca="false">IF(J367=1,SUM($J$2:J367),"")</f>
        <v/>
      </c>
      <c r="L367" s="0" t="n">
        <f aca="false">IF(AND(食数記録!$A367=プレビュー!$C$3,食数記録!$B367="夕",食数記録!$F367="女性入所",食数記録!$D367="欠食"),1,0)</f>
        <v>0</v>
      </c>
      <c r="M367" s="0" t="str">
        <f aca="false">IF(L367=1,SUM($L$2:L367),"")</f>
        <v/>
      </c>
      <c r="N367" s="0" t="n">
        <f aca="false">IF(AND(食数記録!$A367=プレビュー!$C$3,食数記録!$B367="朝",食数記録!$F367="男性GH",食数記録!$D367="臨時喫食"),1,0)</f>
        <v>0</v>
      </c>
      <c r="O367" s="0" t="str">
        <f aca="false">IF(N367=1,SUM($N$2:N367),"")</f>
        <v/>
      </c>
      <c r="P367" s="0" t="n">
        <f aca="false">IF(AND(食数記録!$A367=プレビュー!$C$3,食数記録!$B367="昼",食数記録!$F367="男性GH",食数記録!$D367="臨時喫食"),1,0)</f>
        <v>0</v>
      </c>
      <c r="Q367" s="0" t="str">
        <f aca="false">IF(P367=1,SUM($P$2:P367),"")</f>
        <v/>
      </c>
      <c r="R367" s="0" t="n">
        <f aca="false">IF(AND(食数記録!$A367=プレビュー!$C$3,食数記録!$B367="夕",食数記録!$F367="男性GH",食数記録!$D367="臨時喫食"),1,0)</f>
        <v>0</v>
      </c>
      <c r="S367" s="0" t="str">
        <f aca="false">IF(R367=1,SUM($R$2:R367),"")</f>
        <v/>
      </c>
      <c r="T367" s="0" t="n">
        <f aca="false">IF(AND(食数記録!$A367=プレビュー!$C$3,食数記録!$B367="朝",食数記録!$F367="女性GH",食数記録!$D367="臨時喫食"),1,0)</f>
        <v>0</v>
      </c>
      <c r="U367" s="0" t="str">
        <f aca="false">IF(T367=1,SUM($T$2:T367),"")</f>
        <v/>
      </c>
      <c r="V367" s="0" t="n">
        <f aca="false">IF(AND(食数記録!$A367=プレビュー!$C$3,食数記録!$B367="昼",食数記録!$F367="女性GH",食数記録!$D367="臨時喫食"),1,0)</f>
        <v>0</v>
      </c>
      <c r="W367" s="0" t="str">
        <f aca="false">IF(V367=1,SUM($V$2:V367),"")</f>
        <v/>
      </c>
      <c r="X367" s="0" t="n">
        <f aca="false">IF(AND(食数記録!$A367=プレビュー!$C$3,食数記録!$B367="夕",食数記録!$F367="女性GH",食数記録!$D367="臨時喫食"),1,0)</f>
        <v>0</v>
      </c>
      <c r="Y367" s="0" t="str">
        <f aca="false">IF(X367=1,SUM($X$2:X367),"")</f>
        <v/>
      </c>
    </row>
    <row r="368" customFormat="false" ht="15" hidden="false" customHeight="false" outlineLevel="0" collapsed="false">
      <c r="B368" s="0" t="n">
        <f aca="false">IF(AND(食数記録!$A368=プレビュー!$C$3,食数記録!$B368="朝",食数記録!$F368="男性入所",食数記録!$D368="欠食"),1,0)</f>
        <v>0</v>
      </c>
      <c r="C368" s="0" t="str">
        <f aca="false">IF(B368=1,SUM($B$2:B368),"")</f>
        <v/>
      </c>
      <c r="D368" s="0" t="n">
        <f aca="false">IF(AND(食数記録!$A368=プレビュー!$C$3,食数記録!$B368="昼",食数記録!$F368="男性入所",食数記録!$D368="欠食"),1,0)</f>
        <v>0</v>
      </c>
      <c r="E368" s="0" t="str">
        <f aca="false">IF(D368=1,SUM($D$2:D368),"")</f>
        <v/>
      </c>
      <c r="F368" s="0" t="n">
        <f aca="false">IF(AND(食数記録!$A368=プレビュー!$C$3,食数記録!$B368="夕",食数記録!$F368="男性入所",食数記録!$D368="欠食"),1,0)</f>
        <v>0</v>
      </c>
      <c r="G368" s="0" t="str">
        <f aca="false">IF(F368=1,SUM($F$2:F368),"")</f>
        <v/>
      </c>
      <c r="H368" s="0" t="n">
        <f aca="false">IF(AND(食数記録!$A368=プレビュー!$C$3,食数記録!$B368="朝",食数記録!$F368="女性入所",食数記録!$D368="欠食"),1,0)</f>
        <v>0</v>
      </c>
      <c r="I368" s="0" t="str">
        <f aca="false">IF(H368=1,SUM($H$2:H368),"")</f>
        <v/>
      </c>
      <c r="J368" s="0" t="n">
        <f aca="false">IF(AND(食数記録!$A368=プレビュー!$C$3,食数記録!$B368="昼",食数記録!$F368="女性入所",食数記録!$D368="欠食"),1,0)</f>
        <v>0</v>
      </c>
      <c r="K368" s="0" t="str">
        <f aca="false">IF(J368=1,SUM($J$2:J368),"")</f>
        <v/>
      </c>
      <c r="L368" s="0" t="n">
        <f aca="false">IF(AND(食数記録!$A368=プレビュー!$C$3,食数記録!$B368="夕",食数記録!$F368="女性入所",食数記録!$D368="欠食"),1,0)</f>
        <v>0</v>
      </c>
      <c r="M368" s="0" t="str">
        <f aca="false">IF(L368=1,SUM($L$2:L368),"")</f>
        <v/>
      </c>
      <c r="N368" s="0" t="n">
        <f aca="false">IF(AND(食数記録!$A368=プレビュー!$C$3,食数記録!$B368="朝",食数記録!$F368="男性GH",食数記録!$D368="臨時喫食"),1,0)</f>
        <v>0</v>
      </c>
      <c r="O368" s="0" t="str">
        <f aca="false">IF(N368=1,SUM($N$2:N368),"")</f>
        <v/>
      </c>
      <c r="P368" s="0" t="n">
        <f aca="false">IF(AND(食数記録!$A368=プレビュー!$C$3,食数記録!$B368="昼",食数記録!$F368="男性GH",食数記録!$D368="臨時喫食"),1,0)</f>
        <v>0</v>
      </c>
      <c r="Q368" s="0" t="str">
        <f aca="false">IF(P368=1,SUM($P$2:P368),"")</f>
        <v/>
      </c>
      <c r="R368" s="0" t="n">
        <f aca="false">IF(AND(食数記録!$A368=プレビュー!$C$3,食数記録!$B368="夕",食数記録!$F368="男性GH",食数記録!$D368="臨時喫食"),1,0)</f>
        <v>0</v>
      </c>
      <c r="S368" s="0" t="str">
        <f aca="false">IF(R368=1,SUM($R$2:R368),"")</f>
        <v/>
      </c>
      <c r="T368" s="0" t="n">
        <f aca="false">IF(AND(食数記録!$A368=プレビュー!$C$3,食数記録!$B368="朝",食数記録!$F368="女性GH",食数記録!$D368="臨時喫食"),1,0)</f>
        <v>0</v>
      </c>
      <c r="U368" s="0" t="str">
        <f aca="false">IF(T368=1,SUM($T$2:T368),"")</f>
        <v/>
      </c>
      <c r="V368" s="0" t="n">
        <f aca="false">IF(AND(食数記録!$A368=プレビュー!$C$3,食数記録!$B368="昼",食数記録!$F368="女性GH",食数記録!$D368="臨時喫食"),1,0)</f>
        <v>0</v>
      </c>
      <c r="W368" s="0" t="str">
        <f aca="false">IF(V368=1,SUM($V$2:V368),"")</f>
        <v/>
      </c>
      <c r="X368" s="0" t="n">
        <f aca="false">IF(AND(食数記録!$A368=プレビュー!$C$3,食数記録!$B368="夕",食数記録!$F368="女性GH",食数記録!$D368="臨時喫食"),1,0)</f>
        <v>0</v>
      </c>
      <c r="Y368" s="0" t="str">
        <f aca="false">IF(X368=1,SUM($X$2:X368),"")</f>
        <v/>
      </c>
    </row>
    <row r="369" customFormat="false" ht="15" hidden="false" customHeight="false" outlineLevel="0" collapsed="false">
      <c r="B369" s="0" t="n">
        <f aca="false">IF(AND(食数記録!$A369=プレビュー!$C$3,食数記録!$B369="朝",食数記録!$F369="男性入所",食数記録!$D369="欠食"),1,0)</f>
        <v>0</v>
      </c>
      <c r="C369" s="0" t="str">
        <f aca="false">IF(B369=1,SUM($B$2:B369),"")</f>
        <v/>
      </c>
      <c r="D369" s="0" t="n">
        <f aca="false">IF(AND(食数記録!$A369=プレビュー!$C$3,食数記録!$B369="昼",食数記録!$F369="男性入所",食数記録!$D369="欠食"),1,0)</f>
        <v>0</v>
      </c>
      <c r="E369" s="0" t="str">
        <f aca="false">IF(D369=1,SUM($D$2:D369),"")</f>
        <v/>
      </c>
      <c r="F369" s="0" t="n">
        <f aca="false">IF(AND(食数記録!$A369=プレビュー!$C$3,食数記録!$B369="夕",食数記録!$F369="男性入所",食数記録!$D369="欠食"),1,0)</f>
        <v>0</v>
      </c>
      <c r="G369" s="0" t="str">
        <f aca="false">IF(F369=1,SUM($F$2:F369),"")</f>
        <v/>
      </c>
      <c r="H369" s="0" t="n">
        <f aca="false">IF(AND(食数記録!$A369=プレビュー!$C$3,食数記録!$B369="朝",食数記録!$F369="女性入所",食数記録!$D369="欠食"),1,0)</f>
        <v>0</v>
      </c>
      <c r="I369" s="0" t="str">
        <f aca="false">IF(H369=1,SUM($H$2:H369),"")</f>
        <v/>
      </c>
      <c r="J369" s="0" t="n">
        <f aca="false">IF(AND(食数記録!$A369=プレビュー!$C$3,食数記録!$B369="昼",食数記録!$F369="女性入所",食数記録!$D369="欠食"),1,0)</f>
        <v>0</v>
      </c>
      <c r="K369" s="0" t="str">
        <f aca="false">IF(J369=1,SUM($J$2:J369),"")</f>
        <v/>
      </c>
      <c r="L369" s="0" t="n">
        <f aca="false">IF(AND(食数記録!$A369=プレビュー!$C$3,食数記録!$B369="夕",食数記録!$F369="女性入所",食数記録!$D369="欠食"),1,0)</f>
        <v>0</v>
      </c>
      <c r="M369" s="0" t="str">
        <f aca="false">IF(L369=1,SUM($L$2:L369),"")</f>
        <v/>
      </c>
      <c r="N369" s="0" t="n">
        <f aca="false">IF(AND(食数記録!$A369=プレビュー!$C$3,食数記録!$B369="朝",食数記録!$F369="男性GH",食数記録!$D369="臨時喫食"),1,0)</f>
        <v>0</v>
      </c>
      <c r="O369" s="0" t="str">
        <f aca="false">IF(N369=1,SUM($N$2:N369),"")</f>
        <v/>
      </c>
      <c r="P369" s="0" t="n">
        <f aca="false">IF(AND(食数記録!$A369=プレビュー!$C$3,食数記録!$B369="昼",食数記録!$F369="男性GH",食数記録!$D369="臨時喫食"),1,0)</f>
        <v>0</v>
      </c>
      <c r="Q369" s="0" t="str">
        <f aca="false">IF(P369=1,SUM($P$2:P369),"")</f>
        <v/>
      </c>
      <c r="R369" s="0" t="n">
        <f aca="false">IF(AND(食数記録!$A369=プレビュー!$C$3,食数記録!$B369="夕",食数記録!$F369="男性GH",食数記録!$D369="臨時喫食"),1,0)</f>
        <v>0</v>
      </c>
      <c r="S369" s="0" t="str">
        <f aca="false">IF(R369=1,SUM($R$2:R369),"")</f>
        <v/>
      </c>
      <c r="T369" s="0" t="n">
        <f aca="false">IF(AND(食数記録!$A369=プレビュー!$C$3,食数記録!$B369="朝",食数記録!$F369="女性GH",食数記録!$D369="臨時喫食"),1,0)</f>
        <v>0</v>
      </c>
      <c r="U369" s="0" t="str">
        <f aca="false">IF(T369=1,SUM($T$2:T369),"")</f>
        <v/>
      </c>
      <c r="V369" s="0" t="n">
        <f aca="false">IF(AND(食数記録!$A369=プレビュー!$C$3,食数記録!$B369="昼",食数記録!$F369="女性GH",食数記録!$D369="臨時喫食"),1,0)</f>
        <v>0</v>
      </c>
      <c r="W369" s="0" t="str">
        <f aca="false">IF(V369=1,SUM($V$2:V369),"")</f>
        <v/>
      </c>
      <c r="X369" s="0" t="n">
        <f aca="false">IF(AND(食数記録!$A369=プレビュー!$C$3,食数記録!$B369="夕",食数記録!$F369="女性GH",食数記録!$D369="臨時喫食"),1,0)</f>
        <v>0</v>
      </c>
      <c r="Y369" s="0" t="str">
        <f aca="false">IF(X369=1,SUM($X$2:X369),"")</f>
        <v/>
      </c>
    </row>
    <row r="370" customFormat="false" ht="15" hidden="false" customHeight="false" outlineLevel="0" collapsed="false">
      <c r="B370" s="0" t="n">
        <f aca="false">IF(AND(食数記録!$A370=プレビュー!$C$3,食数記録!$B370="朝",食数記録!$F370="男性入所",食数記録!$D370="欠食"),1,0)</f>
        <v>0</v>
      </c>
      <c r="C370" s="0" t="str">
        <f aca="false">IF(B370=1,SUM($B$2:B370),"")</f>
        <v/>
      </c>
      <c r="D370" s="0" t="n">
        <f aca="false">IF(AND(食数記録!$A370=プレビュー!$C$3,食数記録!$B370="昼",食数記録!$F370="男性入所",食数記録!$D370="欠食"),1,0)</f>
        <v>0</v>
      </c>
      <c r="E370" s="0" t="str">
        <f aca="false">IF(D370=1,SUM($D$2:D370),"")</f>
        <v/>
      </c>
      <c r="F370" s="0" t="n">
        <f aca="false">IF(AND(食数記録!$A370=プレビュー!$C$3,食数記録!$B370="夕",食数記録!$F370="男性入所",食数記録!$D370="欠食"),1,0)</f>
        <v>0</v>
      </c>
      <c r="G370" s="0" t="str">
        <f aca="false">IF(F370=1,SUM($F$2:F370),"")</f>
        <v/>
      </c>
      <c r="H370" s="0" t="n">
        <f aca="false">IF(AND(食数記録!$A370=プレビュー!$C$3,食数記録!$B370="朝",食数記録!$F370="女性入所",食数記録!$D370="欠食"),1,0)</f>
        <v>0</v>
      </c>
      <c r="I370" s="0" t="str">
        <f aca="false">IF(H370=1,SUM($H$2:H370),"")</f>
        <v/>
      </c>
      <c r="J370" s="0" t="n">
        <f aca="false">IF(AND(食数記録!$A370=プレビュー!$C$3,食数記録!$B370="昼",食数記録!$F370="女性入所",食数記録!$D370="欠食"),1,0)</f>
        <v>0</v>
      </c>
      <c r="K370" s="0" t="str">
        <f aca="false">IF(J370=1,SUM($J$2:J370),"")</f>
        <v/>
      </c>
      <c r="L370" s="0" t="n">
        <f aca="false">IF(AND(食数記録!$A370=プレビュー!$C$3,食数記録!$B370="夕",食数記録!$F370="女性入所",食数記録!$D370="欠食"),1,0)</f>
        <v>0</v>
      </c>
      <c r="M370" s="0" t="str">
        <f aca="false">IF(L370=1,SUM($L$2:L370),"")</f>
        <v/>
      </c>
      <c r="N370" s="0" t="n">
        <f aca="false">IF(AND(食数記録!$A370=プレビュー!$C$3,食数記録!$B370="朝",食数記録!$F370="男性GH",食数記録!$D370="臨時喫食"),1,0)</f>
        <v>0</v>
      </c>
      <c r="O370" s="0" t="str">
        <f aca="false">IF(N370=1,SUM($N$2:N370),"")</f>
        <v/>
      </c>
      <c r="P370" s="0" t="n">
        <f aca="false">IF(AND(食数記録!$A370=プレビュー!$C$3,食数記録!$B370="昼",食数記録!$F370="男性GH",食数記録!$D370="臨時喫食"),1,0)</f>
        <v>0</v>
      </c>
      <c r="Q370" s="0" t="str">
        <f aca="false">IF(P370=1,SUM($P$2:P370),"")</f>
        <v/>
      </c>
      <c r="R370" s="0" t="n">
        <f aca="false">IF(AND(食数記録!$A370=プレビュー!$C$3,食数記録!$B370="夕",食数記録!$F370="男性GH",食数記録!$D370="臨時喫食"),1,0)</f>
        <v>0</v>
      </c>
      <c r="S370" s="0" t="str">
        <f aca="false">IF(R370=1,SUM($R$2:R370),"")</f>
        <v/>
      </c>
      <c r="T370" s="0" t="n">
        <f aca="false">IF(AND(食数記録!$A370=プレビュー!$C$3,食数記録!$B370="朝",食数記録!$F370="女性GH",食数記録!$D370="臨時喫食"),1,0)</f>
        <v>0</v>
      </c>
      <c r="U370" s="0" t="str">
        <f aca="false">IF(T370=1,SUM($T$2:T370),"")</f>
        <v/>
      </c>
      <c r="V370" s="0" t="n">
        <f aca="false">IF(AND(食数記録!$A370=プレビュー!$C$3,食数記録!$B370="昼",食数記録!$F370="女性GH",食数記録!$D370="臨時喫食"),1,0)</f>
        <v>0</v>
      </c>
      <c r="W370" s="0" t="str">
        <f aca="false">IF(V370=1,SUM($V$2:V370),"")</f>
        <v/>
      </c>
      <c r="X370" s="0" t="n">
        <f aca="false">IF(AND(食数記録!$A370=プレビュー!$C$3,食数記録!$B370="夕",食数記録!$F370="女性GH",食数記録!$D370="臨時喫食"),1,0)</f>
        <v>0</v>
      </c>
      <c r="Y370" s="0" t="str">
        <f aca="false">IF(X370=1,SUM($X$2:X370),"")</f>
        <v/>
      </c>
    </row>
    <row r="371" customFormat="false" ht="15" hidden="false" customHeight="false" outlineLevel="0" collapsed="false">
      <c r="B371" s="0" t="n">
        <f aca="false">IF(AND(食数記録!$A371=プレビュー!$C$3,食数記録!$B371="朝",食数記録!$F371="男性入所",食数記録!$D371="欠食"),1,0)</f>
        <v>0</v>
      </c>
      <c r="C371" s="0" t="str">
        <f aca="false">IF(B371=1,SUM($B$2:B371),"")</f>
        <v/>
      </c>
      <c r="D371" s="0" t="n">
        <f aca="false">IF(AND(食数記録!$A371=プレビュー!$C$3,食数記録!$B371="昼",食数記録!$F371="男性入所",食数記録!$D371="欠食"),1,0)</f>
        <v>0</v>
      </c>
      <c r="E371" s="0" t="str">
        <f aca="false">IF(D371=1,SUM($D$2:D371),"")</f>
        <v/>
      </c>
      <c r="F371" s="0" t="n">
        <f aca="false">IF(AND(食数記録!$A371=プレビュー!$C$3,食数記録!$B371="夕",食数記録!$F371="男性入所",食数記録!$D371="欠食"),1,0)</f>
        <v>0</v>
      </c>
      <c r="G371" s="0" t="str">
        <f aca="false">IF(F371=1,SUM($F$2:F371),"")</f>
        <v/>
      </c>
      <c r="H371" s="0" t="n">
        <f aca="false">IF(AND(食数記録!$A371=プレビュー!$C$3,食数記録!$B371="朝",食数記録!$F371="女性入所",食数記録!$D371="欠食"),1,0)</f>
        <v>0</v>
      </c>
      <c r="I371" s="0" t="str">
        <f aca="false">IF(H371=1,SUM($H$2:H371),"")</f>
        <v/>
      </c>
      <c r="J371" s="0" t="n">
        <f aca="false">IF(AND(食数記録!$A371=プレビュー!$C$3,食数記録!$B371="昼",食数記録!$F371="女性入所",食数記録!$D371="欠食"),1,0)</f>
        <v>0</v>
      </c>
      <c r="K371" s="0" t="str">
        <f aca="false">IF(J371=1,SUM($J$2:J371),"")</f>
        <v/>
      </c>
      <c r="L371" s="0" t="n">
        <f aca="false">IF(AND(食数記録!$A371=プレビュー!$C$3,食数記録!$B371="夕",食数記録!$F371="女性入所",食数記録!$D371="欠食"),1,0)</f>
        <v>0</v>
      </c>
      <c r="M371" s="0" t="str">
        <f aca="false">IF(L371=1,SUM($L$2:L371),"")</f>
        <v/>
      </c>
      <c r="N371" s="0" t="n">
        <f aca="false">IF(AND(食数記録!$A371=プレビュー!$C$3,食数記録!$B371="朝",食数記録!$F371="男性GH",食数記録!$D371="臨時喫食"),1,0)</f>
        <v>0</v>
      </c>
      <c r="O371" s="0" t="str">
        <f aca="false">IF(N371=1,SUM($N$2:N371),"")</f>
        <v/>
      </c>
      <c r="P371" s="0" t="n">
        <f aca="false">IF(AND(食数記録!$A371=プレビュー!$C$3,食数記録!$B371="昼",食数記録!$F371="男性GH",食数記録!$D371="臨時喫食"),1,0)</f>
        <v>0</v>
      </c>
      <c r="Q371" s="0" t="str">
        <f aca="false">IF(P371=1,SUM($P$2:P371),"")</f>
        <v/>
      </c>
      <c r="R371" s="0" t="n">
        <f aca="false">IF(AND(食数記録!$A371=プレビュー!$C$3,食数記録!$B371="夕",食数記録!$F371="男性GH",食数記録!$D371="臨時喫食"),1,0)</f>
        <v>0</v>
      </c>
      <c r="S371" s="0" t="str">
        <f aca="false">IF(R371=1,SUM($R$2:R371),"")</f>
        <v/>
      </c>
      <c r="T371" s="0" t="n">
        <f aca="false">IF(AND(食数記録!$A371=プレビュー!$C$3,食数記録!$B371="朝",食数記録!$F371="女性GH",食数記録!$D371="臨時喫食"),1,0)</f>
        <v>0</v>
      </c>
      <c r="U371" s="0" t="str">
        <f aca="false">IF(T371=1,SUM($T$2:T371),"")</f>
        <v/>
      </c>
      <c r="V371" s="0" t="n">
        <f aca="false">IF(AND(食数記録!$A371=プレビュー!$C$3,食数記録!$B371="昼",食数記録!$F371="女性GH",食数記録!$D371="臨時喫食"),1,0)</f>
        <v>0</v>
      </c>
      <c r="W371" s="0" t="str">
        <f aca="false">IF(V371=1,SUM($V$2:V371),"")</f>
        <v/>
      </c>
      <c r="X371" s="0" t="n">
        <f aca="false">IF(AND(食数記録!$A371=プレビュー!$C$3,食数記録!$B371="夕",食数記録!$F371="女性GH",食数記録!$D371="臨時喫食"),1,0)</f>
        <v>0</v>
      </c>
      <c r="Y371" s="0" t="str">
        <f aca="false">IF(X371=1,SUM($X$2:X371),"")</f>
        <v/>
      </c>
    </row>
    <row r="372" customFormat="false" ht="15" hidden="false" customHeight="false" outlineLevel="0" collapsed="false">
      <c r="B372" s="0" t="n">
        <f aca="false">IF(AND(食数記録!$A372=プレビュー!$C$3,食数記録!$B372="朝",食数記録!$F372="男性入所",食数記録!$D372="欠食"),1,0)</f>
        <v>0</v>
      </c>
      <c r="C372" s="0" t="str">
        <f aca="false">IF(B372=1,SUM($B$2:B372),"")</f>
        <v/>
      </c>
      <c r="D372" s="0" t="n">
        <f aca="false">IF(AND(食数記録!$A372=プレビュー!$C$3,食数記録!$B372="昼",食数記録!$F372="男性入所",食数記録!$D372="欠食"),1,0)</f>
        <v>0</v>
      </c>
      <c r="E372" s="0" t="str">
        <f aca="false">IF(D372=1,SUM($D$2:D372),"")</f>
        <v/>
      </c>
      <c r="F372" s="0" t="n">
        <f aca="false">IF(AND(食数記録!$A372=プレビュー!$C$3,食数記録!$B372="夕",食数記録!$F372="男性入所",食数記録!$D372="欠食"),1,0)</f>
        <v>0</v>
      </c>
      <c r="G372" s="0" t="str">
        <f aca="false">IF(F372=1,SUM($F$2:F372),"")</f>
        <v/>
      </c>
      <c r="H372" s="0" t="n">
        <f aca="false">IF(AND(食数記録!$A372=プレビュー!$C$3,食数記録!$B372="朝",食数記録!$F372="女性入所",食数記録!$D372="欠食"),1,0)</f>
        <v>0</v>
      </c>
      <c r="I372" s="0" t="str">
        <f aca="false">IF(H372=1,SUM($H$2:H372),"")</f>
        <v/>
      </c>
      <c r="J372" s="0" t="n">
        <f aca="false">IF(AND(食数記録!$A372=プレビュー!$C$3,食数記録!$B372="昼",食数記録!$F372="女性入所",食数記録!$D372="欠食"),1,0)</f>
        <v>0</v>
      </c>
      <c r="K372" s="0" t="str">
        <f aca="false">IF(J372=1,SUM($J$2:J372),"")</f>
        <v/>
      </c>
      <c r="L372" s="0" t="n">
        <f aca="false">IF(AND(食数記録!$A372=プレビュー!$C$3,食数記録!$B372="夕",食数記録!$F372="女性入所",食数記録!$D372="欠食"),1,0)</f>
        <v>0</v>
      </c>
      <c r="M372" s="0" t="str">
        <f aca="false">IF(L372=1,SUM($L$2:L372),"")</f>
        <v/>
      </c>
      <c r="N372" s="0" t="n">
        <f aca="false">IF(AND(食数記録!$A372=プレビュー!$C$3,食数記録!$B372="朝",食数記録!$F372="男性GH",食数記録!$D372="臨時喫食"),1,0)</f>
        <v>0</v>
      </c>
      <c r="O372" s="0" t="str">
        <f aca="false">IF(N372=1,SUM($N$2:N372),"")</f>
        <v/>
      </c>
      <c r="P372" s="0" t="n">
        <f aca="false">IF(AND(食数記録!$A372=プレビュー!$C$3,食数記録!$B372="昼",食数記録!$F372="男性GH",食数記録!$D372="臨時喫食"),1,0)</f>
        <v>0</v>
      </c>
      <c r="Q372" s="0" t="str">
        <f aca="false">IF(P372=1,SUM($P$2:P372),"")</f>
        <v/>
      </c>
      <c r="R372" s="0" t="n">
        <f aca="false">IF(AND(食数記録!$A372=プレビュー!$C$3,食数記録!$B372="夕",食数記録!$F372="男性GH",食数記録!$D372="臨時喫食"),1,0)</f>
        <v>0</v>
      </c>
      <c r="S372" s="0" t="str">
        <f aca="false">IF(R372=1,SUM($R$2:R372),"")</f>
        <v/>
      </c>
      <c r="T372" s="0" t="n">
        <f aca="false">IF(AND(食数記録!$A372=プレビュー!$C$3,食数記録!$B372="朝",食数記録!$F372="女性GH",食数記録!$D372="臨時喫食"),1,0)</f>
        <v>0</v>
      </c>
      <c r="U372" s="0" t="str">
        <f aca="false">IF(T372=1,SUM($T$2:T372),"")</f>
        <v/>
      </c>
      <c r="V372" s="0" t="n">
        <f aca="false">IF(AND(食数記録!$A372=プレビュー!$C$3,食数記録!$B372="昼",食数記録!$F372="女性GH",食数記録!$D372="臨時喫食"),1,0)</f>
        <v>0</v>
      </c>
      <c r="W372" s="0" t="str">
        <f aca="false">IF(V372=1,SUM($V$2:V372),"")</f>
        <v/>
      </c>
      <c r="X372" s="0" t="n">
        <f aca="false">IF(AND(食数記録!$A372=プレビュー!$C$3,食数記録!$B372="夕",食数記録!$F372="女性GH",食数記録!$D372="臨時喫食"),1,0)</f>
        <v>0</v>
      </c>
      <c r="Y372" s="0" t="str">
        <f aca="false">IF(X372=1,SUM($X$2:X372),"")</f>
        <v/>
      </c>
    </row>
    <row r="373" customFormat="false" ht="15" hidden="false" customHeight="false" outlineLevel="0" collapsed="false">
      <c r="B373" s="0" t="n">
        <f aca="false">IF(AND(食数記録!$A373=プレビュー!$C$3,食数記録!$B373="朝",食数記録!$F373="男性入所",食数記録!$D373="欠食"),1,0)</f>
        <v>0</v>
      </c>
      <c r="C373" s="0" t="str">
        <f aca="false">IF(B373=1,SUM($B$2:B373),"")</f>
        <v/>
      </c>
      <c r="D373" s="0" t="n">
        <f aca="false">IF(AND(食数記録!$A373=プレビュー!$C$3,食数記録!$B373="昼",食数記録!$F373="男性入所",食数記録!$D373="欠食"),1,0)</f>
        <v>0</v>
      </c>
      <c r="E373" s="0" t="str">
        <f aca="false">IF(D373=1,SUM($D$2:D373),"")</f>
        <v/>
      </c>
      <c r="F373" s="0" t="n">
        <f aca="false">IF(AND(食数記録!$A373=プレビュー!$C$3,食数記録!$B373="夕",食数記録!$F373="男性入所",食数記録!$D373="欠食"),1,0)</f>
        <v>0</v>
      </c>
      <c r="G373" s="0" t="str">
        <f aca="false">IF(F373=1,SUM($F$2:F373),"")</f>
        <v/>
      </c>
      <c r="H373" s="0" t="n">
        <f aca="false">IF(AND(食数記録!$A373=プレビュー!$C$3,食数記録!$B373="朝",食数記録!$F373="女性入所",食数記録!$D373="欠食"),1,0)</f>
        <v>0</v>
      </c>
      <c r="I373" s="0" t="str">
        <f aca="false">IF(H373=1,SUM($H$2:H373),"")</f>
        <v/>
      </c>
      <c r="J373" s="0" t="n">
        <f aca="false">IF(AND(食数記録!$A373=プレビュー!$C$3,食数記録!$B373="昼",食数記録!$F373="女性入所",食数記録!$D373="欠食"),1,0)</f>
        <v>0</v>
      </c>
      <c r="K373" s="0" t="str">
        <f aca="false">IF(J373=1,SUM($J$2:J373),"")</f>
        <v/>
      </c>
      <c r="L373" s="0" t="n">
        <f aca="false">IF(AND(食数記録!$A373=プレビュー!$C$3,食数記録!$B373="夕",食数記録!$F373="女性入所",食数記録!$D373="欠食"),1,0)</f>
        <v>0</v>
      </c>
      <c r="M373" s="0" t="str">
        <f aca="false">IF(L373=1,SUM($L$2:L373),"")</f>
        <v/>
      </c>
      <c r="N373" s="0" t="n">
        <f aca="false">IF(AND(食数記録!$A373=プレビュー!$C$3,食数記録!$B373="朝",食数記録!$F373="男性GH",食数記録!$D373="臨時喫食"),1,0)</f>
        <v>0</v>
      </c>
      <c r="O373" s="0" t="str">
        <f aca="false">IF(N373=1,SUM($N$2:N373),"")</f>
        <v/>
      </c>
      <c r="P373" s="0" t="n">
        <f aca="false">IF(AND(食数記録!$A373=プレビュー!$C$3,食数記録!$B373="昼",食数記録!$F373="男性GH",食数記録!$D373="臨時喫食"),1,0)</f>
        <v>0</v>
      </c>
      <c r="Q373" s="0" t="str">
        <f aca="false">IF(P373=1,SUM($P$2:P373),"")</f>
        <v/>
      </c>
      <c r="R373" s="0" t="n">
        <f aca="false">IF(AND(食数記録!$A373=プレビュー!$C$3,食数記録!$B373="夕",食数記録!$F373="男性GH",食数記録!$D373="臨時喫食"),1,0)</f>
        <v>0</v>
      </c>
      <c r="S373" s="0" t="str">
        <f aca="false">IF(R373=1,SUM($R$2:R373),"")</f>
        <v/>
      </c>
      <c r="T373" s="0" t="n">
        <f aca="false">IF(AND(食数記録!$A373=プレビュー!$C$3,食数記録!$B373="朝",食数記録!$F373="女性GH",食数記録!$D373="臨時喫食"),1,0)</f>
        <v>0</v>
      </c>
      <c r="U373" s="0" t="str">
        <f aca="false">IF(T373=1,SUM($T$2:T373),"")</f>
        <v/>
      </c>
      <c r="V373" s="0" t="n">
        <f aca="false">IF(AND(食数記録!$A373=プレビュー!$C$3,食数記録!$B373="昼",食数記録!$F373="女性GH",食数記録!$D373="臨時喫食"),1,0)</f>
        <v>0</v>
      </c>
      <c r="W373" s="0" t="str">
        <f aca="false">IF(V373=1,SUM($V$2:V373),"")</f>
        <v/>
      </c>
      <c r="X373" s="0" t="n">
        <f aca="false">IF(AND(食数記録!$A373=プレビュー!$C$3,食数記録!$B373="夕",食数記録!$F373="女性GH",食数記録!$D373="臨時喫食"),1,0)</f>
        <v>0</v>
      </c>
      <c r="Y373" s="0" t="str">
        <f aca="false">IF(X373=1,SUM($X$2:X373),"")</f>
        <v/>
      </c>
    </row>
    <row r="374" customFormat="false" ht="15" hidden="false" customHeight="false" outlineLevel="0" collapsed="false">
      <c r="B374" s="0" t="n">
        <f aca="false">IF(AND(食数記録!$A374=プレビュー!$C$3,食数記録!$B374="朝",食数記録!$F374="男性入所",食数記録!$D374="欠食"),1,0)</f>
        <v>0</v>
      </c>
      <c r="C374" s="0" t="str">
        <f aca="false">IF(B374=1,SUM($B$2:B374),"")</f>
        <v/>
      </c>
      <c r="D374" s="0" t="n">
        <f aca="false">IF(AND(食数記録!$A374=プレビュー!$C$3,食数記録!$B374="昼",食数記録!$F374="男性入所",食数記録!$D374="欠食"),1,0)</f>
        <v>0</v>
      </c>
      <c r="E374" s="0" t="str">
        <f aca="false">IF(D374=1,SUM($D$2:D374),"")</f>
        <v/>
      </c>
      <c r="F374" s="0" t="n">
        <f aca="false">IF(AND(食数記録!$A374=プレビュー!$C$3,食数記録!$B374="夕",食数記録!$F374="男性入所",食数記録!$D374="欠食"),1,0)</f>
        <v>0</v>
      </c>
      <c r="G374" s="0" t="str">
        <f aca="false">IF(F374=1,SUM($F$2:F374),"")</f>
        <v/>
      </c>
      <c r="H374" s="0" t="n">
        <f aca="false">IF(AND(食数記録!$A374=プレビュー!$C$3,食数記録!$B374="朝",食数記録!$F374="女性入所",食数記録!$D374="欠食"),1,0)</f>
        <v>0</v>
      </c>
      <c r="I374" s="0" t="str">
        <f aca="false">IF(H374=1,SUM($H$2:H374),"")</f>
        <v/>
      </c>
      <c r="J374" s="0" t="n">
        <f aca="false">IF(AND(食数記録!$A374=プレビュー!$C$3,食数記録!$B374="昼",食数記録!$F374="女性入所",食数記録!$D374="欠食"),1,0)</f>
        <v>0</v>
      </c>
      <c r="K374" s="0" t="str">
        <f aca="false">IF(J374=1,SUM($J$2:J374),"")</f>
        <v/>
      </c>
      <c r="L374" s="0" t="n">
        <f aca="false">IF(AND(食数記録!$A374=プレビュー!$C$3,食数記録!$B374="夕",食数記録!$F374="女性入所",食数記録!$D374="欠食"),1,0)</f>
        <v>0</v>
      </c>
      <c r="M374" s="0" t="str">
        <f aca="false">IF(L374=1,SUM($L$2:L374),"")</f>
        <v/>
      </c>
      <c r="N374" s="0" t="n">
        <f aca="false">IF(AND(食数記録!$A374=プレビュー!$C$3,食数記録!$B374="朝",食数記録!$F374="男性GH",食数記録!$D374="臨時喫食"),1,0)</f>
        <v>0</v>
      </c>
      <c r="O374" s="0" t="str">
        <f aca="false">IF(N374=1,SUM($N$2:N374),"")</f>
        <v/>
      </c>
      <c r="P374" s="0" t="n">
        <f aca="false">IF(AND(食数記録!$A374=プレビュー!$C$3,食数記録!$B374="昼",食数記録!$F374="男性GH",食数記録!$D374="臨時喫食"),1,0)</f>
        <v>0</v>
      </c>
      <c r="Q374" s="0" t="str">
        <f aca="false">IF(P374=1,SUM($P$2:P374),"")</f>
        <v/>
      </c>
      <c r="R374" s="0" t="n">
        <f aca="false">IF(AND(食数記録!$A374=プレビュー!$C$3,食数記録!$B374="夕",食数記録!$F374="男性GH",食数記録!$D374="臨時喫食"),1,0)</f>
        <v>0</v>
      </c>
      <c r="S374" s="0" t="str">
        <f aca="false">IF(R374=1,SUM($R$2:R374),"")</f>
        <v/>
      </c>
      <c r="T374" s="0" t="n">
        <f aca="false">IF(AND(食数記録!$A374=プレビュー!$C$3,食数記録!$B374="朝",食数記録!$F374="女性GH",食数記録!$D374="臨時喫食"),1,0)</f>
        <v>0</v>
      </c>
      <c r="U374" s="0" t="str">
        <f aca="false">IF(T374=1,SUM($T$2:T374),"")</f>
        <v/>
      </c>
      <c r="V374" s="0" t="n">
        <f aca="false">IF(AND(食数記録!$A374=プレビュー!$C$3,食数記録!$B374="昼",食数記録!$F374="女性GH",食数記録!$D374="臨時喫食"),1,0)</f>
        <v>0</v>
      </c>
      <c r="W374" s="0" t="str">
        <f aca="false">IF(V374=1,SUM($V$2:V374),"")</f>
        <v/>
      </c>
      <c r="X374" s="0" t="n">
        <f aca="false">IF(AND(食数記録!$A374=プレビュー!$C$3,食数記録!$B374="夕",食数記録!$F374="女性GH",食数記録!$D374="臨時喫食"),1,0)</f>
        <v>0</v>
      </c>
      <c r="Y374" s="0" t="str">
        <f aca="false">IF(X374=1,SUM($X$2:X374),"")</f>
        <v/>
      </c>
    </row>
    <row r="375" customFormat="false" ht="15" hidden="false" customHeight="false" outlineLevel="0" collapsed="false">
      <c r="B375" s="0" t="n">
        <f aca="false">IF(AND(食数記録!$A375=プレビュー!$C$3,食数記録!$B375="朝",食数記録!$F375="男性入所",食数記録!$D375="欠食"),1,0)</f>
        <v>0</v>
      </c>
      <c r="C375" s="0" t="str">
        <f aca="false">IF(B375=1,SUM($B$2:B375),"")</f>
        <v/>
      </c>
      <c r="D375" s="0" t="n">
        <f aca="false">IF(AND(食数記録!$A375=プレビュー!$C$3,食数記録!$B375="昼",食数記録!$F375="男性入所",食数記録!$D375="欠食"),1,0)</f>
        <v>0</v>
      </c>
      <c r="E375" s="0" t="str">
        <f aca="false">IF(D375=1,SUM($D$2:D375),"")</f>
        <v/>
      </c>
      <c r="F375" s="0" t="n">
        <f aca="false">IF(AND(食数記録!$A375=プレビュー!$C$3,食数記録!$B375="夕",食数記録!$F375="男性入所",食数記録!$D375="欠食"),1,0)</f>
        <v>0</v>
      </c>
      <c r="G375" s="0" t="str">
        <f aca="false">IF(F375=1,SUM($F$2:F375),"")</f>
        <v/>
      </c>
      <c r="H375" s="0" t="n">
        <f aca="false">IF(AND(食数記録!$A375=プレビュー!$C$3,食数記録!$B375="朝",食数記録!$F375="女性入所",食数記録!$D375="欠食"),1,0)</f>
        <v>0</v>
      </c>
      <c r="I375" s="0" t="str">
        <f aca="false">IF(H375=1,SUM($H$2:H375),"")</f>
        <v/>
      </c>
      <c r="J375" s="0" t="n">
        <f aca="false">IF(AND(食数記録!$A375=プレビュー!$C$3,食数記録!$B375="昼",食数記録!$F375="女性入所",食数記録!$D375="欠食"),1,0)</f>
        <v>0</v>
      </c>
      <c r="K375" s="0" t="str">
        <f aca="false">IF(J375=1,SUM($J$2:J375),"")</f>
        <v/>
      </c>
      <c r="L375" s="0" t="n">
        <f aca="false">IF(AND(食数記録!$A375=プレビュー!$C$3,食数記録!$B375="夕",食数記録!$F375="女性入所",食数記録!$D375="欠食"),1,0)</f>
        <v>0</v>
      </c>
      <c r="M375" s="0" t="str">
        <f aca="false">IF(L375=1,SUM($L$2:L375),"")</f>
        <v/>
      </c>
      <c r="N375" s="0" t="n">
        <f aca="false">IF(AND(食数記録!$A375=プレビュー!$C$3,食数記録!$B375="朝",食数記録!$F375="男性GH",食数記録!$D375="臨時喫食"),1,0)</f>
        <v>0</v>
      </c>
      <c r="O375" s="0" t="str">
        <f aca="false">IF(N375=1,SUM($N$2:N375),"")</f>
        <v/>
      </c>
      <c r="P375" s="0" t="n">
        <f aca="false">IF(AND(食数記録!$A375=プレビュー!$C$3,食数記録!$B375="昼",食数記録!$F375="男性GH",食数記録!$D375="臨時喫食"),1,0)</f>
        <v>0</v>
      </c>
      <c r="Q375" s="0" t="str">
        <f aca="false">IF(P375=1,SUM($P$2:P375),"")</f>
        <v/>
      </c>
      <c r="R375" s="0" t="n">
        <f aca="false">IF(AND(食数記録!$A375=プレビュー!$C$3,食数記録!$B375="夕",食数記録!$F375="男性GH",食数記録!$D375="臨時喫食"),1,0)</f>
        <v>0</v>
      </c>
      <c r="S375" s="0" t="str">
        <f aca="false">IF(R375=1,SUM($R$2:R375),"")</f>
        <v/>
      </c>
      <c r="T375" s="0" t="n">
        <f aca="false">IF(AND(食数記録!$A375=プレビュー!$C$3,食数記録!$B375="朝",食数記録!$F375="女性GH",食数記録!$D375="臨時喫食"),1,0)</f>
        <v>0</v>
      </c>
      <c r="U375" s="0" t="str">
        <f aca="false">IF(T375=1,SUM($T$2:T375),"")</f>
        <v/>
      </c>
      <c r="V375" s="0" t="n">
        <f aca="false">IF(AND(食数記録!$A375=プレビュー!$C$3,食数記録!$B375="昼",食数記録!$F375="女性GH",食数記録!$D375="臨時喫食"),1,0)</f>
        <v>0</v>
      </c>
      <c r="W375" s="0" t="str">
        <f aca="false">IF(V375=1,SUM($V$2:V375),"")</f>
        <v/>
      </c>
      <c r="X375" s="0" t="n">
        <f aca="false">IF(AND(食数記録!$A375=プレビュー!$C$3,食数記録!$B375="夕",食数記録!$F375="女性GH",食数記録!$D375="臨時喫食"),1,0)</f>
        <v>0</v>
      </c>
      <c r="Y375" s="0" t="str">
        <f aca="false">IF(X375=1,SUM($X$2:X375),"")</f>
        <v/>
      </c>
    </row>
    <row r="376" customFormat="false" ht="15" hidden="false" customHeight="false" outlineLevel="0" collapsed="false">
      <c r="B376" s="0" t="n">
        <f aca="false">IF(AND(食数記録!$A376=プレビュー!$C$3,食数記録!$B376="朝",食数記録!$F376="男性入所",食数記録!$D376="欠食"),1,0)</f>
        <v>0</v>
      </c>
      <c r="C376" s="0" t="str">
        <f aca="false">IF(B376=1,SUM($B$2:B376),"")</f>
        <v/>
      </c>
      <c r="D376" s="0" t="n">
        <f aca="false">IF(AND(食数記録!$A376=プレビュー!$C$3,食数記録!$B376="昼",食数記録!$F376="男性入所",食数記録!$D376="欠食"),1,0)</f>
        <v>0</v>
      </c>
      <c r="E376" s="0" t="str">
        <f aca="false">IF(D376=1,SUM($D$2:D376),"")</f>
        <v/>
      </c>
      <c r="F376" s="0" t="n">
        <f aca="false">IF(AND(食数記録!$A376=プレビュー!$C$3,食数記録!$B376="夕",食数記録!$F376="男性入所",食数記録!$D376="欠食"),1,0)</f>
        <v>0</v>
      </c>
      <c r="G376" s="0" t="str">
        <f aca="false">IF(F376=1,SUM($F$2:F376),"")</f>
        <v/>
      </c>
      <c r="H376" s="0" t="n">
        <f aca="false">IF(AND(食数記録!$A376=プレビュー!$C$3,食数記録!$B376="朝",食数記録!$F376="女性入所",食数記録!$D376="欠食"),1,0)</f>
        <v>0</v>
      </c>
      <c r="I376" s="0" t="str">
        <f aca="false">IF(H376=1,SUM($H$2:H376),"")</f>
        <v/>
      </c>
      <c r="J376" s="0" t="n">
        <f aca="false">IF(AND(食数記録!$A376=プレビュー!$C$3,食数記録!$B376="昼",食数記録!$F376="女性入所",食数記録!$D376="欠食"),1,0)</f>
        <v>0</v>
      </c>
      <c r="K376" s="0" t="str">
        <f aca="false">IF(J376=1,SUM($J$2:J376),"")</f>
        <v/>
      </c>
      <c r="L376" s="0" t="n">
        <f aca="false">IF(AND(食数記録!$A376=プレビュー!$C$3,食数記録!$B376="夕",食数記録!$F376="女性入所",食数記録!$D376="欠食"),1,0)</f>
        <v>0</v>
      </c>
      <c r="M376" s="0" t="str">
        <f aca="false">IF(L376=1,SUM($L$2:L376),"")</f>
        <v/>
      </c>
      <c r="N376" s="0" t="n">
        <f aca="false">IF(AND(食数記録!$A376=プレビュー!$C$3,食数記録!$B376="朝",食数記録!$F376="男性GH",食数記録!$D376="臨時喫食"),1,0)</f>
        <v>0</v>
      </c>
      <c r="O376" s="0" t="str">
        <f aca="false">IF(N376=1,SUM($N$2:N376),"")</f>
        <v/>
      </c>
      <c r="P376" s="0" t="n">
        <f aca="false">IF(AND(食数記録!$A376=プレビュー!$C$3,食数記録!$B376="昼",食数記録!$F376="男性GH",食数記録!$D376="臨時喫食"),1,0)</f>
        <v>0</v>
      </c>
      <c r="Q376" s="0" t="str">
        <f aca="false">IF(P376=1,SUM($P$2:P376),"")</f>
        <v/>
      </c>
      <c r="R376" s="0" t="n">
        <f aca="false">IF(AND(食数記録!$A376=プレビュー!$C$3,食数記録!$B376="夕",食数記録!$F376="男性GH",食数記録!$D376="臨時喫食"),1,0)</f>
        <v>0</v>
      </c>
      <c r="S376" s="0" t="str">
        <f aca="false">IF(R376=1,SUM($R$2:R376),"")</f>
        <v/>
      </c>
      <c r="T376" s="0" t="n">
        <f aca="false">IF(AND(食数記録!$A376=プレビュー!$C$3,食数記録!$B376="朝",食数記録!$F376="女性GH",食数記録!$D376="臨時喫食"),1,0)</f>
        <v>0</v>
      </c>
      <c r="U376" s="0" t="str">
        <f aca="false">IF(T376=1,SUM($T$2:T376),"")</f>
        <v/>
      </c>
      <c r="V376" s="0" t="n">
        <f aca="false">IF(AND(食数記録!$A376=プレビュー!$C$3,食数記録!$B376="昼",食数記録!$F376="女性GH",食数記録!$D376="臨時喫食"),1,0)</f>
        <v>0</v>
      </c>
      <c r="W376" s="0" t="str">
        <f aca="false">IF(V376=1,SUM($V$2:V376),"")</f>
        <v/>
      </c>
      <c r="X376" s="0" t="n">
        <f aca="false">IF(AND(食数記録!$A376=プレビュー!$C$3,食数記録!$B376="夕",食数記録!$F376="女性GH",食数記録!$D376="臨時喫食"),1,0)</f>
        <v>0</v>
      </c>
      <c r="Y376" s="0" t="str">
        <f aca="false">IF(X376=1,SUM($X$2:X376),"")</f>
        <v/>
      </c>
    </row>
    <row r="377" customFormat="false" ht="15" hidden="false" customHeight="false" outlineLevel="0" collapsed="false">
      <c r="B377" s="0" t="n">
        <f aca="false">IF(AND(食数記録!$A377=プレビュー!$C$3,食数記録!$B377="朝",食数記録!$F377="男性入所",食数記録!$D377="欠食"),1,0)</f>
        <v>0</v>
      </c>
      <c r="C377" s="0" t="str">
        <f aca="false">IF(B377=1,SUM($B$2:B377),"")</f>
        <v/>
      </c>
      <c r="D377" s="0" t="n">
        <f aca="false">IF(AND(食数記録!$A377=プレビュー!$C$3,食数記録!$B377="昼",食数記録!$F377="男性入所",食数記録!$D377="欠食"),1,0)</f>
        <v>0</v>
      </c>
      <c r="E377" s="0" t="str">
        <f aca="false">IF(D377=1,SUM($D$2:D377),"")</f>
        <v/>
      </c>
      <c r="F377" s="0" t="n">
        <f aca="false">IF(AND(食数記録!$A377=プレビュー!$C$3,食数記録!$B377="夕",食数記録!$F377="男性入所",食数記録!$D377="欠食"),1,0)</f>
        <v>0</v>
      </c>
      <c r="G377" s="0" t="str">
        <f aca="false">IF(F377=1,SUM($F$2:F377),"")</f>
        <v/>
      </c>
      <c r="H377" s="0" t="n">
        <f aca="false">IF(AND(食数記録!$A377=プレビュー!$C$3,食数記録!$B377="朝",食数記録!$F377="女性入所",食数記録!$D377="欠食"),1,0)</f>
        <v>0</v>
      </c>
      <c r="I377" s="0" t="str">
        <f aca="false">IF(H377=1,SUM($H$2:H377),"")</f>
        <v/>
      </c>
      <c r="J377" s="0" t="n">
        <f aca="false">IF(AND(食数記録!$A377=プレビュー!$C$3,食数記録!$B377="昼",食数記録!$F377="女性入所",食数記録!$D377="欠食"),1,0)</f>
        <v>0</v>
      </c>
      <c r="K377" s="0" t="str">
        <f aca="false">IF(J377=1,SUM($J$2:J377),"")</f>
        <v/>
      </c>
      <c r="L377" s="0" t="n">
        <f aca="false">IF(AND(食数記録!$A377=プレビュー!$C$3,食数記録!$B377="夕",食数記録!$F377="女性入所",食数記録!$D377="欠食"),1,0)</f>
        <v>0</v>
      </c>
      <c r="M377" s="0" t="str">
        <f aca="false">IF(L377=1,SUM($L$2:L377),"")</f>
        <v/>
      </c>
      <c r="N377" s="0" t="n">
        <f aca="false">IF(AND(食数記録!$A377=プレビュー!$C$3,食数記録!$B377="朝",食数記録!$F377="男性GH",食数記録!$D377="臨時喫食"),1,0)</f>
        <v>0</v>
      </c>
      <c r="O377" s="0" t="str">
        <f aca="false">IF(N377=1,SUM($N$2:N377),"")</f>
        <v/>
      </c>
      <c r="P377" s="0" t="n">
        <f aca="false">IF(AND(食数記録!$A377=プレビュー!$C$3,食数記録!$B377="昼",食数記録!$F377="男性GH",食数記録!$D377="臨時喫食"),1,0)</f>
        <v>0</v>
      </c>
      <c r="Q377" s="0" t="str">
        <f aca="false">IF(P377=1,SUM($P$2:P377),"")</f>
        <v/>
      </c>
      <c r="R377" s="0" t="n">
        <f aca="false">IF(AND(食数記録!$A377=プレビュー!$C$3,食数記録!$B377="夕",食数記録!$F377="男性GH",食数記録!$D377="臨時喫食"),1,0)</f>
        <v>0</v>
      </c>
      <c r="S377" s="0" t="str">
        <f aca="false">IF(R377=1,SUM($R$2:R377),"")</f>
        <v/>
      </c>
      <c r="T377" s="0" t="n">
        <f aca="false">IF(AND(食数記録!$A377=プレビュー!$C$3,食数記録!$B377="朝",食数記録!$F377="女性GH",食数記録!$D377="臨時喫食"),1,0)</f>
        <v>0</v>
      </c>
      <c r="U377" s="0" t="str">
        <f aca="false">IF(T377=1,SUM($T$2:T377),"")</f>
        <v/>
      </c>
      <c r="V377" s="0" t="n">
        <f aca="false">IF(AND(食数記録!$A377=プレビュー!$C$3,食数記録!$B377="昼",食数記録!$F377="女性GH",食数記録!$D377="臨時喫食"),1,0)</f>
        <v>0</v>
      </c>
      <c r="W377" s="0" t="str">
        <f aca="false">IF(V377=1,SUM($V$2:V377),"")</f>
        <v/>
      </c>
      <c r="X377" s="0" t="n">
        <f aca="false">IF(AND(食数記録!$A377=プレビュー!$C$3,食数記録!$B377="夕",食数記録!$F377="女性GH",食数記録!$D377="臨時喫食"),1,0)</f>
        <v>0</v>
      </c>
      <c r="Y377" s="0" t="str">
        <f aca="false">IF(X377=1,SUM($X$2:X377),"")</f>
        <v/>
      </c>
    </row>
    <row r="378" customFormat="false" ht="15" hidden="false" customHeight="false" outlineLevel="0" collapsed="false">
      <c r="B378" s="0" t="n">
        <f aca="false">IF(AND(食数記録!$A378=プレビュー!$C$3,食数記録!$B378="朝",食数記録!$F378="男性入所",食数記録!$D378="欠食"),1,0)</f>
        <v>0</v>
      </c>
      <c r="C378" s="0" t="str">
        <f aca="false">IF(B378=1,SUM($B$2:B378),"")</f>
        <v/>
      </c>
      <c r="D378" s="0" t="n">
        <f aca="false">IF(AND(食数記録!$A378=プレビュー!$C$3,食数記録!$B378="昼",食数記録!$F378="男性入所",食数記録!$D378="欠食"),1,0)</f>
        <v>0</v>
      </c>
      <c r="E378" s="0" t="str">
        <f aca="false">IF(D378=1,SUM($D$2:D378),"")</f>
        <v/>
      </c>
      <c r="F378" s="0" t="n">
        <f aca="false">IF(AND(食数記録!$A378=プレビュー!$C$3,食数記録!$B378="夕",食数記録!$F378="男性入所",食数記録!$D378="欠食"),1,0)</f>
        <v>0</v>
      </c>
      <c r="G378" s="0" t="str">
        <f aca="false">IF(F378=1,SUM($F$2:F378),"")</f>
        <v/>
      </c>
      <c r="H378" s="0" t="n">
        <f aca="false">IF(AND(食数記録!$A378=プレビュー!$C$3,食数記録!$B378="朝",食数記録!$F378="女性入所",食数記録!$D378="欠食"),1,0)</f>
        <v>0</v>
      </c>
      <c r="I378" s="0" t="str">
        <f aca="false">IF(H378=1,SUM($H$2:H378),"")</f>
        <v/>
      </c>
      <c r="J378" s="0" t="n">
        <f aca="false">IF(AND(食数記録!$A378=プレビュー!$C$3,食数記録!$B378="昼",食数記録!$F378="女性入所",食数記録!$D378="欠食"),1,0)</f>
        <v>0</v>
      </c>
      <c r="K378" s="0" t="str">
        <f aca="false">IF(J378=1,SUM($J$2:J378),"")</f>
        <v/>
      </c>
      <c r="L378" s="0" t="n">
        <f aca="false">IF(AND(食数記録!$A378=プレビュー!$C$3,食数記録!$B378="夕",食数記録!$F378="女性入所",食数記録!$D378="欠食"),1,0)</f>
        <v>0</v>
      </c>
      <c r="M378" s="0" t="str">
        <f aca="false">IF(L378=1,SUM($L$2:L378),"")</f>
        <v/>
      </c>
      <c r="N378" s="0" t="n">
        <f aca="false">IF(AND(食数記録!$A378=プレビュー!$C$3,食数記録!$B378="朝",食数記録!$F378="男性GH",食数記録!$D378="臨時喫食"),1,0)</f>
        <v>0</v>
      </c>
      <c r="O378" s="0" t="str">
        <f aca="false">IF(N378=1,SUM($N$2:N378),"")</f>
        <v/>
      </c>
      <c r="P378" s="0" t="n">
        <f aca="false">IF(AND(食数記録!$A378=プレビュー!$C$3,食数記録!$B378="昼",食数記録!$F378="男性GH",食数記録!$D378="臨時喫食"),1,0)</f>
        <v>0</v>
      </c>
      <c r="Q378" s="0" t="str">
        <f aca="false">IF(P378=1,SUM($P$2:P378),"")</f>
        <v/>
      </c>
      <c r="R378" s="0" t="n">
        <f aca="false">IF(AND(食数記録!$A378=プレビュー!$C$3,食数記録!$B378="夕",食数記録!$F378="男性GH",食数記録!$D378="臨時喫食"),1,0)</f>
        <v>0</v>
      </c>
      <c r="S378" s="0" t="str">
        <f aca="false">IF(R378=1,SUM($R$2:R378),"")</f>
        <v/>
      </c>
      <c r="T378" s="0" t="n">
        <f aca="false">IF(AND(食数記録!$A378=プレビュー!$C$3,食数記録!$B378="朝",食数記録!$F378="女性GH",食数記録!$D378="臨時喫食"),1,0)</f>
        <v>0</v>
      </c>
      <c r="U378" s="0" t="str">
        <f aca="false">IF(T378=1,SUM($T$2:T378),"")</f>
        <v/>
      </c>
      <c r="V378" s="0" t="n">
        <f aca="false">IF(AND(食数記録!$A378=プレビュー!$C$3,食数記録!$B378="昼",食数記録!$F378="女性GH",食数記録!$D378="臨時喫食"),1,0)</f>
        <v>0</v>
      </c>
      <c r="W378" s="0" t="str">
        <f aca="false">IF(V378=1,SUM($V$2:V378),"")</f>
        <v/>
      </c>
      <c r="X378" s="0" t="n">
        <f aca="false">IF(AND(食数記録!$A378=プレビュー!$C$3,食数記録!$B378="夕",食数記録!$F378="女性GH",食数記録!$D378="臨時喫食"),1,0)</f>
        <v>0</v>
      </c>
      <c r="Y378" s="0" t="str">
        <f aca="false">IF(X378=1,SUM($X$2:X378),"")</f>
        <v/>
      </c>
    </row>
    <row r="379" customFormat="false" ht="15" hidden="false" customHeight="false" outlineLevel="0" collapsed="false">
      <c r="B379" s="0" t="n">
        <f aca="false">IF(AND(食数記録!$A379=プレビュー!$C$3,食数記録!$B379="朝",食数記録!$F379="男性入所",食数記録!$D379="欠食"),1,0)</f>
        <v>0</v>
      </c>
      <c r="C379" s="0" t="str">
        <f aca="false">IF(B379=1,SUM($B$2:B379),"")</f>
        <v/>
      </c>
      <c r="D379" s="0" t="n">
        <f aca="false">IF(AND(食数記録!$A379=プレビュー!$C$3,食数記録!$B379="昼",食数記録!$F379="男性入所",食数記録!$D379="欠食"),1,0)</f>
        <v>0</v>
      </c>
      <c r="E379" s="0" t="str">
        <f aca="false">IF(D379=1,SUM($D$2:D379),"")</f>
        <v/>
      </c>
      <c r="F379" s="0" t="n">
        <f aca="false">IF(AND(食数記録!$A379=プレビュー!$C$3,食数記録!$B379="夕",食数記録!$F379="男性入所",食数記録!$D379="欠食"),1,0)</f>
        <v>0</v>
      </c>
      <c r="G379" s="0" t="str">
        <f aca="false">IF(F379=1,SUM($F$2:F379),"")</f>
        <v/>
      </c>
      <c r="H379" s="0" t="n">
        <f aca="false">IF(AND(食数記録!$A379=プレビュー!$C$3,食数記録!$B379="朝",食数記録!$F379="女性入所",食数記録!$D379="欠食"),1,0)</f>
        <v>0</v>
      </c>
      <c r="I379" s="0" t="str">
        <f aca="false">IF(H379=1,SUM($H$2:H379),"")</f>
        <v/>
      </c>
      <c r="J379" s="0" t="n">
        <f aca="false">IF(AND(食数記録!$A379=プレビュー!$C$3,食数記録!$B379="昼",食数記録!$F379="女性入所",食数記録!$D379="欠食"),1,0)</f>
        <v>0</v>
      </c>
      <c r="K379" s="0" t="str">
        <f aca="false">IF(J379=1,SUM($J$2:J379),"")</f>
        <v/>
      </c>
      <c r="L379" s="0" t="n">
        <f aca="false">IF(AND(食数記録!$A379=プレビュー!$C$3,食数記録!$B379="夕",食数記録!$F379="女性入所",食数記録!$D379="欠食"),1,0)</f>
        <v>0</v>
      </c>
      <c r="M379" s="0" t="str">
        <f aca="false">IF(L379=1,SUM($L$2:L379),"")</f>
        <v/>
      </c>
      <c r="N379" s="0" t="n">
        <f aca="false">IF(AND(食数記録!$A379=プレビュー!$C$3,食数記録!$B379="朝",食数記録!$F379="男性GH",食数記録!$D379="臨時喫食"),1,0)</f>
        <v>0</v>
      </c>
      <c r="O379" s="0" t="str">
        <f aca="false">IF(N379=1,SUM($N$2:N379),"")</f>
        <v/>
      </c>
      <c r="P379" s="0" t="n">
        <f aca="false">IF(AND(食数記録!$A379=プレビュー!$C$3,食数記録!$B379="昼",食数記録!$F379="男性GH",食数記録!$D379="臨時喫食"),1,0)</f>
        <v>0</v>
      </c>
      <c r="Q379" s="0" t="str">
        <f aca="false">IF(P379=1,SUM($P$2:P379),"")</f>
        <v/>
      </c>
      <c r="R379" s="0" t="n">
        <f aca="false">IF(AND(食数記録!$A379=プレビュー!$C$3,食数記録!$B379="夕",食数記録!$F379="男性GH",食数記録!$D379="臨時喫食"),1,0)</f>
        <v>0</v>
      </c>
      <c r="S379" s="0" t="str">
        <f aca="false">IF(R379=1,SUM($R$2:R379),"")</f>
        <v/>
      </c>
      <c r="T379" s="0" t="n">
        <f aca="false">IF(AND(食数記録!$A379=プレビュー!$C$3,食数記録!$B379="朝",食数記録!$F379="女性GH",食数記録!$D379="臨時喫食"),1,0)</f>
        <v>0</v>
      </c>
      <c r="U379" s="0" t="str">
        <f aca="false">IF(T379=1,SUM($T$2:T379),"")</f>
        <v/>
      </c>
      <c r="V379" s="0" t="n">
        <f aca="false">IF(AND(食数記録!$A379=プレビュー!$C$3,食数記録!$B379="昼",食数記録!$F379="女性GH",食数記録!$D379="臨時喫食"),1,0)</f>
        <v>0</v>
      </c>
      <c r="W379" s="0" t="str">
        <f aca="false">IF(V379=1,SUM($V$2:V379),"")</f>
        <v/>
      </c>
      <c r="X379" s="0" t="n">
        <f aca="false">IF(AND(食数記録!$A379=プレビュー!$C$3,食数記録!$B379="夕",食数記録!$F379="女性GH",食数記録!$D379="臨時喫食"),1,0)</f>
        <v>0</v>
      </c>
      <c r="Y379" s="0" t="str">
        <f aca="false">IF(X379=1,SUM($X$2:X379),"")</f>
        <v/>
      </c>
    </row>
    <row r="380" customFormat="false" ht="15" hidden="false" customHeight="false" outlineLevel="0" collapsed="false">
      <c r="B380" s="0" t="n">
        <f aca="false">IF(AND(食数記録!$A380=プレビュー!$C$3,食数記録!$B380="朝",食数記録!$F380="男性入所",食数記録!$D380="欠食"),1,0)</f>
        <v>0</v>
      </c>
      <c r="C380" s="0" t="str">
        <f aca="false">IF(B380=1,SUM($B$2:B380),"")</f>
        <v/>
      </c>
      <c r="D380" s="0" t="n">
        <f aca="false">IF(AND(食数記録!$A380=プレビュー!$C$3,食数記録!$B380="昼",食数記録!$F380="男性入所",食数記録!$D380="欠食"),1,0)</f>
        <v>0</v>
      </c>
      <c r="E380" s="0" t="str">
        <f aca="false">IF(D380=1,SUM($D$2:D380),"")</f>
        <v/>
      </c>
      <c r="F380" s="0" t="n">
        <f aca="false">IF(AND(食数記録!$A380=プレビュー!$C$3,食数記録!$B380="夕",食数記録!$F380="男性入所",食数記録!$D380="欠食"),1,0)</f>
        <v>0</v>
      </c>
      <c r="G380" s="0" t="str">
        <f aca="false">IF(F380=1,SUM($F$2:F380),"")</f>
        <v/>
      </c>
      <c r="H380" s="0" t="n">
        <f aca="false">IF(AND(食数記録!$A380=プレビュー!$C$3,食数記録!$B380="朝",食数記録!$F380="女性入所",食数記録!$D380="欠食"),1,0)</f>
        <v>0</v>
      </c>
      <c r="I380" s="0" t="str">
        <f aca="false">IF(H380=1,SUM($H$2:H380),"")</f>
        <v/>
      </c>
      <c r="J380" s="0" t="n">
        <f aca="false">IF(AND(食数記録!$A380=プレビュー!$C$3,食数記録!$B380="昼",食数記録!$F380="女性入所",食数記録!$D380="欠食"),1,0)</f>
        <v>0</v>
      </c>
      <c r="K380" s="0" t="str">
        <f aca="false">IF(J380=1,SUM($J$2:J380),"")</f>
        <v/>
      </c>
      <c r="L380" s="0" t="n">
        <f aca="false">IF(AND(食数記録!$A380=プレビュー!$C$3,食数記録!$B380="夕",食数記録!$F380="女性入所",食数記録!$D380="欠食"),1,0)</f>
        <v>0</v>
      </c>
      <c r="M380" s="0" t="str">
        <f aca="false">IF(L380=1,SUM($L$2:L380),"")</f>
        <v/>
      </c>
      <c r="N380" s="0" t="n">
        <f aca="false">IF(AND(食数記録!$A380=プレビュー!$C$3,食数記録!$B380="朝",食数記録!$F380="男性GH",食数記録!$D380="臨時喫食"),1,0)</f>
        <v>0</v>
      </c>
      <c r="O380" s="0" t="str">
        <f aca="false">IF(N380=1,SUM($N$2:N380),"")</f>
        <v/>
      </c>
      <c r="P380" s="0" t="n">
        <f aca="false">IF(AND(食数記録!$A380=プレビュー!$C$3,食数記録!$B380="昼",食数記録!$F380="男性GH",食数記録!$D380="臨時喫食"),1,0)</f>
        <v>0</v>
      </c>
      <c r="Q380" s="0" t="str">
        <f aca="false">IF(P380=1,SUM($P$2:P380),"")</f>
        <v/>
      </c>
      <c r="R380" s="0" t="n">
        <f aca="false">IF(AND(食数記録!$A380=プレビュー!$C$3,食数記録!$B380="夕",食数記録!$F380="男性GH",食数記録!$D380="臨時喫食"),1,0)</f>
        <v>0</v>
      </c>
      <c r="S380" s="0" t="str">
        <f aca="false">IF(R380=1,SUM($R$2:R380),"")</f>
        <v/>
      </c>
      <c r="T380" s="0" t="n">
        <f aca="false">IF(AND(食数記録!$A380=プレビュー!$C$3,食数記録!$B380="朝",食数記録!$F380="女性GH",食数記録!$D380="臨時喫食"),1,0)</f>
        <v>0</v>
      </c>
      <c r="U380" s="0" t="str">
        <f aca="false">IF(T380=1,SUM($T$2:T380),"")</f>
        <v/>
      </c>
      <c r="V380" s="0" t="n">
        <f aca="false">IF(AND(食数記録!$A380=プレビュー!$C$3,食数記録!$B380="昼",食数記録!$F380="女性GH",食数記録!$D380="臨時喫食"),1,0)</f>
        <v>0</v>
      </c>
      <c r="W380" s="0" t="str">
        <f aca="false">IF(V380=1,SUM($V$2:V380),"")</f>
        <v/>
      </c>
      <c r="X380" s="0" t="n">
        <f aca="false">IF(AND(食数記録!$A380=プレビュー!$C$3,食数記録!$B380="夕",食数記録!$F380="女性GH",食数記録!$D380="臨時喫食"),1,0)</f>
        <v>0</v>
      </c>
      <c r="Y380" s="0" t="str">
        <f aca="false">IF(X380=1,SUM($X$2:X380),"")</f>
        <v/>
      </c>
    </row>
    <row r="381" customFormat="false" ht="15" hidden="false" customHeight="false" outlineLevel="0" collapsed="false">
      <c r="B381" s="0" t="n">
        <f aca="false">IF(AND(食数記録!$A381=プレビュー!$C$3,食数記録!$B381="朝",食数記録!$F381="男性入所",食数記録!$D381="欠食"),1,0)</f>
        <v>0</v>
      </c>
      <c r="C381" s="0" t="str">
        <f aca="false">IF(B381=1,SUM($B$2:B381),"")</f>
        <v/>
      </c>
      <c r="D381" s="0" t="n">
        <f aca="false">IF(AND(食数記録!$A381=プレビュー!$C$3,食数記録!$B381="昼",食数記録!$F381="男性入所",食数記録!$D381="欠食"),1,0)</f>
        <v>0</v>
      </c>
      <c r="E381" s="0" t="str">
        <f aca="false">IF(D381=1,SUM($D$2:D381),"")</f>
        <v/>
      </c>
      <c r="F381" s="0" t="n">
        <f aca="false">IF(AND(食数記録!$A381=プレビュー!$C$3,食数記録!$B381="夕",食数記録!$F381="男性入所",食数記録!$D381="欠食"),1,0)</f>
        <v>0</v>
      </c>
      <c r="G381" s="0" t="str">
        <f aca="false">IF(F381=1,SUM($F$2:F381),"")</f>
        <v/>
      </c>
      <c r="H381" s="0" t="n">
        <f aca="false">IF(AND(食数記録!$A381=プレビュー!$C$3,食数記録!$B381="朝",食数記録!$F381="女性入所",食数記録!$D381="欠食"),1,0)</f>
        <v>0</v>
      </c>
      <c r="I381" s="0" t="str">
        <f aca="false">IF(H381=1,SUM($H$2:H381),"")</f>
        <v/>
      </c>
      <c r="J381" s="0" t="n">
        <f aca="false">IF(AND(食数記録!$A381=プレビュー!$C$3,食数記録!$B381="昼",食数記録!$F381="女性入所",食数記録!$D381="欠食"),1,0)</f>
        <v>0</v>
      </c>
      <c r="K381" s="0" t="str">
        <f aca="false">IF(J381=1,SUM($J$2:J381),"")</f>
        <v/>
      </c>
      <c r="L381" s="0" t="n">
        <f aca="false">IF(AND(食数記録!$A381=プレビュー!$C$3,食数記録!$B381="夕",食数記録!$F381="女性入所",食数記録!$D381="欠食"),1,0)</f>
        <v>0</v>
      </c>
      <c r="M381" s="0" t="str">
        <f aca="false">IF(L381=1,SUM($L$2:L381),"")</f>
        <v/>
      </c>
      <c r="N381" s="0" t="n">
        <f aca="false">IF(AND(食数記録!$A381=プレビュー!$C$3,食数記録!$B381="朝",食数記録!$F381="男性GH",食数記録!$D381="臨時喫食"),1,0)</f>
        <v>0</v>
      </c>
      <c r="O381" s="0" t="str">
        <f aca="false">IF(N381=1,SUM($N$2:N381),"")</f>
        <v/>
      </c>
      <c r="P381" s="0" t="n">
        <f aca="false">IF(AND(食数記録!$A381=プレビュー!$C$3,食数記録!$B381="昼",食数記録!$F381="男性GH",食数記録!$D381="臨時喫食"),1,0)</f>
        <v>0</v>
      </c>
      <c r="Q381" s="0" t="str">
        <f aca="false">IF(P381=1,SUM($P$2:P381),"")</f>
        <v/>
      </c>
      <c r="R381" s="0" t="n">
        <f aca="false">IF(AND(食数記録!$A381=プレビュー!$C$3,食数記録!$B381="夕",食数記録!$F381="男性GH",食数記録!$D381="臨時喫食"),1,0)</f>
        <v>0</v>
      </c>
      <c r="S381" s="0" t="str">
        <f aca="false">IF(R381=1,SUM($R$2:R381),"")</f>
        <v/>
      </c>
      <c r="T381" s="0" t="n">
        <f aca="false">IF(AND(食数記録!$A381=プレビュー!$C$3,食数記録!$B381="朝",食数記録!$F381="女性GH",食数記録!$D381="臨時喫食"),1,0)</f>
        <v>0</v>
      </c>
      <c r="U381" s="0" t="str">
        <f aca="false">IF(T381=1,SUM($T$2:T381),"")</f>
        <v/>
      </c>
      <c r="V381" s="0" t="n">
        <f aca="false">IF(AND(食数記録!$A381=プレビュー!$C$3,食数記録!$B381="昼",食数記録!$F381="女性GH",食数記録!$D381="臨時喫食"),1,0)</f>
        <v>0</v>
      </c>
      <c r="W381" s="0" t="str">
        <f aca="false">IF(V381=1,SUM($V$2:V381),"")</f>
        <v/>
      </c>
      <c r="X381" s="0" t="n">
        <f aca="false">IF(AND(食数記録!$A381=プレビュー!$C$3,食数記録!$B381="夕",食数記録!$F381="女性GH",食数記録!$D381="臨時喫食"),1,0)</f>
        <v>0</v>
      </c>
      <c r="Y381" s="0" t="str">
        <f aca="false">IF(X381=1,SUM($X$2:X381),"")</f>
        <v/>
      </c>
    </row>
    <row r="382" customFormat="false" ht="15" hidden="false" customHeight="false" outlineLevel="0" collapsed="false">
      <c r="B382" s="0" t="n">
        <f aca="false">IF(AND(食数記録!$A382=プレビュー!$C$3,食数記録!$B382="朝",食数記録!$F382="男性入所",食数記録!$D382="欠食"),1,0)</f>
        <v>0</v>
      </c>
      <c r="C382" s="0" t="str">
        <f aca="false">IF(B382=1,SUM($B$2:B382),"")</f>
        <v/>
      </c>
      <c r="D382" s="0" t="n">
        <f aca="false">IF(AND(食数記録!$A382=プレビュー!$C$3,食数記録!$B382="昼",食数記録!$F382="男性入所",食数記録!$D382="欠食"),1,0)</f>
        <v>0</v>
      </c>
      <c r="E382" s="0" t="str">
        <f aca="false">IF(D382=1,SUM($D$2:D382),"")</f>
        <v/>
      </c>
      <c r="F382" s="0" t="n">
        <f aca="false">IF(AND(食数記録!$A382=プレビュー!$C$3,食数記録!$B382="夕",食数記録!$F382="男性入所",食数記録!$D382="欠食"),1,0)</f>
        <v>0</v>
      </c>
      <c r="G382" s="0" t="str">
        <f aca="false">IF(F382=1,SUM($F$2:F382),"")</f>
        <v/>
      </c>
      <c r="H382" s="0" t="n">
        <f aca="false">IF(AND(食数記録!$A382=プレビュー!$C$3,食数記録!$B382="朝",食数記録!$F382="女性入所",食数記録!$D382="欠食"),1,0)</f>
        <v>0</v>
      </c>
      <c r="I382" s="0" t="str">
        <f aca="false">IF(H382=1,SUM($H$2:H382),"")</f>
        <v/>
      </c>
      <c r="J382" s="0" t="n">
        <f aca="false">IF(AND(食数記録!$A382=プレビュー!$C$3,食数記録!$B382="昼",食数記録!$F382="女性入所",食数記録!$D382="欠食"),1,0)</f>
        <v>0</v>
      </c>
      <c r="K382" s="0" t="str">
        <f aca="false">IF(J382=1,SUM($J$2:J382),"")</f>
        <v/>
      </c>
      <c r="L382" s="0" t="n">
        <f aca="false">IF(AND(食数記録!$A382=プレビュー!$C$3,食数記録!$B382="夕",食数記録!$F382="女性入所",食数記録!$D382="欠食"),1,0)</f>
        <v>0</v>
      </c>
      <c r="M382" s="0" t="str">
        <f aca="false">IF(L382=1,SUM($L$2:L382),"")</f>
        <v/>
      </c>
      <c r="N382" s="0" t="n">
        <f aca="false">IF(AND(食数記録!$A382=プレビュー!$C$3,食数記録!$B382="朝",食数記録!$F382="男性GH",食数記録!$D382="臨時喫食"),1,0)</f>
        <v>0</v>
      </c>
      <c r="O382" s="0" t="str">
        <f aca="false">IF(N382=1,SUM($N$2:N382),"")</f>
        <v/>
      </c>
      <c r="P382" s="0" t="n">
        <f aca="false">IF(AND(食数記録!$A382=プレビュー!$C$3,食数記録!$B382="昼",食数記録!$F382="男性GH",食数記録!$D382="臨時喫食"),1,0)</f>
        <v>0</v>
      </c>
      <c r="Q382" s="0" t="str">
        <f aca="false">IF(P382=1,SUM($P$2:P382),"")</f>
        <v/>
      </c>
      <c r="R382" s="0" t="n">
        <f aca="false">IF(AND(食数記録!$A382=プレビュー!$C$3,食数記録!$B382="夕",食数記録!$F382="男性GH",食数記録!$D382="臨時喫食"),1,0)</f>
        <v>0</v>
      </c>
      <c r="S382" s="0" t="str">
        <f aca="false">IF(R382=1,SUM($R$2:R382),"")</f>
        <v/>
      </c>
      <c r="T382" s="0" t="n">
        <f aca="false">IF(AND(食数記録!$A382=プレビュー!$C$3,食数記録!$B382="朝",食数記録!$F382="女性GH",食数記録!$D382="臨時喫食"),1,0)</f>
        <v>0</v>
      </c>
      <c r="U382" s="0" t="str">
        <f aca="false">IF(T382=1,SUM($T$2:T382),"")</f>
        <v/>
      </c>
      <c r="V382" s="0" t="n">
        <f aca="false">IF(AND(食数記録!$A382=プレビュー!$C$3,食数記録!$B382="昼",食数記録!$F382="女性GH",食数記録!$D382="臨時喫食"),1,0)</f>
        <v>0</v>
      </c>
      <c r="W382" s="0" t="str">
        <f aca="false">IF(V382=1,SUM($V$2:V382),"")</f>
        <v/>
      </c>
      <c r="X382" s="0" t="n">
        <f aca="false">IF(AND(食数記録!$A382=プレビュー!$C$3,食数記録!$B382="夕",食数記録!$F382="女性GH",食数記録!$D382="臨時喫食"),1,0)</f>
        <v>0</v>
      </c>
      <c r="Y382" s="0" t="str">
        <f aca="false">IF(X382=1,SUM($X$2:X382),"")</f>
        <v/>
      </c>
    </row>
    <row r="383" customFormat="false" ht="15" hidden="false" customHeight="false" outlineLevel="0" collapsed="false">
      <c r="B383" s="0" t="n">
        <f aca="false">IF(AND(食数記録!$A383=プレビュー!$C$3,食数記録!$B383="朝",食数記録!$F383="男性入所",食数記録!$D383="欠食"),1,0)</f>
        <v>0</v>
      </c>
      <c r="C383" s="0" t="str">
        <f aca="false">IF(B383=1,SUM($B$2:B383),"")</f>
        <v/>
      </c>
      <c r="D383" s="0" t="n">
        <f aca="false">IF(AND(食数記録!$A383=プレビュー!$C$3,食数記録!$B383="昼",食数記録!$F383="男性入所",食数記録!$D383="欠食"),1,0)</f>
        <v>0</v>
      </c>
      <c r="E383" s="0" t="str">
        <f aca="false">IF(D383=1,SUM($D$2:D383),"")</f>
        <v/>
      </c>
      <c r="F383" s="0" t="n">
        <f aca="false">IF(AND(食数記録!$A383=プレビュー!$C$3,食数記録!$B383="夕",食数記録!$F383="男性入所",食数記録!$D383="欠食"),1,0)</f>
        <v>0</v>
      </c>
      <c r="G383" s="0" t="str">
        <f aca="false">IF(F383=1,SUM($F$2:F383),"")</f>
        <v/>
      </c>
      <c r="H383" s="0" t="n">
        <f aca="false">IF(AND(食数記録!$A383=プレビュー!$C$3,食数記録!$B383="朝",食数記録!$F383="女性入所",食数記録!$D383="欠食"),1,0)</f>
        <v>0</v>
      </c>
      <c r="I383" s="0" t="str">
        <f aca="false">IF(H383=1,SUM($H$2:H383),"")</f>
        <v/>
      </c>
      <c r="J383" s="0" t="n">
        <f aca="false">IF(AND(食数記録!$A383=プレビュー!$C$3,食数記録!$B383="昼",食数記録!$F383="女性入所",食数記録!$D383="欠食"),1,0)</f>
        <v>0</v>
      </c>
      <c r="K383" s="0" t="str">
        <f aca="false">IF(J383=1,SUM($J$2:J383),"")</f>
        <v/>
      </c>
      <c r="L383" s="0" t="n">
        <f aca="false">IF(AND(食数記録!$A383=プレビュー!$C$3,食数記録!$B383="夕",食数記録!$F383="女性入所",食数記録!$D383="欠食"),1,0)</f>
        <v>0</v>
      </c>
      <c r="M383" s="0" t="str">
        <f aca="false">IF(L383=1,SUM($L$2:L383),"")</f>
        <v/>
      </c>
      <c r="N383" s="0" t="n">
        <f aca="false">IF(AND(食数記録!$A383=プレビュー!$C$3,食数記録!$B383="朝",食数記録!$F383="男性GH",食数記録!$D383="臨時喫食"),1,0)</f>
        <v>0</v>
      </c>
      <c r="O383" s="0" t="str">
        <f aca="false">IF(N383=1,SUM($N$2:N383),"")</f>
        <v/>
      </c>
      <c r="P383" s="0" t="n">
        <f aca="false">IF(AND(食数記録!$A383=プレビュー!$C$3,食数記録!$B383="昼",食数記録!$F383="男性GH",食数記録!$D383="臨時喫食"),1,0)</f>
        <v>0</v>
      </c>
      <c r="Q383" s="0" t="str">
        <f aca="false">IF(P383=1,SUM($P$2:P383),"")</f>
        <v/>
      </c>
      <c r="R383" s="0" t="n">
        <f aca="false">IF(AND(食数記録!$A383=プレビュー!$C$3,食数記録!$B383="夕",食数記録!$F383="男性GH",食数記録!$D383="臨時喫食"),1,0)</f>
        <v>0</v>
      </c>
      <c r="S383" s="0" t="str">
        <f aca="false">IF(R383=1,SUM($R$2:R383),"")</f>
        <v/>
      </c>
      <c r="T383" s="0" t="n">
        <f aca="false">IF(AND(食数記録!$A383=プレビュー!$C$3,食数記録!$B383="朝",食数記録!$F383="女性GH",食数記録!$D383="臨時喫食"),1,0)</f>
        <v>0</v>
      </c>
      <c r="U383" s="0" t="str">
        <f aca="false">IF(T383=1,SUM($T$2:T383),"")</f>
        <v/>
      </c>
      <c r="V383" s="0" t="n">
        <f aca="false">IF(AND(食数記録!$A383=プレビュー!$C$3,食数記録!$B383="昼",食数記録!$F383="女性GH",食数記録!$D383="臨時喫食"),1,0)</f>
        <v>0</v>
      </c>
      <c r="W383" s="0" t="str">
        <f aca="false">IF(V383=1,SUM($V$2:V383),"")</f>
        <v/>
      </c>
      <c r="X383" s="0" t="n">
        <f aca="false">IF(AND(食数記録!$A383=プレビュー!$C$3,食数記録!$B383="夕",食数記録!$F383="女性GH",食数記録!$D383="臨時喫食"),1,0)</f>
        <v>0</v>
      </c>
      <c r="Y383" s="0" t="str">
        <f aca="false">IF(X383=1,SUM($X$2:X383),"")</f>
        <v/>
      </c>
    </row>
    <row r="384" customFormat="false" ht="15" hidden="false" customHeight="false" outlineLevel="0" collapsed="false">
      <c r="B384" s="0" t="n">
        <f aca="false">IF(AND(食数記録!$A384=プレビュー!$C$3,食数記録!$B384="朝",食数記録!$F384="男性入所",食数記録!$D384="欠食"),1,0)</f>
        <v>0</v>
      </c>
      <c r="C384" s="0" t="str">
        <f aca="false">IF(B384=1,SUM($B$2:B384),"")</f>
        <v/>
      </c>
      <c r="D384" s="0" t="n">
        <f aca="false">IF(AND(食数記録!$A384=プレビュー!$C$3,食数記録!$B384="昼",食数記録!$F384="男性入所",食数記録!$D384="欠食"),1,0)</f>
        <v>0</v>
      </c>
      <c r="E384" s="0" t="str">
        <f aca="false">IF(D384=1,SUM($D$2:D384),"")</f>
        <v/>
      </c>
      <c r="F384" s="0" t="n">
        <f aca="false">IF(AND(食数記録!$A384=プレビュー!$C$3,食数記録!$B384="夕",食数記録!$F384="男性入所",食数記録!$D384="欠食"),1,0)</f>
        <v>0</v>
      </c>
      <c r="G384" s="0" t="str">
        <f aca="false">IF(F384=1,SUM($F$2:F384),"")</f>
        <v/>
      </c>
      <c r="H384" s="0" t="n">
        <f aca="false">IF(AND(食数記録!$A384=プレビュー!$C$3,食数記録!$B384="朝",食数記録!$F384="女性入所",食数記録!$D384="欠食"),1,0)</f>
        <v>0</v>
      </c>
      <c r="I384" s="0" t="str">
        <f aca="false">IF(H384=1,SUM($H$2:H384),"")</f>
        <v/>
      </c>
      <c r="J384" s="0" t="n">
        <f aca="false">IF(AND(食数記録!$A384=プレビュー!$C$3,食数記録!$B384="昼",食数記録!$F384="女性入所",食数記録!$D384="欠食"),1,0)</f>
        <v>0</v>
      </c>
      <c r="K384" s="0" t="str">
        <f aca="false">IF(J384=1,SUM($J$2:J384),"")</f>
        <v/>
      </c>
      <c r="L384" s="0" t="n">
        <f aca="false">IF(AND(食数記録!$A384=プレビュー!$C$3,食数記録!$B384="夕",食数記録!$F384="女性入所",食数記録!$D384="欠食"),1,0)</f>
        <v>0</v>
      </c>
      <c r="M384" s="0" t="str">
        <f aca="false">IF(L384=1,SUM($L$2:L384),"")</f>
        <v/>
      </c>
      <c r="N384" s="0" t="n">
        <f aca="false">IF(AND(食数記録!$A384=プレビュー!$C$3,食数記録!$B384="朝",食数記録!$F384="男性GH",食数記録!$D384="臨時喫食"),1,0)</f>
        <v>0</v>
      </c>
      <c r="O384" s="0" t="str">
        <f aca="false">IF(N384=1,SUM($N$2:N384),"")</f>
        <v/>
      </c>
      <c r="P384" s="0" t="n">
        <f aca="false">IF(AND(食数記録!$A384=プレビュー!$C$3,食数記録!$B384="昼",食数記録!$F384="男性GH",食数記録!$D384="臨時喫食"),1,0)</f>
        <v>0</v>
      </c>
      <c r="Q384" s="0" t="str">
        <f aca="false">IF(P384=1,SUM($P$2:P384),"")</f>
        <v/>
      </c>
      <c r="R384" s="0" t="n">
        <f aca="false">IF(AND(食数記録!$A384=プレビュー!$C$3,食数記録!$B384="夕",食数記録!$F384="男性GH",食数記録!$D384="臨時喫食"),1,0)</f>
        <v>0</v>
      </c>
      <c r="S384" s="0" t="str">
        <f aca="false">IF(R384=1,SUM($R$2:R384),"")</f>
        <v/>
      </c>
      <c r="T384" s="0" t="n">
        <f aca="false">IF(AND(食数記録!$A384=プレビュー!$C$3,食数記録!$B384="朝",食数記録!$F384="女性GH",食数記録!$D384="臨時喫食"),1,0)</f>
        <v>0</v>
      </c>
      <c r="U384" s="0" t="str">
        <f aca="false">IF(T384=1,SUM($T$2:T384),"")</f>
        <v/>
      </c>
      <c r="V384" s="0" t="n">
        <f aca="false">IF(AND(食数記録!$A384=プレビュー!$C$3,食数記録!$B384="昼",食数記録!$F384="女性GH",食数記録!$D384="臨時喫食"),1,0)</f>
        <v>0</v>
      </c>
      <c r="W384" s="0" t="str">
        <f aca="false">IF(V384=1,SUM($V$2:V384),"")</f>
        <v/>
      </c>
      <c r="X384" s="0" t="n">
        <f aca="false">IF(AND(食数記録!$A384=プレビュー!$C$3,食数記録!$B384="夕",食数記録!$F384="女性GH",食数記録!$D384="臨時喫食"),1,0)</f>
        <v>0</v>
      </c>
      <c r="Y384" s="0" t="str">
        <f aca="false">IF(X384=1,SUM($X$2:X384),"")</f>
        <v/>
      </c>
    </row>
    <row r="385" customFormat="false" ht="15" hidden="false" customHeight="false" outlineLevel="0" collapsed="false">
      <c r="B385" s="0" t="n">
        <f aca="false">IF(AND(食数記録!$A385=プレビュー!$C$3,食数記録!$B385="朝",食数記録!$F385="男性入所",食数記録!$D385="欠食"),1,0)</f>
        <v>0</v>
      </c>
      <c r="C385" s="0" t="str">
        <f aca="false">IF(B385=1,SUM($B$2:B385),"")</f>
        <v/>
      </c>
      <c r="D385" s="0" t="n">
        <f aca="false">IF(AND(食数記録!$A385=プレビュー!$C$3,食数記録!$B385="昼",食数記録!$F385="男性入所",食数記録!$D385="欠食"),1,0)</f>
        <v>0</v>
      </c>
      <c r="E385" s="0" t="str">
        <f aca="false">IF(D385=1,SUM($D$2:D385),"")</f>
        <v/>
      </c>
      <c r="F385" s="0" t="n">
        <f aca="false">IF(AND(食数記録!$A385=プレビュー!$C$3,食数記録!$B385="夕",食数記録!$F385="男性入所",食数記録!$D385="欠食"),1,0)</f>
        <v>0</v>
      </c>
      <c r="G385" s="0" t="str">
        <f aca="false">IF(F385=1,SUM($F$2:F385),"")</f>
        <v/>
      </c>
      <c r="H385" s="0" t="n">
        <f aca="false">IF(AND(食数記録!$A385=プレビュー!$C$3,食数記録!$B385="朝",食数記録!$F385="女性入所",食数記録!$D385="欠食"),1,0)</f>
        <v>0</v>
      </c>
      <c r="I385" s="0" t="str">
        <f aca="false">IF(H385=1,SUM($H$2:H385),"")</f>
        <v/>
      </c>
      <c r="J385" s="0" t="n">
        <f aca="false">IF(AND(食数記録!$A385=プレビュー!$C$3,食数記録!$B385="昼",食数記録!$F385="女性入所",食数記録!$D385="欠食"),1,0)</f>
        <v>0</v>
      </c>
      <c r="K385" s="0" t="str">
        <f aca="false">IF(J385=1,SUM($J$2:J385),"")</f>
        <v/>
      </c>
      <c r="L385" s="0" t="n">
        <f aca="false">IF(AND(食数記録!$A385=プレビュー!$C$3,食数記録!$B385="夕",食数記録!$F385="女性入所",食数記録!$D385="欠食"),1,0)</f>
        <v>0</v>
      </c>
      <c r="M385" s="0" t="str">
        <f aca="false">IF(L385=1,SUM($L$2:L385),"")</f>
        <v/>
      </c>
      <c r="N385" s="0" t="n">
        <f aca="false">IF(AND(食数記録!$A385=プレビュー!$C$3,食数記録!$B385="朝",食数記録!$F385="男性GH",食数記録!$D385="臨時喫食"),1,0)</f>
        <v>0</v>
      </c>
      <c r="O385" s="0" t="str">
        <f aca="false">IF(N385=1,SUM($N$2:N385),"")</f>
        <v/>
      </c>
      <c r="P385" s="0" t="n">
        <f aca="false">IF(AND(食数記録!$A385=プレビュー!$C$3,食数記録!$B385="昼",食数記録!$F385="男性GH",食数記録!$D385="臨時喫食"),1,0)</f>
        <v>0</v>
      </c>
      <c r="Q385" s="0" t="str">
        <f aca="false">IF(P385=1,SUM($P$2:P385),"")</f>
        <v/>
      </c>
      <c r="R385" s="0" t="n">
        <f aca="false">IF(AND(食数記録!$A385=プレビュー!$C$3,食数記録!$B385="夕",食数記録!$F385="男性GH",食数記録!$D385="臨時喫食"),1,0)</f>
        <v>0</v>
      </c>
      <c r="S385" s="0" t="str">
        <f aca="false">IF(R385=1,SUM($R$2:R385),"")</f>
        <v/>
      </c>
      <c r="T385" s="0" t="n">
        <f aca="false">IF(AND(食数記録!$A385=プレビュー!$C$3,食数記録!$B385="朝",食数記録!$F385="女性GH",食数記録!$D385="臨時喫食"),1,0)</f>
        <v>0</v>
      </c>
      <c r="U385" s="0" t="str">
        <f aca="false">IF(T385=1,SUM($T$2:T385),"")</f>
        <v/>
      </c>
      <c r="V385" s="0" t="n">
        <f aca="false">IF(AND(食数記録!$A385=プレビュー!$C$3,食数記録!$B385="昼",食数記録!$F385="女性GH",食数記録!$D385="臨時喫食"),1,0)</f>
        <v>0</v>
      </c>
      <c r="W385" s="0" t="str">
        <f aca="false">IF(V385=1,SUM($V$2:V385),"")</f>
        <v/>
      </c>
      <c r="X385" s="0" t="n">
        <f aca="false">IF(AND(食数記録!$A385=プレビュー!$C$3,食数記録!$B385="夕",食数記録!$F385="女性GH",食数記録!$D385="臨時喫食"),1,0)</f>
        <v>0</v>
      </c>
      <c r="Y385" s="0" t="str">
        <f aca="false">IF(X385=1,SUM($X$2:X385),"")</f>
        <v/>
      </c>
    </row>
    <row r="386" customFormat="false" ht="15" hidden="false" customHeight="false" outlineLevel="0" collapsed="false">
      <c r="B386" s="0" t="n">
        <f aca="false">IF(AND(食数記録!$A386=プレビュー!$C$3,食数記録!$B386="朝",食数記録!$F386="男性入所",食数記録!$D386="欠食"),1,0)</f>
        <v>0</v>
      </c>
      <c r="C386" s="0" t="str">
        <f aca="false">IF(B386=1,SUM($B$2:B386),"")</f>
        <v/>
      </c>
      <c r="D386" s="0" t="n">
        <f aca="false">IF(AND(食数記録!$A386=プレビュー!$C$3,食数記録!$B386="昼",食数記録!$F386="男性入所",食数記録!$D386="欠食"),1,0)</f>
        <v>0</v>
      </c>
      <c r="E386" s="0" t="str">
        <f aca="false">IF(D386=1,SUM($D$2:D386),"")</f>
        <v/>
      </c>
      <c r="F386" s="0" t="n">
        <f aca="false">IF(AND(食数記録!$A386=プレビュー!$C$3,食数記録!$B386="夕",食数記録!$F386="男性入所",食数記録!$D386="欠食"),1,0)</f>
        <v>0</v>
      </c>
      <c r="G386" s="0" t="str">
        <f aca="false">IF(F386=1,SUM($F$2:F386),"")</f>
        <v/>
      </c>
      <c r="H386" s="0" t="n">
        <f aca="false">IF(AND(食数記録!$A386=プレビュー!$C$3,食数記録!$B386="朝",食数記録!$F386="女性入所",食数記録!$D386="欠食"),1,0)</f>
        <v>0</v>
      </c>
      <c r="I386" s="0" t="str">
        <f aca="false">IF(H386=1,SUM($H$2:H386),"")</f>
        <v/>
      </c>
      <c r="J386" s="0" t="n">
        <f aca="false">IF(AND(食数記録!$A386=プレビュー!$C$3,食数記録!$B386="昼",食数記録!$F386="女性入所",食数記録!$D386="欠食"),1,0)</f>
        <v>0</v>
      </c>
      <c r="K386" s="0" t="str">
        <f aca="false">IF(J386=1,SUM($J$2:J386),"")</f>
        <v/>
      </c>
      <c r="L386" s="0" t="n">
        <f aca="false">IF(AND(食数記録!$A386=プレビュー!$C$3,食数記録!$B386="夕",食数記録!$F386="女性入所",食数記録!$D386="欠食"),1,0)</f>
        <v>0</v>
      </c>
      <c r="M386" s="0" t="str">
        <f aca="false">IF(L386=1,SUM($L$2:L386),"")</f>
        <v/>
      </c>
      <c r="N386" s="0" t="n">
        <f aca="false">IF(AND(食数記録!$A386=プレビュー!$C$3,食数記録!$B386="朝",食数記録!$F386="男性GH",食数記録!$D386="臨時喫食"),1,0)</f>
        <v>0</v>
      </c>
      <c r="O386" s="0" t="str">
        <f aca="false">IF(N386=1,SUM($N$2:N386),"")</f>
        <v/>
      </c>
      <c r="P386" s="0" t="n">
        <f aca="false">IF(AND(食数記録!$A386=プレビュー!$C$3,食数記録!$B386="昼",食数記録!$F386="男性GH",食数記録!$D386="臨時喫食"),1,0)</f>
        <v>0</v>
      </c>
      <c r="Q386" s="0" t="str">
        <f aca="false">IF(P386=1,SUM($P$2:P386),"")</f>
        <v/>
      </c>
      <c r="R386" s="0" t="n">
        <f aca="false">IF(AND(食数記録!$A386=プレビュー!$C$3,食数記録!$B386="夕",食数記録!$F386="男性GH",食数記録!$D386="臨時喫食"),1,0)</f>
        <v>0</v>
      </c>
      <c r="S386" s="0" t="str">
        <f aca="false">IF(R386=1,SUM($R$2:R386),"")</f>
        <v/>
      </c>
      <c r="T386" s="0" t="n">
        <f aca="false">IF(AND(食数記録!$A386=プレビュー!$C$3,食数記録!$B386="朝",食数記録!$F386="女性GH",食数記録!$D386="臨時喫食"),1,0)</f>
        <v>0</v>
      </c>
      <c r="U386" s="0" t="str">
        <f aca="false">IF(T386=1,SUM($T$2:T386),"")</f>
        <v/>
      </c>
      <c r="V386" s="0" t="n">
        <f aca="false">IF(AND(食数記録!$A386=プレビュー!$C$3,食数記録!$B386="昼",食数記録!$F386="女性GH",食数記録!$D386="臨時喫食"),1,0)</f>
        <v>0</v>
      </c>
      <c r="W386" s="0" t="str">
        <f aca="false">IF(V386=1,SUM($V$2:V386),"")</f>
        <v/>
      </c>
      <c r="X386" s="0" t="n">
        <f aca="false">IF(AND(食数記録!$A386=プレビュー!$C$3,食数記録!$B386="夕",食数記録!$F386="女性GH",食数記録!$D386="臨時喫食"),1,0)</f>
        <v>0</v>
      </c>
      <c r="Y386" s="0" t="str">
        <f aca="false">IF(X386=1,SUM($X$2:X386),"")</f>
        <v/>
      </c>
    </row>
    <row r="387" customFormat="false" ht="15" hidden="false" customHeight="false" outlineLevel="0" collapsed="false">
      <c r="B387" s="0" t="n">
        <f aca="false">IF(AND(食数記録!$A387=プレビュー!$C$3,食数記録!$B387="朝",食数記録!$F387="男性入所",食数記録!$D387="欠食"),1,0)</f>
        <v>0</v>
      </c>
      <c r="C387" s="0" t="str">
        <f aca="false">IF(B387=1,SUM($B$2:B387),"")</f>
        <v/>
      </c>
      <c r="D387" s="0" t="n">
        <f aca="false">IF(AND(食数記録!$A387=プレビュー!$C$3,食数記録!$B387="昼",食数記録!$F387="男性入所",食数記録!$D387="欠食"),1,0)</f>
        <v>0</v>
      </c>
      <c r="E387" s="0" t="str">
        <f aca="false">IF(D387=1,SUM($D$2:D387),"")</f>
        <v/>
      </c>
      <c r="F387" s="0" t="n">
        <f aca="false">IF(AND(食数記録!$A387=プレビュー!$C$3,食数記録!$B387="夕",食数記録!$F387="男性入所",食数記録!$D387="欠食"),1,0)</f>
        <v>0</v>
      </c>
      <c r="G387" s="0" t="str">
        <f aca="false">IF(F387=1,SUM($F$2:F387),"")</f>
        <v/>
      </c>
      <c r="H387" s="0" t="n">
        <f aca="false">IF(AND(食数記録!$A387=プレビュー!$C$3,食数記録!$B387="朝",食数記録!$F387="女性入所",食数記録!$D387="欠食"),1,0)</f>
        <v>0</v>
      </c>
      <c r="I387" s="0" t="str">
        <f aca="false">IF(H387=1,SUM($H$2:H387),"")</f>
        <v/>
      </c>
      <c r="J387" s="0" t="n">
        <f aca="false">IF(AND(食数記録!$A387=プレビュー!$C$3,食数記録!$B387="昼",食数記録!$F387="女性入所",食数記録!$D387="欠食"),1,0)</f>
        <v>0</v>
      </c>
      <c r="K387" s="0" t="str">
        <f aca="false">IF(J387=1,SUM($J$2:J387),"")</f>
        <v/>
      </c>
      <c r="L387" s="0" t="n">
        <f aca="false">IF(AND(食数記録!$A387=プレビュー!$C$3,食数記録!$B387="夕",食数記録!$F387="女性入所",食数記録!$D387="欠食"),1,0)</f>
        <v>0</v>
      </c>
      <c r="M387" s="0" t="str">
        <f aca="false">IF(L387=1,SUM($L$2:L387),"")</f>
        <v/>
      </c>
      <c r="N387" s="0" t="n">
        <f aca="false">IF(AND(食数記録!$A387=プレビュー!$C$3,食数記録!$B387="朝",食数記録!$F387="男性GH",食数記録!$D387="臨時喫食"),1,0)</f>
        <v>0</v>
      </c>
      <c r="O387" s="0" t="str">
        <f aca="false">IF(N387=1,SUM($N$2:N387),"")</f>
        <v/>
      </c>
      <c r="P387" s="0" t="n">
        <f aca="false">IF(AND(食数記録!$A387=プレビュー!$C$3,食数記録!$B387="昼",食数記録!$F387="男性GH",食数記録!$D387="臨時喫食"),1,0)</f>
        <v>0</v>
      </c>
      <c r="Q387" s="0" t="str">
        <f aca="false">IF(P387=1,SUM($P$2:P387),"")</f>
        <v/>
      </c>
      <c r="R387" s="0" t="n">
        <f aca="false">IF(AND(食数記録!$A387=プレビュー!$C$3,食数記録!$B387="夕",食数記録!$F387="男性GH",食数記録!$D387="臨時喫食"),1,0)</f>
        <v>0</v>
      </c>
      <c r="S387" s="0" t="str">
        <f aca="false">IF(R387=1,SUM($R$2:R387),"")</f>
        <v/>
      </c>
      <c r="T387" s="0" t="n">
        <f aca="false">IF(AND(食数記録!$A387=プレビュー!$C$3,食数記録!$B387="朝",食数記録!$F387="女性GH",食数記録!$D387="臨時喫食"),1,0)</f>
        <v>0</v>
      </c>
      <c r="U387" s="0" t="str">
        <f aca="false">IF(T387=1,SUM($T$2:T387),"")</f>
        <v/>
      </c>
      <c r="V387" s="0" t="n">
        <f aca="false">IF(AND(食数記録!$A387=プレビュー!$C$3,食数記録!$B387="昼",食数記録!$F387="女性GH",食数記録!$D387="臨時喫食"),1,0)</f>
        <v>0</v>
      </c>
      <c r="W387" s="0" t="str">
        <f aca="false">IF(V387=1,SUM($V$2:V387),"")</f>
        <v/>
      </c>
      <c r="X387" s="0" t="n">
        <f aca="false">IF(AND(食数記録!$A387=プレビュー!$C$3,食数記録!$B387="夕",食数記録!$F387="女性GH",食数記録!$D387="臨時喫食"),1,0)</f>
        <v>0</v>
      </c>
      <c r="Y387" s="0" t="str">
        <f aca="false">IF(X387=1,SUM($X$2:X387),"")</f>
        <v/>
      </c>
    </row>
    <row r="388" customFormat="false" ht="15" hidden="false" customHeight="false" outlineLevel="0" collapsed="false">
      <c r="B388" s="0" t="n">
        <f aca="false">IF(AND(食数記録!$A388=プレビュー!$C$3,食数記録!$B388="朝",食数記録!$F388="男性入所",食数記録!$D388="欠食"),1,0)</f>
        <v>0</v>
      </c>
      <c r="C388" s="0" t="str">
        <f aca="false">IF(B388=1,SUM($B$2:B388),"")</f>
        <v/>
      </c>
      <c r="D388" s="0" t="n">
        <f aca="false">IF(AND(食数記録!$A388=プレビュー!$C$3,食数記録!$B388="昼",食数記録!$F388="男性入所",食数記録!$D388="欠食"),1,0)</f>
        <v>0</v>
      </c>
      <c r="E388" s="0" t="str">
        <f aca="false">IF(D388=1,SUM($D$2:D388),"")</f>
        <v/>
      </c>
      <c r="F388" s="0" t="n">
        <f aca="false">IF(AND(食数記録!$A388=プレビュー!$C$3,食数記録!$B388="夕",食数記録!$F388="男性入所",食数記録!$D388="欠食"),1,0)</f>
        <v>0</v>
      </c>
      <c r="G388" s="0" t="str">
        <f aca="false">IF(F388=1,SUM($F$2:F388),"")</f>
        <v/>
      </c>
      <c r="H388" s="0" t="n">
        <f aca="false">IF(AND(食数記録!$A388=プレビュー!$C$3,食数記録!$B388="朝",食数記録!$F388="女性入所",食数記録!$D388="欠食"),1,0)</f>
        <v>0</v>
      </c>
      <c r="I388" s="0" t="str">
        <f aca="false">IF(H388=1,SUM($H$2:H388),"")</f>
        <v/>
      </c>
      <c r="J388" s="0" t="n">
        <f aca="false">IF(AND(食数記録!$A388=プレビュー!$C$3,食数記録!$B388="昼",食数記録!$F388="女性入所",食数記録!$D388="欠食"),1,0)</f>
        <v>0</v>
      </c>
      <c r="K388" s="0" t="str">
        <f aca="false">IF(J388=1,SUM($J$2:J388),"")</f>
        <v/>
      </c>
      <c r="L388" s="0" t="n">
        <f aca="false">IF(AND(食数記録!$A388=プレビュー!$C$3,食数記録!$B388="夕",食数記録!$F388="女性入所",食数記録!$D388="欠食"),1,0)</f>
        <v>0</v>
      </c>
      <c r="M388" s="0" t="str">
        <f aca="false">IF(L388=1,SUM($L$2:L388),"")</f>
        <v/>
      </c>
      <c r="N388" s="0" t="n">
        <f aca="false">IF(AND(食数記録!$A388=プレビュー!$C$3,食数記録!$B388="朝",食数記録!$F388="男性GH",食数記録!$D388="臨時喫食"),1,0)</f>
        <v>0</v>
      </c>
      <c r="O388" s="0" t="str">
        <f aca="false">IF(N388=1,SUM($N$2:N388),"")</f>
        <v/>
      </c>
      <c r="P388" s="0" t="n">
        <f aca="false">IF(AND(食数記録!$A388=プレビュー!$C$3,食数記録!$B388="昼",食数記録!$F388="男性GH",食数記録!$D388="臨時喫食"),1,0)</f>
        <v>0</v>
      </c>
      <c r="Q388" s="0" t="str">
        <f aca="false">IF(P388=1,SUM($P$2:P388),"")</f>
        <v/>
      </c>
      <c r="R388" s="0" t="n">
        <f aca="false">IF(AND(食数記録!$A388=プレビュー!$C$3,食数記録!$B388="夕",食数記録!$F388="男性GH",食数記録!$D388="臨時喫食"),1,0)</f>
        <v>0</v>
      </c>
      <c r="S388" s="0" t="str">
        <f aca="false">IF(R388=1,SUM($R$2:R388),"")</f>
        <v/>
      </c>
      <c r="T388" s="0" t="n">
        <f aca="false">IF(AND(食数記録!$A388=プレビュー!$C$3,食数記録!$B388="朝",食数記録!$F388="女性GH",食数記録!$D388="臨時喫食"),1,0)</f>
        <v>0</v>
      </c>
      <c r="U388" s="0" t="str">
        <f aca="false">IF(T388=1,SUM($T$2:T388),"")</f>
        <v/>
      </c>
      <c r="V388" s="0" t="n">
        <f aca="false">IF(AND(食数記録!$A388=プレビュー!$C$3,食数記録!$B388="昼",食数記録!$F388="女性GH",食数記録!$D388="臨時喫食"),1,0)</f>
        <v>0</v>
      </c>
      <c r="W388" s="0" t="str">
        <f aca="false">IF(V388=1,SUM($V$2:V388),"")</f>
        <v/>
      </c>
      <c r="X388" s="0" t="n">
        <f aca="false">IF(AND(食数記録!$A388=プレビュー!$C$3,食数記録!$B388="夕",食数記録!$F388="女性GH",食数記録!$D388="臨時喫食"),1,0)</f>
        <v>0</v>
      </c>
      <c r="Y388" s="0" t="str">
        <f aca="false">IF(X388=1,SUM($X$2:X388),"")</f>
        <v/>
      </c>
    </row>
    <row r="389" customFormat="false" ht="15" hidden="false" customHeight="false" outlineLevel="0" collapsed="false">
      <c r="B389" s="0" t="n">
        <f aca="false">IF(AND(食数記録!$A389=プレビュー!$C$3,食数記録!$B389="朝",食数記録!$F389="男性入所",食数記録!$D389="欠食"),1,0)</f>
        <v>0</v>
      </c>
      <c r="C389" s="0" t="str">
        <f aca="false">IF(B389=1,SUM($B$2:B389),"")</f>
        <v/>
      </c>
      <c r="D389" s="0" t="n">
        <f aca="false">IF(AND(食数記録!$A389=プレビュー!$C$3,食数記録!$B389="昼",食数記録!$F389="男性入所",食数記録!$D389="欠食"),1,0)</f>
        <v>0</v>
      </c>
      <c r="E389" s="0" t="str">
        <f aca="false">IF(D389=1,SUM($D$2:D389),"")</f>
        <v/>
      </c>
      <c r="F389" s="0" t="n">
        <f aca="false">IF(AND(食数記録!$A389=プレビュー!$C$3,食数記録!$B389="夕",食数記録!$F389="男性入所",食数記録!$D389="欠食"),1,0)</f>
        <v>0</v>
      </c>
      <c r="G389" s="0" t="str">
        <f aca="false">IF(F389=1,SUM($F$2:F389),"")</f>
        <v/>
      </c>
      <c r="H389" s="0" t="n">
        <f aca="false">IF(AND(食数記録!$A389=プレビュー!$C$3,食数記録!$B389="朝",食数記録!$F389="女性入所",食数記録!$D389="欠食"),1,0)</f>
        <v>0</v>
      </c>
      <c r="I389" s="0" t="str">
        <f aca="false">IF(H389=1,SUM($H$2:H389),"")</f>
        <v/>
      </c>
      <c r="J389" s="0" t="n">
        <f aca="false">IF(AND(食数記録!$A389=プレビュー!$C$3,食数記録!$B389="昼",食数記録!$F389="女性入所",食数記録!$D389="欠食"),1,0)</f>
        <v>0</v>
      </c>
      <c r="K389" s="0" t="str">
        <f aca="false">IF(J389=1,SUM($J$2:J389),"")</f>
        <v/>
      </c>
      <c r="L389" s="0" t="n">
        <f aca="false">IF(AND(食数記録!$A389=プレビュー!$C$3,食数記録!$B389="夕",食数記録!$F389="女性入所",食数記録!$D389="欠食"),1,0)</f>
        <v>0</v>
      </c>
      <c r="M389" s="0" t="str">
        <f aca="false">IF(L389=1,SUM($L$2:L389),"")</f>
        <v/>
      </c>
      <c r="N389" s="0" t="n">
        <f aca="false">IF(AND(食数記録!$A389=プレビュー!$C$3,食数記録!$B389="朝",食数記録!$F389="男性GH",食数記録!$D389="臨時喫食"),1,0)</f>
        <v>0</v>
      </c>
      <c r="O389" s="0" t="str">
        <f aca="false">IF(N389=1,SUM($N$2:N389),"")</f>
        <v/>
      </c>
      <c r="P389" s="0" t="n">
        <f aca="false">IF(AND(食数記録!$A389=プレビュー!$C$3,食数記録!$B389="昼",食数記録!$F389="男性GH",食数記録!$D389="臨時喫食"),1,0)</f>
        <v>0</v>
      </c>
      <c r="Q389" s="0" t="str">
        <f aca="false">IF(P389=1,SUM($P$2:P389),"")</f>
        <v/>
      </c>
      <c r="R389" s="0" t="n">
        <f aca="false">IF(AND(食数記録!$A389=プレビュー!$C$3,食数記録!$B389="夕",食数記録!$F389="男性GH",食数記録!$D389="臨時喫食"),1,0)</f>
        <v>0</v>
      </c>
      <c r="S389" s="0" t="str">
        <f aca="false">IF(R389=1,SUM($R$2:R389),"")</f>
        <v/>
      </c>
      <c r="T389" s="0" t="n">
        <f aca="false">IF(AND(食数記録!$A389=プレビュー!$C$3,食数記録!$B389="朝",食数記録!$F389="女性GH",食数記録!$D389="臨時喫食"),1,0)</f>
        <v>0</v>
      </c>
      <c r="U389" s="0" t="str">
        <f aca="false">IF(T389=1,SUM($T$2:T389),"")</f>
        <v/>
      </c>
      <c r="V389" s="0" t="n">
        <f aca="false">IF(AND(食数記録!$A389=プレビュー!$C$3,食数記録!$B389="昼",食数記録!$F389="女性GH",食数記録!$D389="臨時喫食"),1,0)</f>
        <v>0</v>
      </c>
      <c r="W389" s="0" t="str">
        <f aca="false">IF(V389=1,SUM($V$2:V389),"")</f>
        <v/>
      </c>
      <c r="X389" s="0" t="n">
        <f aca="false">IF(AND(食数記録!$A389=プレビュー!$C$3,食数記録!$B389="夕",食数記録!$F389="女性GH",食数記録!$D389="臨時喫食"),1,0)</f>
        <v>0</v>
      </c>
      <c r="Y389" s="0" t="str">
        <f aca="false">IF(X389=1,SUM($X$2:X389),"")</f>
        <v/>
      </c>
    </row>
    <row r="390" customFormat="false" ht="15" hidden="false" customHeight="false" outlineLevel="0" collapsed="false">
      <c r="B390" s="0" t="n">
        <f aca="false">IF(AND(食数記録!$A390=プレビュー!$C$3,食数記録!$B390="朝",食数記録!$F390="男性入所",食数記録!$D390="欠食"),1,0)</f>
        <v>0</v>
      </c>
      <c r="C390" s="0" t="str">
        <f aca="false">IF(B390=1,SUM($B$2:B390),"")</f>
        <v/>
      </c>
      <c r="D390" s="0" t="n">
        <f aca="false">IF(AND(食数記録!$A390=プレビュー!$C$3,食数記録!$B390="昼",食数記録!$F390="男性入所",食数記録!$D390="欠食"),1,0)</f>
        <v>0</v>
      </c>
      <c r="E390" s="0" t="str">
        <f aca="false">IF(D390=1,SUM($D$2:D390),"")</f>
        <v/>
      </c>
      <c r="F390" s="0" t="n">
        <f aca="false">IF(AND(食数記録!$A390=プレビュー!$C$3,食数記録!$B390="夕",食数記録!$F390="男性入所",食数記録!$D390="欠食"),1,0)</f>
        <v>0</v>
      </c>
      <c r="G390" s="0" t="str">
        <f aca="false">IF(F390=1,SUM($F$2:F390),"")</f>
        <v/>
      </c>
      <c r="H390" s="0" t="n">
        <f aca="false">IF(AND(食数記録!$A390=プレビュー!$C$3,食数記録!$B390="朝",食数記録!$F390="女性入所",食数記録!$D390="欠食"),1,0)</f>
        <v>0</v>
      </c>
      <c r="I390" s="0" t="str">
        <f aca="false">IF(H390=1,SUM($H$2:H390),"")</f>
        <v/>
      </c>
      <c r="J390" s="0" t="n">
        <f aca="false">IF(AND(食数記録!$A390=プレビュー!$C$3,食数記録!$B390="昼",食数記録!$F390="女性入所",食数記録!$D390="欠食"),1,0)</f>
        <v>0</v>
      </c>
      <c r="K390" s="0" t="str">
        <f aca="false">IF(J390=1,SUM($J$2:J390),"")</f>
        <v/>
      </c>
      <c r="L390" s="0" t="n">
        <f aca="false">IF(AND(食数記録!$A390=プレビュー!$C$3,食数記録!$B390="夕",食数記録!$F390="女性入所",食数記録!$D390="欠食"),1,0)</f>
        <v>0</v>
      </c>
      <c r="M390" s="0" t="str">
        <f aca="false">IF(L390=1,SUM($L$2:L390),"")</f>
        <v/>
      </c>
      <c r="N390" s="0" t="n">
        <f aca="false">IF(AND(食数記録!$A390=プレビュー!$C$3,食数記録!$B390="朝",食数記録!$F390="男性GH",食数記録!$D390="臨時喫食"),1,0)</f>
        <v>0</v>
      </c>
      <c r="O390" s="0" t="str">
        <f aca="false">IF(N390=1,SUM($N$2:N390),"")</f>
        <v/>
      </c>
      <c r="P390" s="0" t="n">
        <f aca="false">IF(AND(食数記録!$A390=プレビュー!$C$3,食数記録!$B390="昼",食数記録!$F390="男性GH",食数記録!$D390="臨時喫食"),1,0)</f>
        <v>0</v>
      </c>
      <c r="Q390" s="0" t="str">
        <f aca="false">IF(P390=1,SUM($P$2:P390),"")</f>
        <v/>
      </c>
      <c r="R390" s="0" t="n">
        <f aca="false">IF(AND(食数記録!$A390=プレビュー!$C$3,食数記録!$B390="夕",食数記録!$F390="男性GH",食数記録!$D390="臨時喫食"),1,0)</f>
        <v>0</v>
      </c>
      <c r="S390" s="0" t="str">
        <f aca="false">IF(R390=1,SUM($R$2:R390),"")</f>
        <v/>
      </c>
      <c r="T390" s="0" t="n">
        <f aca="false">IF(AND(食数記録!$A390=プレビュー!$C$3,食数記録!$B390="朝",食数記録!$F390="女性GH",食数記録!$D390="臨時喫食"),1,0)</f>
        <v>0</v>
      </c>
      <c r="U390" s="0" t="str">
        <f aca="false">IF(T390=1,SUM($T$2:T390),"")</f>
        <v/>
      </c>
      <c r="V390" s="0" t="n">
        <f aca="false">IF(AND(食数記録!$A390=プレビュー!$C$3,食数記録!$B390="昼",食数記録!$F390="女性GH",食数記録!$D390="臨時喫食"),1,0)</f>
        <v>0</v>
      </c>
      <c r="W390" s="0" t="str">
        <f aca="false">IF(V390=1,SUM($V$2:V390),"")</f>
        <v/>
      </c>
      <c r="X390" s="0" t="n">
        <f aca="false">IF(AND(食数記録!$A390=プレビュー!$C$3,食数記録!$B390="夕",食数記録!$F390="女性GH",食数記録!$D390="臨時喫食"),1,0)</f>
        <v>0</v>
      </c>
      <c r="Y390" s="0" t="str">
        <f aca="false">IF(X390=1,SUM($X$2:X390),"")</f>
        <v/>
      </c>
    </row>
    <row r="391" customFormat="false" ht="15" hidden="false" customHeight="false" outlineLevel="0" collapsed="false">
      <c r="B391" s="0" t="n">
        <f aca="false">IF(AND(食数記録!$A391=プレビュー!$C$3,食数記録!$B391="朝",食数記録!$F391="男性入所",食数記録!$D391="欠食"),1,0)</f>
        <v>0</v>
      </c>
      <c r="C391" s="0" t="str">
        <f aca="false">IF(B391=1,SUM($B$2:B391),"")</f>
        <v/>
      </c>
      <c r="D391" s="0" t="n">
        <f aca="false">IF(AND(食数記録!$A391=プレビュー!$C$3,食数記録!$B391="昼",食数記録!$F391="男性入所",食数記録!$D391="欠食"),1,0)</f>
        <v>0</v>
      </c>
      <c r="E391" s="0" t="str">
        <f aca="false">IF(D391=1,SUM($D$2:D391),"")</f>
        <v/>
      </c>
      <c r="F391" s="0" t="n">
        <f aca="false">IF(AND(食数記録!$A391=プレビュー!$C$3,食数記録!$B391="夕",食数記録!$F391="男性入所",食数記録!$D391="欠食"),1,0)</f>
        <v>0</v>
      </c>
      <c r="G391" s="0" t="str">
        <f aca="false">IF(F391=1,SUM($F$2:F391),"")</f>
        <v/>
      </c>
      <c r="H391" s="0" t="n">
        <f aca="false">IF(AND(食数記録!$A391=プレビュー!$C$3,食数記録!$B391="朝",食数記録!$F391="女性入所",食数記録!$D391="欠食"),1,0)</f>
        <v>0</v>
      </c>
      <c r="I391" s="0" t="str">
        <f aca="false">IF(H391=1,SUM($H$2:H391),"")</f>
        <v/>
      </c>
      <c r="J391" s="0" t="n">
        <f aca="false">IF(AND(食数記録!$A391=プレビュー!$C$3,食数記録!$B391="昼",食数記録!$F391="女性入所",食数記録!$D391="欠食"),1,0)</f>
        <v>0</v>
      </c>
      <c r="K391" s="0" t="str">
        <f aca="false">IF(J391=1,SUM($J$2:J391),"")</f>
        <v/>
      </c>
      <c r="L391" s="0" t="n">
        <f aca="false">IF(AND(食数記録!$A391=プレビュー!$C$3,食数記録!$B391="夕",食数記録!$F391="女性入所",食数記録!$D391="欠食"),1,0)</f>
        <v>0</v>
      </c>
      <c r="M391" s="0" t="str">
        <f aca="false">IF(L391=1,SUM($L$2:L391),"")</f>
        <v/>
      </c>
      <c r="N391" s="0" t="n">
        <f aca="false">IF(AND(食数記録!$A391=プレビュー!$C$3,食数記録!$B391="朝",食数記録!$F391="男性GH",食数記録!$D391="臨時喫食"),1,0)</f>
        <v>0</v>
      </c>
      <c r="O391" s="0" t="str">
        <f aca="false">IF(N391=1,SUM($N$2:N391),"")</f>
        <v/>
      </c>
      <c r="P391" s="0" t="n">
        <f aca="false">IF(AND(食数記録!$A391=プレビュー!$C$3,食数記録!$B391="昼",食数記録!$F391="男性GH",食数記録!$D391="臨時喫食"),1,0)</f>
        <v>0</v>
      </c>
      <c r="Q391" s="0" t="str">
        <f aca="false">IF(P391=1,SUM($P$2:P391),"")</f>
        <v/>
      </c>
      <c r="R391" s="0" t="n">
        <f aca="false">IF(AND(食数記録!$A391=プレビュー!$C$3,食数記録!$B391="夕",食数記録!$F391="男性GH",食数記録!$D391="臨時喫食"),1,0)</f>
        <v>0</v>
      </c>
      <c r="S391" s="0" t="str">
        <f aca="false">IF(R391=1,SUM($R$2:R391),"")</f>
        <v/>
      </c>
      <c r="T391" s="0" t="n">
        <f aca="false">IF(AND(食数記録!$A391=プレビュー!$C$3,食数記録!$B391="朝",食数記録!$F391="女性GH",食数記録!$D391="臨時喫食"),1,0)</f>
        <v>0</v>
      </c>
      <c r="U391" s="0" t="str">
        <f aca="false">IF(T391=1,SUM($T$2:T391),"")</f>
        <v/>
      </c>
      <c r="V391" s="0" t="n">
        <f aca="false">IF(AND(食数記録!$A391=プレビュー!$C$3,食数記録!$B391="昼",食数記録!$F391="女性GH",食数記録!$D391="臨時喫食"),1,0)</f>
        <v>0</v>
      </c>
      <c r="W391" s="0" t="str">
        <f aca="false">IF(V391=1,SUM($V$2:V391),"")</f>
        <v/>
      </c>
      <c r="X391" s="0" t="n">
        <f aca="false">IF(AND(食数記録!$A391=プレビュー!$C$3,食数記録!$B391="夕",食数記録!$F391="女性GH",食数記録!$D391="臨時喫食"),1,0)</f>
        <v>0</v>
      </c>
      <c r="Y391" s="0" t="str">
        <f aca="false">IF(X391=1,SUM($X$2:X391),"")</f>
        <v/>
      </c>
    </row>
    <row r="392" customFormat="false" ht="15" hidden="false" customHeight="false" outlineLevel="0" collapsed="false">
      <c r="B392" s="0" t="n">
        <f aca="false">IF(AND(食数記録!$A392=プレビュー!$C$3,食数記録!$B392="朝",食数記録!$F392="男性入所",食数記録!$D392="欠食"),1,0)</f>
        <v>0</v>
      </c>
      <c r="C392" s="0" t="str">
        <f aca="false">IF(B392=1,SUM($B$2:B392),"")</f>
        <v/>
      </c>
      <c r="D392" s="0" t="n">
        <f aca="false">IF(AND(食数記録!$A392=プレビュー!$C$3,食数記録!$B392="昼",食数記録!$F392="男性入所",食数記録!$D392="欠食"),1,0)</f>
        <v>0</v>
      </c>
      <c r="E392" s="0" t="str">
        <f aca="false">IF(D392=1,SUM($D$2:D392),"")</f>
        <v/>
      </c>
      <c r="F392" s="0" t="n">
        <f aca="false">IF(AND(食数記録!$A392=プレビュー!$C$3,食数記録!$B392="夕",食数記録!$F392="男性入所",食数記録!$D392="欠食"),1,0)</f>
        <v>0</v>
      </c>
      <c r="G392" s="0" t="str">
        <f aca="false">IF(F392=1,SUM($F$2:F392),"")</f>
        <v/>
      </c>
      <c r="H392" s="0" t="n">
        <f aca="false">IF(AND(食数記録!$A392=プレビュー!$C$3,食数記録!$B392="朝",食数記録!$F392="女性入所",食数記録!$D392="欠食"),1,0)</f>
        <v>0</v>
      </c>
      <c r="I392" s="0" t="str">
        <f aca="false">IF(H392=1,SUM($H$2:H392),"")</f>
        <v/>
      </c>
      <c r="J392" s="0" t="n">
        <f aca="false">IF(AND(食数記録!$A392=プレビュー!$C$3,食数記録!$B392="昼",食数記録!$F392="女性入所",食数記録!$D392="欠食"),1,0)</f>
        <v>0</v>
      </c>
      <c r="K392" s="0" t="str">
        <f aca="false">IF(J392=1,SUM($J$2:J392),"")</f>
        <v/>
      </c>
      <c r="L392" s="0" t="n">
        <f aca="false">IF(AND(食数記録!$A392=プレビュー!$C$3,食数記録!$B392="夕",食数記録!$F392="女性入所",食数記録!$D392="欠食"),1,0)</f>
        <v>0</v>
      </c>
      <c r="M392" s="0" t="str">
        <f aca="false">IF(L392=1,SUM($L$2:L392),"")</f>
        <v/>
      </c>
      <c r="N392" s="0" t="n">
        <f aca="false">IF(AND(食数記録!$A392=プレビュー!$C$3,食数記録!$B392="朝",食数記録!$F392="男性GH",食数記録!$D392="臨時喫食"),1,0)</f>
        <v>0</v>
      </c>
      <c r="O392" s="0" t="str">
        <f aca="false">IF(N392=1,SUM($N$2:N392),"")</f>
        <v/>
      </c>
      <c r="P392" s="0" t="n">
        <f aca="false">IF(AND(食数記録!$A392=プレビュー!$C$3,食数記録!$B392="昼",食数記録!$F392="男性GH",食数記録!$D392="臨時喫食"),1,0)</f>
        <v>0</v>
      </c>
      <c r="Q392" s="0" t="str">
        <f aca="false">IF(P392=1,SUM($P$2:P392),"")</f>
        <v/>
      </c>
      <c r="R392" s="0" t="n">
        <f aca="false">IF(AND(食数記録!$A392=プレビュー!$C$3,食数記録!$B392="夕",食数記録!$F392="男性GH",食数記録!$D392="臨時喫食"),1,0)</f>
        <v>0</v>
      </c>
      <c r="S392" s="0" t="str">
        <f aca="false">IF(R392=1,SUM($R$2:R392),"")</f>
        <v/>
      </c>
      <c r="T392" s="0" t="n">
        <f aca="false">IF(AND(食数記録!$A392=プレビュー!$C$3,食数記録!$B392="朝",食数記録!$F392="女性GH",食数記録!$D392="臨時喫食"),1,0)</f>
        <v>0</v>
      </c>
      <c r="U392" s="0" t="str">
        <f aca="false">IF(T392=1,SUM($T$2:T392),"")</f>
        <v/>
      </c>
      <c r="V392" s="0" t="n">
        <f aca="false">IF(AND(食数記録!$A392=プレビュー!$C$3,食数記録!$B392="昼",食数記録!$F392="女性GH",食数記録!$D392="臨時喫食"),1,0)</f>
        <v>0</v>
      </c>
      <c r="W392" s="0" t="str">
        <f aca="false">IF(V392=1,SUM($V$2:V392),"")</f>
        <v/>
      </c>
      <c r="X392" s="0" t="n">
        <f aca="false">IF(AND(食数記録!$A392=プレビュー!$C$3,食数記録!$B392="夕",食数記録!$F392="女性GH",食数記録!$D392="臨時喫食"),1,0)</f>
        <v>0</v>
      </c>
      <c r="Y392" s="0" t="str">
        <f aca="false">IF(X392=1,SUM($X$2:X392),"")</f>
        <v/>
      </c>
    </row>
    <row r="393" customFormat="false" ht="15" hidden="false" customHeight="false" outlineLevel="0" collapsed="false">
      <c r="B393" s="0" t="n">
        <f aca="false">IF(AND(食数記録!$A393=プレビュー!$C$3,食数記録!$B393="朝",食数記録!$F393="男性入所",食数記録!$D393="欠食"),1,0)</f>
        <v>0</v>
      </c>
      <c r="C393" s="0" t="str">
        <f aca="false">IF(B393=1,SUM($B$2:B393),"")</f>
        <v/>
      </c>
      <c r="D393" s="0" t="n">
        <f aca="false">IF(AND(食数記録!$A393=プレビュー!$C$3,食数記録!$B393="昼",食数記録!$F393="男性入所",食数記録!$D393="欠食"),1,0)</f>
        <v>0</v>
      </c>
      <c r="E393" s="0" t="str">
        <f aca="false">IF(D393=1,SUM($D$2:D393),"")</f>
        <v/>
      </c>
      <c r="F393" s="0" t="n">
        <f aca="false">IF(AND(食数記録!$A393=プレビュー!$C$3,食数記録!$B393="夕",食数記録!$F393="男性入所",食数記録!$D393="欠食"),1,0)</f>
        <v>0</v>
      </c>
      <c r="G393" s="0" t="str">
        <f aca="false">IF(F393=1,SUM($F$2:F393),"")</f>
        <v/>
      </c>
      <c r="H393" s="0" t="n">
        <f aca="false">IF(AND(食数記録!$A393=プレビュー!$C$3,食数記録!$B393="朝",食数記録!$F393="女性入所",食数記録!$D393="欠食"),1,0)</f>
        <v>0</v>
      </c>
      <c r="I393" s="0" t="str">
        <f aca="false">IF(H393=1,SUM($H$2:H393),"")</f>
        <v/>
      </c>
      <c r="J393" s="0" t="n">
        <f aca="false">IF(AND(食数記録!$A393=プレビュー!$C$3,食数記録!$B393="昼",食数記録!$F393="女性入所",食数記録!$D393="欠食"),1,0)</f>
        <v>0</v>
      </c>
      <c r="K393" s="0" t="str">
        <f aca="false">IF(J393=1,SUM($J$2:J393),"")</f>
        <v/>
      </c>
      <c r="L393" s="0" t="n">
        <f aca="false">IF(AND(食数記録!$A393=プレビュー!$C$3,食数記録!$B393="夕",食数記録!$F393="女性入所",食数記録!$D393="欠食"),1,0)</f>
        <v>0</v>
      </c>
      <c r="M393" s="0" t="str">
        <f aca="false">IF(L393=1,SUM($L$2:L393),"")</f>
        <v/>
      </c>
      <c r="N393" s="0" t="n">
        <f aca="false">IF(AND(食数記録!$A393=プレビュー!$C$3,食数記録!$B393="朝",食数記録!$F393="男性GH",食数記録!$D393="臨時喫食"),1,0)</f>
        <v>0</v>
      </c>
      <c r="O393" s="0" t="str">
        <f aca="false">IF(N393=1,SUM($N$2:N393),"")</f>
        <v/>
      </c>
      <c r="P393" s="0" t="n">
        <f aca="false">IF(AND(食数記録!$A393=プレビュー!$C$3,食数記録!$B393="昼",食数記録!$F393="男性GH",食数記録!$D393="臨時喫食"),1,0)</f>
        <v>0</v>
      </c>
      <c r="Q393" s="0" t="str">
        <f aca="false">IF(P393=1,SUM($P$2:P393),"")</f>
        <v/>
      </c>
      <c r="R393" s="0" t="n">
        <f aca="false">IF(AND(食数記録!$A393=プレビュー!$C$3,食数記録!$B393="夕",食数記録!$F393="男性GH",食数記録!$D393="臨時喫食"),1,0)</f>
        <v>0</v>
      </c>
      <c r="S393" s="0" t="str">
        <f aca="false">IF(R393=1,SUM($R$2:R393),"")</f>
        <v/>
      </c>
      <c r="T393" s="0" t="n">
        <f aca="false">IF(AND(食数記録!$A393=プレビュー!$C$3,食数記録!$B393="朝",食数記録!$F393="女性GH",食数記録!$D393="臨時喫食"),1,0)</f>
        <v>0</v>
      </c>
      <c r="U393" s="0" t="str">
        <f aca="false">IF(T393=1,SUM($T$2:T393),"")</f>
        <v/>
      </c>
      <c r="V393" s="0" t="n">
        <f aca="false">IF(AND(食数記録!$A393=プレビュー!$C$3,食数記録!$B393="昼",食数記録!$F393="女性GH",食数記録!$D393="臨時喫食"),1,0)</f>
        <v>0</v>
      </c>
      <c r="W393" s="0" t="str">
        <f aca="false">IF(V393=1,SUM($V$2:V393),"")</f>
        <v/>
      </c>
      <c r="X393" s="0" t="n">
        <f aca="false">IF(AND(食数記録!$A393=プレビュー!$C$3,食数記録!$B393="夕",食数記録!$F393="女性GH",食数記録!$D393="臨時喫食"),1,0)</f>
        <v>0</v>
      </c>
      <c r="Y393" s="0" t="str">
        <f aca="false">IF(X393=1,SUM($X$2:X393),"")</f>
        <v/>
      </c>
    </row>
    <row r="394" customFormat="false" ht="15" hidden="false" customHeight="false" outlineLevel="0" collapsed="false">
      <c r="B394" s="0" t="n">
        <f aca="false">IF(AND(食数記録!$A394=プレビュー!$C$3,食数記録!$B394="朝",食数記録!$F394="男性入所",食数記録!$D394="欠食"),1,0)</f>
        <v>0</v>
      </c>
      <c r="C394" s="0" t="str">
        <f aca="false">IF(B394=1,SUM($B$2:B394),"")</f>
        <v/>
      </c>
      <c r="D394" s="0" t="n">
        <f aca="false">IF(AND(食数記録!$A394=プレビュー!$C$3,食数記録!$B394="昼",食数記録!$F394="男性入所",食数記録!$D394="欠食"),1,0)</f>
        <v>0</v>
      </c>
      <c r="E394" s="0" t="str">
        <f aca="false">IF(D394=1,SUM($D$2:D394),"")</f>
        <v/>
      </c>
      <c r="F394" s="0" t="n">
        <f aca="false">IF(AND(食数記録!$A394=プレビュー!$C$3,食数記録!$B394="夕",食数記録!$F394="男性入所",食数記録!$D394="欠食"),1,0)</f>
        <v>0</v>
      </c>
      <c r="G394" s="0" t="str">
        <f aca="false">IF(F394=1,SUM($F$2:F394),"")</f>
        <v/>
      </c>
      <c r="H394" s="0" t="n">
        <f aca="false">IF(AND(食数記録!$A394=プレビュー!$C$3,食数記録!$B394="朝",食数記録!$F394="女性入所",食数記録!$D394="欠食"),1,0)</f>
        <v>0</v>
      </c>
      <c r="I394" s="0" t="str">
        <f aca="false">IF(H394=1,SUM($H$2:H394),"")</f>
        <v/>
      </c>
      <c r="J394" s="0" t="n">
        <f aca="false">IF(AND(食数記録!$A394=プレビュー!$C$3,食数記録!$B394="昼",食数記録!$F394="女性入所",食数記録!$D394="欠食"),1,0)</f>
        <v>0</v>
      </c>
      <c r="K394" s="0" t="str">
        <f aca="false">IF(J394=1,SUM($J$2:J394),"")</f>
        <v/>
      </c>
      <c r="L394" s="0" t="n">
        <f aca="false">IF(AND(食数記録!$A394=プレビュー!$C$3,食数記録!$B394="夕",食数記録!$F394="女性入所",食数記録!$D394="欠食"),1,0)</f>
        <v>0</v>
      </c>
      <c r="M394" s="0" t="str">
        <f aca="false">IF(L394=1,SUM($L$2:L394),"")</f>
        <v/>
      </c>
      <c r="N394" s="0" t="n">
        <f aca="false">IF(AND(食数記録!$A394=プレビュー!$C$3,食数記録!$B394="朝",食数記録!$F394="男性GH",食数記録!$D394="臨時喫食"),1,0)</f>
        <v>0</v>
      </c>
      <c r="O394" s="0" t="str">
        <f aca="false">IF(N394=1,SUM($N$2:N394),"")</f>
        <v/>
      </c>
      <c r="P394" s="0" t="n">
        <f aca="false">IF(AND(食数記録!$A394=プレビュー!$C$3,食数記録!$B394="昼",食数記録!$F394="男性GH",食数記録!$D394="臨時喫食"),1,0)</f>
        <v>0</v>
      </c>
      <c r="Q394" s="0" t="str">
        <f aca="false">IF(P394=1,SUM($P$2:P394),"")</f>
        <v/>
      </c>
      <c r="R394" s="0" t="n">
        <f aca="false">IF(AND(食数記録!$A394=プレビュー!$C$3,食数記録!$B394="夕",食数記録!$F394="男性GH",食数記録!$D394="臨時喫食"),1,0)</f>
        <v>0</v>
      </c>
      <c r="S394" s="0" t="str">
        <f aca="false">IF(R394=1,SUM($R$2:R394),"")</f>
        <v/>
      </c>
      <c r="T394" s="0" t="n">
        <f aca="false">IF(AND(食数記録!$A394=プレビュー!$C$3,食数記録!$B394="朝",食数記録!$F394="女性GH",食数記録!$D394="臨時喫食"),1,0)</f>
        <v>0</v>
      </c>
      <c r="U394" s="0" t="str">
        <f aca="false">IF(T394=1,SUM($T$2:T394),"")</f>
        <v/>
      </c>
      <c r="V394" s="0" t="n">
        <f aca="false">IF(AND(食数記録!$A394=プレビュー!$C$3,食数記録!$B394="昼",食数記録!$F394="女性GH",食数記録!$D394="臨時喫食"),1,0)</f>
        <v>0</v>
      </c>
      <c r="W394" s="0" t="str">
        <f aca="false">IF(V394=1,SUM($V$2:V394),"")</f>
        <v/>
      </c>
      <c r="X394" s="0" t="n">
        <f aca="false">IF(AND(食数記録!$A394=プレビュー!$C$3,食数記録!$B394="夕",食数記録!$F394="女性GH",食数記録!$D394="臨時喫食"),1,0)</f>
        <v>0</v>
      </c>
      <c r="Y394" s="0" t="str">
        <f aca="false">IF(X394=1,SUM($X$2:X394),"")</f>
        <v/>
      </c>
    </row>
    <row r="395" customFormat="false" ht="15" hidden="false" customHeight="false" outlineLevel="0" collapsed="false">
      <c r="B395" s="0" t="n">
        <f aca="false">IF(AND(食数記録!$A395=プレビュー!$C$3,食数記録!$B395="朝",食数記録!$F395="男性入所",食数記録!$D395="欠食"),1,0)</f>
        <v>0</v>
      </c>
      <c r="C395" s="0" t="str">
        <f aca="false">IF(B395=1,SUM($B$2:B395),"")</f>
        <v/>
      </c>
      <c r="D395" s="0" t="n">
        <f aca="false">IF(AND(食数記録!$A395=プレビュー!$C$3,食数記録!$B395="昼",食数記録!$F395="男性入所",食数記録!$D395="欠食"),1,0)</f>
        <v>0</v>
      </c>
      <c r="E395" s="0" t="str">
        <f aca="false">IF(D395=1,SUM($D$2:D395),"")</f>
        <v/>
      </c>
      <c r="F395" s="0" t="n">
        <f aca="false">IF(AND(食数記録!$A395=プレビュー!$C$3,食数記録!$B395="夕",食数記録!$F395="男性入所",食数記録!$D395="欠食"),1,0)</f>
        <v>0</v>
      </c>
      <c r="G395" s="0" t="str">
        <f aca="false">IF(F395=1,SUM($F$2:F395),"")</f>
        <v/>
      </c>
      <c r="H395" s="0" t="n">
        <f aca="false">IF(AND(食数記録!$A395=プレビュー!$C$3,食数記録!$B395="朝",食数記録!$F395="女性入所",食数記録!$D395="欠食"),1,0)</f>
        <v>0</v>
      </c>
      <c r="I395" s="0" t="str">
        <f aca="false">IF(H395=1,SUM($H$2:H395),"")</f>
        <v/>
      </c>
      <c r="J395" s="0" t="n">
        <f aca="false">IF(AND(食数記録!$A395=プレビュー!$C$3,食数記録!$B395="昼",食数記録!$F395="女性入所",食数記録!$D395="欠食"),1,0)</f>
        <v>0</v>
      </c>
      <c r="K395" s="0" t="str">
        <f aca="false">IF(J395=1,SUM($J$2:J395),"")</f>
        <v/>
      </c>
      <c r="L395" s="0" t="n">
        <f aca="false">IF(AND(食数記録!$A395=プレビュー!$C$3,食数記録!$B395="夕",食数記録!$F395="女性入所",食数記録!$D395="欠食"),1,0)</f>
        <v>0</v>
      </c>
      <c r="M395" s="0" t="str">
        <f aca="false">IF(L395=1,SUM($L$2:L395),"")</f>
        <v/>
      </c>
      <c r="N395" s="0" t="n">
        <f aca="false">IF(AND(食数記録!$A395=プレビュー!$C$3,食数記録!$B395="朝",食数記録!$F395="男性GH",食数記録!$D395="臨時喫食"),1,0)</f>
        <v>0</v>
      </c>
      <c r="O395" s="0" t="str">
        <f aca="false">IF(N395=1,SUM($N$2:N395),"")</f>
        <v/>
      </c>
      <c r="P395" s="0" t="n">
        <f aca="false">IF(AND(食数記録!$A395=プレビュー!$C$3,食数記録!$B395="昼",食数記録!$F395="男性GH",食数記録!$D395="臨時喫食"),1,0)</f>
        <v>0</v>
      </c>
      <c r="Q395" s="0" t="str">
        <f aca="false">IF(P395=1,SUM($P$2:P395),"")</f>
        <v/>
      </c>
      <c r="R395" s="0" t="n">
        <f aca="false">IF(AND(食数記録!$A395=プレビュー!$C$3,食数記録!$B395="夕",食数記録!$F395="男性GH",食数記録!$D395="臨時喫食"),1,0)</f>
        <v>0</v>
      </c>
      <c r="S395" s="0" t="str">
        <f aca="false">IF(R395=1,SUM($R$2:R395),"")</f>
        <v/>
      </c>
      <c r="T395" s="0" t="n">
        <f aca="false">IF(AND(食数記録!$A395=プレビュー!$C$3,食数記録!$B395="朝",食数記録!$F395="女性GH",食数記録!$D395="臨時喫食"),1,0)</f>
        <v>0</v>
      </c>
      <c r="U395" s="0" t="str">
        <f aca="false">IF(T395=1,SUM($T$2:T395),"")</f>
        <v/>
      </c>
      <c r="V395" s="0" t="n">
        <f aca="false">IF(AND(食数記録!$A395=プレビュー!$C$3,食数記録!$B395="昼",食数記録!$F395="女性GH",食数記録!$D395="臨時喫食"),1,0)</f>
        <v>0</v>
      </c>
      <c r="W395" s="0" t="str">
        <f aca="false">IF(V395=1,SUM($V$2:V395),"")</f>
        <v/>
      </c>
      <c r="X395" s="0" t="n">
        <f aca="false">IF(AND(食数記録!$A395=プレビュー!$C$3,食数記録!$B395="夕",食数記録!$F395="女性GH",食数記録!$D395="臨時喫食"),1,0)</f>
        <v>0</v>
      </c>
      <c r="Y395" s="0" t="str">
        <f aca="false">IF(X395=1,SUM($X$2:X395),"")</f>
        <v/>
      </c>
    </row>
    <row r="396" customFormat="false" ht="15" hidden="false" customHeight="false" outlineLevel="0" collapsed="false">
      <c r="B396" s="0" t="n">
        <f aca="false">IF(AND(食数記録!$A396=プレビュー!$C$3,食数記録!$B396="朝",食数記録!$F396="男性入所",食数記録!$D396="欠食"),1,0)</f>
        <v>0</v>
      </c>
      <c r="C396" s="0" t="str">
        <f aca="false">IF(B396=1,SUM($B$2:B396),"")</f>
        <v/>
      </c>
      <c r="D396" s="0" t="n">
        <f aca="false">IF(AND(食数記録!$A396=プレビュー!$C$3,食数記録!$B396="昼",食数記録!$F396="男性入所",食数記録!$D396="欠食"),1,0)</f>
        <v>0</v>
      </c>
      <c r="E396" s="0" t="str">
        <f aca="false">IF(D396=1,SUM($D$2:D396),"")</f>
        <v/>
      </c>
      <c r="F396" s="0" t="n">
        <f aca="false">IF(AND(食数記録!$A396=プレビュー!$C$3,食数記録!$B396="夕",食数記録!$F396="男性入所",食数記録!$D396="欠食"),1,0)</f>
        <v>0</v>
      </c>
      <c r="G396" s="0" t="str">
        <f aca="false">IF(F396=1,SUM($F$2:F396),"")</f>
        <v/>
      </c>
      <c r="H396" s="0" t="n">
        <f aca="false">IF(AND(食数記録!$A396=プレビュー!$C$3,食数記録!$B396="朝",食数記録!$F396="女性入所",食数記録!$D396="欠食"),1,0)</f>
        <v>0</v>
      </c>
      <c r="I396" s="0" t="str">
        <f aca="false">IF(H396=1,SUM($H$2:H396),"")</f>
        <v/>
      </c>
      <c r="J396" s="0" t="n">
        <f aca="false">IF(AND(食数記録!$A396=プレビュー!$C$3,食数記録!$B396="昼",食数記録!$F396="女性入所",食数記録!$D396="欠食"),1,0)</f>
        <v>0</v>
      </c>
      <c r="K396" s="0" t="str">
        <f aca="false">IF(J396=1,SUM($J$2:J396),"")</f>
        <v/>
      </c>
      <c r="L396" s="0" t="n">
        <f aca="false">IF(AND(食数記録!$A396=プレビュー!$C$3,食数記録!$B396="夕",食数記録!$F396="女性入所",食数記録!$D396="欠食"),1,0)</f>
        <v>0</v>
      </c>
      <c r="M396" s="0" t="str">
        <f aca="false">IF(L396=1,SUM($L$2:L396),"")</f>
        <v/>
      </c>
      <c r="N396" s="0" t="n">
        <f aca="false">IF(AND(食数記録!$A396=プレビュー!$C$3,食数記録!$B396="朝",食数記録!$F396="男性GH",食数記録!$D396="臨時喫食"),1,0)</f>
        <v>0</v>
      </c>
      <c r="O396" s="0" t="str">
        <f aca="false">IF(N396=1,SUM($N$2:N396),"")</f>
        <v/>
      </c>
      <c r="P396" s="0" t="n">
        <f aca="false">IF(AND(食数記録!$A396=プレビュー!$C$3,食数記録!$B396="昼",食数記録!$F396="男性GH",食数記録!$D396="臨時喫食"),1,0)</f>
        <v>0</v>
      </c>
      <c r="Q396" s="0" t="str">
        <f aca="false">IF(P396=1,SUM($P$2:P396),"")</f>
        <v/>
      </c>
      <c r="R396" s="0" t="n">
        <f aca="false">IF(AND(食数記録!$A396=プレビュー!$C$3,食数記録!$B396="夕",食数記録!$F396="男性GH",食数記録!$D396="臨時喫食"),1,0)</f>
        <v>0</v>
      </c>
      <c r="S396" s="0" t="str">
        <f aca="false">IF(R396=1,SUM($R$2:R396),"")</f>
        <v/>
      </c>
      <c r="T396" s="0" t="n">
        <f aca="false">IF(AND(食数記録!$A396=プレビュー!$C$3,食数記録!$B396="朝",食数記録!$F396="女性GH",食数記録!$D396="臨時喫食"),1,0)</f>
        <v>0</v>
      </c>
      <c r="U396" s="0" t="str">
        <f aca="false">IF(T396=1,SUM($T$2:T396),"")</f>
        <v/>
      </c>
      <c r="V396" s="0" t="n">
        <f aca="false">IF(AND(食数記録!$A396=プレビュー!$C$3,食数記録!$B396="昼",食数記録!$F396="女性GH",食数記録!$D396="臨時喫食"),1,0)</f>
        <v>0</v>
      </c>
      <c r="W396" s="0" t="str">
        <f aca="false">IF(V396=1,SUM($V$2:V396),"")</f>
        <v/>
      </c>
      <c r="X396" s="0" t="n">
        <f aca="false">IF(AND(食数記録!$A396=プレビュー!$C$3,食数記録!$B396="夕",食数記録!$F396="女性GH",食数記録!$D396="臨時喫食"),1,0)</f>
        <v>0</v>
      </c>
      <c r="Y396" s="0" t="str">
        <f aca="false">IF(X396=1,SUM($X$2:X396),"")</f>
        <v/>
      </c>
    </row>
    <row r="397" customFormat="false" ht="15" hidden="false" customHeight="false" outlineLevel="0" collapsed="false">
      <c r="B397" s="0" t="n">
        <f aca="false">IF(AND(食数記録!$A397=プレビュー!$C$3,食数記録!$B397="朝",食数記録!$F397="男性入所",食数記録!$D397="欠食"),1,0)</f>
        <v>0</v>
      </c>
      <c r="C397" s="0" t="str">
        <f aca="false">IF(B397=1,SUM($B$2:B397),"")</f>
        <v/>
      </c>
      <c r="D397" s="0" t="n">
        <f aca="false">IF(AND(食数記録!$A397=プレビュー!$C$3,食数記録!$B397="昼",食数記録!$F397="男性入所",食数記録!$D397="欠食"),1,0)</f>
        <v>0</v>
      </c>
      <c r="E397" s="0" t="str">
        <f aca="false">IF(D397=1,SUM($D$2:D397),"")</f>
        <v/>
      </c>
      <c r="F397" s="0" t="n">
        <f aca="false">IF(AND(食数記録!$A397=プレビュー!$C$3,食数記録!$B397="夕",食数記録!$F397="男性入所",食数記録!$D397="欠食"),1,0)</f>
        <v>0</v>
      </c>
      <c r="G397" s="0" t="str">
        <f aca="false">IF(F397=1,SUM($F$2:F397),"")</f>
        <v/>
      </c>
      <c r="H397" s="0" t="n">
        <f aca="false">IF(AND(食数記録!$A397=プレビュー!$C$3,食数記録!$B397="朝",食数記録!$F397="女性入所",食数記録!$D397="欠食"),1,0)</f>
        <v>0</v>
      </c>
      <c r="I397" s="0" t="str">
        <f aca="false">IF(H397=1,SUM($H$2:H397),"")</f>
        <v/>
      </c>
      <c r="J397" s="0" t="n">
        <f aca="false">IF(AND(食数記録!$A397=プレビュー!$C$3,食数記録!$B397="昼",食数記録!$F397="女性入所",食数記録!$D397="欠食"),1,0)</f>
        <v>0</v>
      </c>
      <c r="K397" s="0" t="str">
        <f aca="false">IF(J397=1,SUM($J$2:J397),"")</f>
        <v/>
      </c>
      <c r="L397" s="0" t="n">
        <f aca="false">IF(AND(食数記録!$A397=プレビュー!$C$3,食数記録!$B397="夕",食数記録!$F397="女性入所",食数記録!$D397="欠食"),1,0)</f>
        <v>0</v>
      </c>
      <c r="M397" s="0" t="str">
        <f aca="false">IF(L397=1,SUM($L$2:L397),"")</f>
        <v/>
      </c>
      <c r="N397" s="0" t="n">
        <f aca="false">IF(AND(食数記録!$A397=プレビュー!$C$3,食数記録!$B397="朝",食数記録!$F397="男性GH",食数記録!$D397="臨時喫食"),1,0)</f>
        <v>0</v>
      </c>
      <c r="O397" s="0" t="str">
        <f aca="false">IF(N397=1,SUM($N$2:N397),"")</f>
        <v/>
      </c>
      <c r="P397" s="0" t="n">
        <f aca="false">IF(AND(食数記録!$A397=プレビュー!$C$3,食数記録!$B397="昼",食数記録!$F397="男性GH",食数記録!$D397="臨時喫食"),1,0)</f>
        <v>0</v>
      </c>
      <c r="Q397" s="0" t="str">
        <f aca="false">IF(P397=1,SUM($P$2:P397),"")</f>
        <v/>
      </c>
      <c r="R397" s="0" t="n">
        <f aca="false">IF(AND(食数記録!$A397=プレビュー!$C$3,食数記録!$B397="夕",食数記録!$F397="男性GH",食数記録!$D397="臨時喫食"),1,0)</f>
        <v>0</v>
      </c>
      <c r="S397" s="0" t="str">
        <f aca="false">IF(R397=1,SUM($R$2:R397),"")</f>
        <v/>
      </c>
      <c r="T397" s="0" t="n">
        <f aca="false">IF(AND(食数記録!$A397=プレビュー!$C$3,食数記録!$B397="朝",食数記録!$F397="女性GH",食数記録!$D397="臨時喫食"),1,0)</f>
        <v>0</v>
      </c>
      <c r="U397" s="0" t="str">
        <f aca="false">IF(T397=1,SUM($T$2:T397),"")</f>
        <v/>
      </c>
      <c r="V397" s="0" t="n">
        <f aca="false">IF(AND(食数記録!$A397=プレビュー!$C$3,食数記録!$B397="昼",食数記録!$F397="女性GH",食数記録!$D397="臨時喫食"),1,0)</f>
        <v>0</v>
      </c>
      <c r="W397" s="0" t="str">
        <f aca="false">IF(V397=1,SUM($V$2:V397),"")</f>
        <v/>
      </c>
      <c r="X397" s="0" t="n">
        <f aca="false">IF(AND(食数記録!$A397=プレビュー!$C$3,食数記録!$B397="夕",食数記録!$F397="女性GH",食数記録!$D397="臨時喫食"),1,0)</f>
        <v>0</v>
      </c>
      <c r="Y397" s="0" t="str">
        <f aca="false">IF(X397=1,SUM($X$2:X397),"")</f>
        <v/>
      </c>
    </row>
    <row r="398" customFormat="false" ht="15" hidden="false" customHeight="false" outlineLevel="0" collapsed="false">
      <c r="B398" s="0" t="n">
        <f aca="false">IF(AND(食数記録!$A398=プレビュー!$C$3,食数記録!$B398="朝",食数記録!$F398="男性入所",食数記録!$D398="欠食"),1,0)</f>
        <v>0</v>
      </c>
      <c r="C398" s="0" t="str">
        <f aca="false">IF(B398=1,SUM($B$2:B398),"")</f>
        <v/>
      </c>
      <c r="D398" s="0" t="n">
        <f aca="false">IF(AND(食数記録!$A398=プレビュー!$C$3,食数記録!$B398="昼",食数記録!$F398="男性入所",食数記録!$D398="欠食"),1,0)</f>
        <v>0</v>
      </c>
      <c r="E398" s="0" t="str">
        <f aca="false">IF(D398=1,SUM($D$2:D398),"")</f>
        <v/>
      </c>
      <c r="F398" s="0" t="n">
        <f aca="false">IF(AND(食数記録!$A398=プレビュー!$C$3,食数記録!$B398="夕",食数記録!$F398="男性入所",食数記録!$D398="欠食"),1,0)</f>
        <v>0</v>
      </c>
      <c r="G398" s="0" t="str">
        <f aca="false">IF(F398=1,SUM($F$2:F398),"")</f>
        <v/>
      </c>
      <c r="H398" s="0" t="n">
        <f aca="false">IF(AND(食数記録!$A398=プレビュー!$C$3,食数記録!$B398="朝",食数記録!$F398="女性入所",食数記録!$D398="欠食"),1,0)</f>
        <v>0</v>
      </c>
      <c r="I398" s="0" t="str">
        <f aca="false">IF(H398=1,SUM($H$2:H398),"")</f>
        <v/>
      </c>
      <c r="J398" s="0" t="n">
        <f aca="false">IF(AND(食数記録!$A398=プレビュー!$C$3,食数記録!$B398="昼",食数記録!$F398="女性入所",食数記録!$D398="欠食"),1,0)</f>
        <v>0</v>
      </c>
      <c r="K398" s="0" t="str">
        <f aca="false">IF(J398=1,SUM($J$2:J398),"")</f>
        <v/>
      </c>
      <c r="L398" s="0" t="n">
        <f aca="false">IF(AND(食数記録!$A398=プレビュー!$C$3,食数記録!$B398="夕",食数記録!$F398="女性入所",食数記録!$D398="欠食"),1,0)</f>
        <v>0</v>
      </c>
      <c r="M398" s="0" t="str">
        <f aca="false">IF(L398=1,SUM($L$2:L398),"")</f>
        <v/>
      </c>
      <c r="N398" s="0" t="n">
        <f aca="false">IF(AND(食数記録!$A398=プレビュー!$C$3,食数記録!$B398="朝",食数記録!$F398="男性GH",食数記録!$D398="臨時喫食"),1,0)</f>
        <v>0</v>
      </c>
      <c r="O398" s="0" t="str">
        <f aca="false">IF(N398=1,SUM($N$2:N398),"")</f>
        <v/>
      </c>
      <c r="P398" s="0" t="n">
        <f aca="false">IF(AND(食数記録!$A398=プレビュー!$C$3,食数記録!$B398="昼",食数記録!$F398="男性GH",食数記録!$D398="臨時喫食"),1,0)</f>
        <v>0</v>
      </c>
      <c r="Q398" s="0" t="str">
        <f aca="false">IF(P398=1,SUM($P$2:P398),"")</f>
        <v/>
      </c>
      <c r="R398" s="0" t="n">
        <f aca="false">IF(AND(食数記録!$A398=プレビュー!$C$3,食数記録!$B398="夕",食数記録!$F398="男性GH",食数記録!$D398="臨時喫食"),1,0)</f>
        <v>0</v>
      </c>
      <c r="S398" s="0" t="str">
        <f aca="false">IF(R398=1,SUM($R$2:R398),"")</f>
        <v/>
      </c>
      <c r="T398" s="0" t="n">
        <f aca="false">IF(AND(食数記録!$A398=プレビュー!$C$3,食数記録!$B398="朝",食数記録!$F398="女性GH",食数記録!$D398="臨時喫食"),1,0)</f>
        <v>0</v>
      </c>
      <c r="U398" s="0" t="str">
        <f aca="false">IF(T398=1,SUM($T$2:T398),"")</f>
        <v/>
      </c>
      <c r="V398" s="0" t="n">
        <f aca="false">IF(AND(食数記録!$A398=プレビュー!$C$3,食数記録!$B398="昼",食数記録!$F398="女性GH",食数記録!$D398="臨時喫食"),1,0)</f>
        <v>0</v>
      </c>
      <c r="W398" s="0" t="str">
        <f aca="false">IF(V398=1,SUM($V$2:V398),"")</f>
        <v/>
      </c>
      <c r="X398" s="0" t="n">
        <f aca="false">IF(AND(食数記録!$A398=プレビュー!$C$3,食数記録!$B398="夕",食数記録!$F398="女性GH",食数記録!$D398="臨時喫食"),1,0)</f>
        <v>0</v>
      </c>
      <c r="Y398" s="0" t="str">
        <f aca="false">IF(X398=1,SUM($X$2:X398),"")</f>
        <v/>
      </c>
    </row>
    <row r="399" customFormat="false" ht="15" hidden="false" customHeight="false" outlineLevel="0" collapsed="false">
      <c r="B399" s="0" t="n">
        <f aca="false">IF(AND(食数記録!$A399=プレビュー!$C$3,食数記録!$B399="朝",食数記録!$F399="男性入所",食数記録!$D399="欠食"),1,0)</f>
        <v>0</v>
      </c>
      <c r="C399" s="0" t="str">
        <f aca="false">IF(B399=1,SUM($B$2:B399),"")</f>
        <v/>
      </c>
      <c r="D399" s="0" t="n">
        <f aca="false">IF(AND(食数記録!$A399=プレビュー!$C$3,食数記録!$B399="昼",食数記録!$F399="男性入所",食数記録!$D399="欠食"),1,0)</f>
        <v>0</v>
      </c>
      <c r="E399" s="0" t="str">
        <f aca="false">IF(D399=1,SUM($D$2:D399),"")</f>
        <v/>
      </c>
      <c r="F399" s="0" t="n">
        <f aca="false">IF(AND(食数記録!$A399=プレビュー!$C$3,食数記録!$B399="夕",食数記録!$F399="男性入所",食数記録!$D399="欠食"),1,0)</f>
        <v>0</v>
      </c>
      <c r="G399" s="0" t="str">
        <f aca="false">IF(F399=1,SUM($F$2:F399),"")</f>
        <v/>
      </c>
      <c r="H399" s="0" t="n">
        <f aca="false">IF(AND(食数記録!$A399=プレビュー!$C$3,食数記録!$B399="朝",食数記録!$F399="女性入所",食数記録!$D399="欠食"),1,0)</f>
        <v>0</v>
      </c>
      <c r="I399" s="0" t="str">
        <f aca="false">IF(H399=1,SUM($H$2:H399),"")</f>
        <v/>
      </c>
      <c r="J399" s="0" t="n">
        <f aca="false">IF(AND(食数記録!$A399=プレビュー!$C$3,食数記録!$B399="昼",食数記録!$F399="女性入所",食数記録!$D399="欠食"),1,0)</f>
        <v>0</v>
      </c>
      <c r="K399" s="0" t="str">
        <f aca="false">IF(J399=1,SUM($J$2:J399),"")</f>
        <v/>
      </c>
      <c r="L399" s="0" t="n">
        <f aca="false">IF(AND(食数記録!$A399=プレビュー!$C$3,食数記録!$B399="夕",食数記録!$F399="女性入所",食数記録!$D399="欠食"),1,0)</f>
        <v>0</v>
      </c>
      <c r="M399" s="0" t="str">
        <f aca="false">IF(L399=1,SUM($L$2:L399),"")</f>
        <v/>
      </c>
      <c r="N399" s="0" t="n">
        <f aca="false">IF(AND(食数記録!$A399=プレビュー!$C$3,食数記録!$B399="朝",食数記録!$F399="男性GH",食数記録!$D399="臨時喫食"),1,0)</f>
        <v>0</v>
      </c>
      <c r="O399" s="0" t="str">
        <f aca="false">IF(N399=1,SUM($N$2:N399),"")</f>
        <v/>
      </c>
      <c r="P399" s="0" t="n">
        <f aca="false">IF(AND(食数記録!$A399=プレビュー!$C$3,食数記録!$B399="昼",食数記録!$F399="男性GH",食数記録!$D399="臨時喫食"),1,0)</f>
        <v>0</v>
      </c>
      <c r="Q399" s="0" t="str">
        <f aca="false">IF(P399=1,SUM($P$2:P399),"")</f>
        <v/>
      </c>
      <c r="R399" s="0" t="n">
        <f aca="false">IF(AND(食数記録!$A399=プレビュー!$C$3,食数記録!$B399="夕",食数記録!$F399="男性GH",食数記録!$D399="臨時喫食"),1,0)</f>
        <v>0</v>
      </c>
      <c r="S399" s="0" t="str">
        <f aca="false">IF(R399=1,SUM($R$2:R399),"")</f>
        <v/>
      </c>
      <c r="T399" s="0" t="n">
        <f aca="false">IF(AND(食数記録!$A399=プレビュー!$C$3,食数記録!$B399="朝",食数記録!$F399="女性GH",食数記録!$D399="臨時喫食"),1,0)</f>
        <v>0</v>
      </c>
      <c r="U399" s="0" t="str">
        <f aca="false">IF(T399=1,SUM($T$2:T399),"")</f>
        <v/>
      </c>
      <c r="V399" s="0" t="n">
        <f aca="false">IF(AND(食数記録!$A399=プレビュー!$C$3,食数記録!$B399="昼",食数記録!$F399="女性GH",食数記録!$D399="臨時喫食"),1,0)</f>
        <v>0</v>
      </c>
      <c r="W399" s="0" t="str">
        <f aca="false">IF(V399=1,SUM($V$2:V399),"")</f>
        <v/>
      </c>
      <c r="X399" s="0" t="n">
        <f aca="false">IF(AND(食数記録!$A399=プレビュー!$C$3,食数記録!$B399="夕",食数記録!$F399="女性GH",食数記録!$D399="臨時喫食"),1,0)</f>
        <v>0</v>
      </c>
      <c r="Y399" s="0" t="str">
        <f aca="false">IF(X399=1,SUM($X$2:X399),"")</f>
        <v/>
      </c>
    </row>
    <row r="400" customFormat="false" ht="15" hidden="false" customHeight="false" outlineLevel="0" collapsed="false">
      <c r="B400" s="0" t="n">
        <f aca="false">IF(AND(食数記録!$A400=プレビュー!$C$3,食数記録!$B400="朝",食数記録!$F400="男性入所",食数記録!$D400="欠食"),1,0)</f>
        <v>0</v>
      </c>
      <c r="C400" s="0" t="str">
        <f aca="false">IF(B400=1,SUM($B$2:B400),"")</f>
        <v/>
      </c>
      <c r="D400" s="0" t="n">
        <f aca="false">IF(AND(食数記録!$A400=プレビュー!$C$3,食数記録!$B400="昼",食数記録!$F400="男性入所",食数記録!$D400="欠食"),1,0)</f>
        <v>0</v>
      </c>
      <c r="E400" s="0" t="str">
        <f aca="false">IF(D400=1,SUM($D$2:D400),"")</f>
        <v/>
      </c>
      <c r="F400" s="0" t="n">
        <f aca="false">IF(AND(食数記録!$A400=プレビュー!$C$3,食数記録!$B400="夕",食数記録!$F400="男性入所",食数記録!$D400="欠食"),1,0)</f>
        <v>0</v>
      </c>
      <c r="G400" s="0" t="str">
        <f aca="false">IF(F400=1,SUM($F$2:F400),"")</f>
        <v/>
      </c>
      <c r="H400" s="0" t="n">
        <f aca="false">IF(AND(食数記録!$A400=プレビュー!$C$3,食数記録!$B400="朝",食数記録!$F400="女性入所",食数記録!$D400="欠食"),1,0)</f>
        <v>0</v>
      </c>
      <c r="I400" s="0" t="str">
        <f aca="false">IF(H400=1,SUM($H$2:H400),"")</f>
        <v/>
      </c>
      <c r="J400" s="0" t="n">
        <f aca="false">IF(AND(食数記録!$A400=プレビュー!$C$3,食数記録!$B400="昼",食数記録!$F400="女性入所",食数記録!$D400="欠食"),1,0)</f>
        <v>0</v>
      </c>
      <c r="K400" s="0" t="str">
        <f aca="false">IF(J400=1,SUM($J$2:J400),"")</f>
        <v/>
      </c>
      <c r="L400" s="0" t="n">
        <f aca="false">IF(AND(食数記録!$A400=プレビュー!$C$3,食数記録!$B400="夕",食数記録!$F400="女性入所",食数記録!$D400="欠食"),1,0)</f>
        <v>0</v>
      </c>
      <c r="M400" s="0" t="str">
        <f aca="false">IF(L400=1,SUM($L$2:L400),"")</f>
        <v/>
      </c>
      <c r="N400" s="0" t="n">
        <f aca="false">IF(AND(食数記録!$A400=プレビュー!$C$3,食数記録!$B400="朝",食数記録!$F400="男性GH",食数記録!$D400="臨時喫食"),1,0)</f>
        <v>0</v>
      </c>
      <c r="O400" s="0" t="str">
        <f aca="false">IF(N400=1,SUM($N$2:N400),"")</f>
        <v/>
      </c>
      <c r="P400" s="0" t="n">
        <f aca="false">IF(AND(食数記録!$A400=プレビュー!$C$3,食数記録!$B400="昼",食数記録!$F400="男性GH",食数記録!$D400="臨時喫食"),1,0)</f>
        <v>0</v>
      </c>
      <c r="Q400" s="0" t="str">
        <f aca="false">IF(P400=1,SUM($P$2:P400),"")</f>
        <v/>
      </c>
      <c r="R400" s="0" t="n">
        <f aca="false">IF(AND(食数記録!$A400=プレビュー!$C$3,食数記録!$B400="夕",食数記録!$F400="男性GH",食数記録!$D400="臨時喫食"),1,0)</f>
        <v>0</v>
      </c>
      <c r="S400" s="0" t="str">
        <f aca="false">IF(R400=1,SUM($R$2:R400),"")</f>
        <v/>
      </c>
      <c r="T400" s="0" t="n">
        <f aca="false">IF(AND(食数記録!$A400=プレビュー!$C$3,食数記録!$B400="朝",食数記録!$F400="女性GH",食数記録!$D400="臨時喫食"),1,0)</f>
        <v>0</v>
      </c>
      <c r="U400" s="0" t="str">
        <f aca="false">IF(T400=1,SUM($T$2:T400),"")</f>
        <v/>
      </c>
      <c r="V400" s="0" t="n">
        <f aca="false">IF(AND(食数記録!$A400=プレビュー!$C$3,食数記録!$B400="昼",食数記録!$F400="女性GH",食数記録!$D400="臨時喫食"),1,0)</f>
        <v>0</v>
      </c>
      <c r="W400" s="0" t="str">
        <f aca="false">IF(V400=1,SUM($V$2:V400),"")</f>
        <v/>
      </c>
      <c r="X400" s="0" t="n">
        <f aca="false">IF(AND(食数記録!$A400=プレビュー!$C$3,食数記録!$B400="夕",食数記録!$F400="女性GH",食数記録!$D400="臨時喫食"),1,0)</f>
        <v>0</v>
      </c>
      <c r="Y400" s="0" t="str">
        <f aca="false">IF(X400=1,SUM($X$2:X400),"")</f>
        <v/>
      </c>
    </row>
    <row r="401" customFormat="false" ht="15" hidden="false" customHeight="false" outlineLevel="0" collapsed="false">
      <c r="B401" s="0" t="n">
        <f aca="false">IF(AND(食数記録!$A401=プレビュー!$C$3,食数記録!$B401="朝",食数記録!$F401="男性入所",食数記録!$D401="欠食"),1,0)</f>
        <v>0</v>
      </c>
      <c r="C401" s="0" t="str">
        <f aca="false">IF(B401=1,SUM($B$2:B401),"")</f>
        <v/>
      </c>
      <c r="D401" s="0" t="n">
        <f aca="false">IF(AND(食数記録!$A401=プレビュー!$C$3,食数記録!$B401="昼",食数記録!$F401="男性入所",食数記録!$D401="欠食"),1,0)</f>
        <v>0</v>
      </c>
      <c r="E401" s="0" t="str">
        <f aca="false">IF(D401=1,SUM($D$2:D401),"")</f>
        <v/>
      </c>
      <c r="F401" s="0" t="n">
        <f aca="false">IF(AND(食数記録!$A401=プレビュー!$C$3,食数記録!$B401="夕",食数記録!$F401="男性入所",食数記録!$D401="欠食"),1,0)</f>
        <v>0</v>
      </c>
      <c r="G401" s="0" t="str">
        <f aca="false">IF(F401=1,SUM($F$2:F401),"")</f>
        <v/>
      </c>
      <c r="H401" s="0" t="n">
        <f aca="false">IF(AND(食数記録!$A401=プレビュー!$C$3,食数記録!$B401="朝",食数記録!$F401="女性入所",食数記録!$D401="欠食"),1,0)</f>
        <v>0</v>
      </c>
      <c r="I401" s="0" t="str">
        <f aca="false">IF(H401=1,SUM($H$2:H401),"")</f>
        <v/>
      </c>
      <c r="J401" s="0" t="n">
        <f aca="false">IF(AND(食数記録!$A401=プレビュー!$C$3,食数記録!$B401="昼",食数記録!$F401="女性入所",食数記録!$D401="欠食"),1,0)</f>
        <v>0</v>
      </c>
      <c r="K401" s="0" t="str">
        <f aca="false">IF(J401=1,SUM($J$2:J401),"")</f>
        <v/>
      </c>
      <c r="L401" s="0" t="n">
        <f aca="false">IF(AND(食数記録!$A401=プレビュー!$C$3,食数記録!$B401="夕",食数記録!$F401="女性入所",食数記録!$D401="欠食"),1,0)</f>
        <v>0</v>
      </c>
      <c r="M401" s="0" t="str">
        <f aca="false">IF(L401=1,SUM($L$2:L401),"")</f>
        <v/>
      </c>
      <c r="N401" s="0" t="n">
        <f aca="false">IF(AND(食数記録!$A401=プレビュー!$C$3,食数記録!$B401="朝",食数記録!$F401="男性GH",食数記録!$D401="臨時喫食"),1,0)</f>
        <v>0</v>
      </c>
      <c r="O401" s="0" t="str">
        <f aca="false">IF(N401=1,SUM($N$2:N401),"")</f>
        <v/>
      </c>
      <c r="P401" s="0" t="n">
        <f aca="false">IF(AND(食数記録!$A401=プレビュー!$C$3,食数記録!$B401="昼",食数記録!$F401="男性GH",食数記録!$D401="臨時喫食"),1,0)</f>
        <v>0</v>
      </c>
      <c r="Q401" s="0" t="str">
        <f aca="false">IF(P401=1,SUM($P$2:P401),"")</f>
        <v/>
      </c>
      <c r="R401" s="0" t="n">
        <f aca="false">IF(AND(食数記録!$A401=プレビュー!$C$3,食数記録!$B401="夕",食数記録!$F401="男性GH",食数記録!$D401="臨時喫食"),1,0)</f>
        <v>0</v>
      </c>
      <c r="S401" s="0" t="str">
        <f aca="false">IF(R401=1,SUM($R$2:R401),"")</f>
        <v/>
      </c>
      <c r="T401" s="0" t="n">
        <f aca="false">IF(AND(食数記録!$A401=プレビュー!$C$3,食数記録!$B401="朝",食数記録!$F401="女性GH",食数記録!$D401="臨時喫食"),1,0)</f>
        <v>0</v>
      </c>
      <c r="U401" s="0" t="str">
        <f aca="false">IF(T401=1,SUM($T$2:T401),"")</f>
        <v/>
      </c>
      <c r="V401" s="0" t="n">
        <f aca="false">IF(AND(食数記録!$A401=プレビュー!$C$3,食数記録!$B401="昼",食数記録!$F401="女性GH",食数記録!$D401="臨時喫食"),1,0)</f>
        <v>0</v>
      </c>
      <c r="W401" s="0" t="str">
        <f aca="false">IF(V401=1,SUM($V$2:V401),"")</f>
        <v/>
      </c>
      <c r="X401" s="0" t="n">
        <f aca="false">IF(AND(食数記録!$A401=プレビュー!$C$3,食数記録!$B401="夕",食数記録!$F401="女性GH",食数記録!$D401="臨時喫食"),1,0)</f>
        <v>0</v>
      </c>
      <c r="Y401" s="0" t="str">
        <f aca="false">IF(X401=1,SUM($X$2:X401),"")</f>
        <v/>
      </c>
    </row>
    <row r="402" customFormat="false" ht="15" hidden="false" customHeight="false" outlineLevel="0" collapsed="false">
      <c r="B402" s="0" t="n">
        <f aca="false">IF(AND(食数記録!$A402=プレビュー!$C$3,食数記録!$B402="朝",食数記録!$F402="男性入所",食数記録!$D402="欠食"),1,0)</f>
        <v>0</v>
      </c>
      <c r="C402" s="0" t="str">
        <f aca="false">IF(B402=1,SUM($B$2:B402),"")</f>
        <v/>
      </c>
      <c r="D402" s="0" t="n">
        <f aca="false">IF(AND(食数記録!$A402=プレビュー!$C$3,食数記録!$B402="昼",食数記録!$F402="男性入所",食数記録!$D402="欠食"),1,0)</f>
        <v>0</v>
      </c>
      <c r="E402" s="0" t="str">
        <f aca="false">IF(D402=1,SUM($D$2:D402),"")</f>
        <v/>
      </c>
      <c r="F402" s="0" t="n">
        <f aca="false">IF(AND(食数記録!$A402=プレビュー!$C$3,食数記録!$B402="夕",食数記録!$F402="男性入所",食数記録!$D402="欠食"),1,0)</f>
        <v>0</v>
      </c>
      <c r="G402" s="0" t="str">
        <f aca="false">IF(F402=1,SUM($F$2:F402),"")</f>
        <v/>
      </c>
      <c r="H402" s="0" t="n">
        <f aca="false">IF(AND(食数記録!$A402=プレビュー!$C$3,食数記録!$B402="朝",食数記録!$F402="女性入所",食数記録!$D402="欠食"),1,0)</f>
        <v>0</v>
      </c>
      <c r="I402" s="0" t="str">
        <f aca="false">IF(H402=1,SUM($H$2:H402),"")</f>
        <v/>
      </c>
      <c r="J402" s="0" t="n">
        <f aca="false">IF(AND(食数記録!$A402=プレビュー!$C$3,食数記録!$B402="昼",食数記録!$F402="女性入所",食数記録!$D402="欠食"),1,0)</f>
        <v>0</v>
      </c>
      <c r="K402" s="0" t="str">
        <f aca="false">IF(J402=1,SUM($J$2:J402),"")</f>
        <v/>
      </c>
      <c r="L402" s="0" t="n">
        <f aca="false">IF(AND(食数記録!$A402=プレビュー!$C$3,食数記録!$B402="夕",食数記録!$F402="女性入所",食数記録!$D402="欠食"),1,0)</f>
        <v>0</v>
      </c>
      <c r="M402" s="0" t="str">
        <f aca="false">IF(L402=1,SUM($L$2:L402),"")</f>
        <v/>
      </c>
      <c r="N402" s="0" t="n">
        <f aca="false">IF(AND(食数記録!$A402=プレビュー!$C$3,食数記録!$B402="朝",食数記録!$F402="男性GH",食数記録!$D402="臨時喫食"),1,0)</f>
        <v>0</v>
      </c>
      <c r="O402" s="0" t="str">
        <f aca="false">IF(N402=1,SUM($N$2:N402),"")</f>
        <v/>
      </c>
      <c r="P402" s="0" t="n">
        <f aca="false">IF(AND(食数記録!$A402=プレビュー!$C$3,食数記録!$B402="昼",食数記録!$F402="男性GH",食数記録!$D402="臨時喫食"),1,0)</f>
        <v>0</v>
      </c>
      <c r="Q402" s="0" t="str">
        <f aca="false">IF(P402=1,SUM($P$2:P402),"")</f>
        <v/>
      </c>
      <c r="R402" s="0" t="n">
        <f aca="false">IF(AND(食数記録!$A402=プレビュー!$C$3,食数記録!$B402="夕",食数記録!$F402="男性GH",食数記録!$D402="臨時喫食"),1,0)</f>
        <v>0</v>
      </c>
      <c r="S402" s="0" t="str">
        <f aca="false">IF(R402=1,SUM($R$2:R402),"")</f>
        <v/>
      </c>
      <c r="T402" s="0" t="n">
        <f aca="false">IF(AND(食数記録!$A402=プレビュー!$C$3,食数記録!$B402="朝",食数記録!$F402="女性GH",食数記録!$D402="臨時喫食"),1,0)</f>
        <v>0</v>
      </c>
      <c r="U402" s="0" t="str">
        <f aca="false">IF(T402=1,SUM($T$2:T402),"")</f>
        <v/>
      </c>
      <c r="V402" s="0" t="n">
        <f aca="false">IF(AND(食数記録!$A402=プレビュー!$C$3,食数記録!$B402="昼",食数記録!$F402="女性GH",食数記録!$D402="臨時喫食"),1,0)</f>
        <v>0</v>
      </c>
      <c r="W402" s="0" t="str">
        <f aca="false">IF(V402=1,SUM($V$2:V402),"")</f>
        <v/>
      </c>
      <c r="X402" s="0" t="n">
        <f aca="false">IF(AND(食数記録!$A402=プレビュー!$C$3,食数記録!$B402="夕",食数記録!$F402="女性GH",食数記録!$D402="臨時喫食"),1,0)</f>
        <v>0</v>
      </c>
      <c r="Y402" s="0" t="str">
        <f aca="false">IF(X402=1,SUM($X$2:X402),"")</f>
        <v/>
      </c>
    </row>
    <row r="403" customFormat="false" ht="15" hidden="false" customHeight="false" outlineLevel="0" collapsed="false">
      <c r="B403" s="0" t="n">
        <f aca="false">IF(AND(食数記録!$A403=プレビュー!$C$3,食数記録!$B403="朝",食数記録!$F403="男性入所",食数記録!$D403="欠食"),1,0)</f>
        <v>0</v>
      </c>
      <c r="C403" s="0" t="str">
        <f aca="false">IF(B403=1,SUM($B$2:B403),"")</f>
        <v/>
      </c>
      <c r="D403" s="0" t="n">
        <f aca="false">IF(AND(食数記録!$A403=プレビュー!$C$3,食数記録!$B403="昼",食数記録!$F403="男性入所",食数記録!$D403="欠食"),1,0)</f>
        <v>0</v>
      </c>
      <c r="E403" s="0" t="str">
        <f aca="false">IF(D403=1,SUM($D$2:D403),"")</f>
        <v/>
      </c>
      <c r="F403" s="0" t="n">
        <f aca="false">IF(AND(食数記録!$A403=プレビュー!$C$3,食数記録!$B403="夕",食数記録!$F403="男性入所",食数記録!$D403="欠食"),1,0)</f>
        <v>0</v>
      </c>
      <c r="G403" s="0" t="str">
        <f aca="false">IF(F403=1,SUM($F$2:F403),"")</f>
        <v/>
      </c>
      <c r="H403" s="0" t="n">
        <f aca="false">IF(AND(食数記録!$A403=プレビュー!$C$3,食数記録!$B403="朝",食数記録!$F403="女性入所",食数記録!$D403="欠食"),1,0)</f>
        <v>0</v>
      </c>
      <c r="I403" s="0" t="str">
        <f aca="false">IF(H403=1,SUM($H$2:H403),"")</f>
        <v/>
      </c>
      <c r="J403" s="0" t="n">
        <f aca="false">IF(AND(食数記録!$A403=プレビュー!$C$3,食数記録!$B403="昼",食数記録!$F403="女性入所",食数記録!$D403="欠食"),1,0)</f>
        <v>0</v>
      </c>
      <c r="K403" s="0" t="str">
        <f aca="false">IF(J403=1,SUM($J$2:J403),"")</f>
        <v/>
      </c>
      <c r="L403" s="0" t="n">
        <f aca="false">IF(AND(食数記録!$A403=プレビュー!$C$3,食数記録!$B403="夕",食数記録!$F403="女性入所",食数記録!$D403="欠食"),1,0)</f>
        <v>0</v>
      </c>
      <c r="M403" s="0" t="str">
        <f aca="false">IF(L403=1,SUM($L$2:L403),"")</f>
        <v/>
      </c>
      <c r="N403" s="0" t="n">
        <f aca="false">IF(AND(食数記録!$A403=プレビュー!$C$3,食数記録!$B403="朝",食数記録!$F403="男性GH",食数記録!$D403="臨時喫食"),1,0)</f>
        <v>0</v>
      </c>
      <c r="O403" s="0" t="str">
        <f aca="false">IF(N403=1,SUM($N$2:N403),"")</f>
        <v/>
      </c>
      <c r="P403" s="0" t="n">
        <f aca="false">IF(AND(食数記録!$A403=プレビュー!$C$3,食数記録!$B403="昼",食数記録!$F403="男性GH",食数記録!$D403="臨時喫食"),1,0)</f>
        <v>0</v>
      </c>
      <c r="Q403" s="0" t="str">
        <f aca="false">IF(P403=1,SUM($P$2:P403),"")</f>
        <v/>
      </c>
      <c r="R403" s="0" t="n">
        <f aca="false">IF(AND(食数記録!$A403=プレビュー!$C$3,食数記録!$B403="夕",食数記録!$F403="男性GH",食数記録!$D403="臨時喫食"),1,0)</f>
        <v>0</v>
      </c>
      <c r="S403" s="0" t="str">
        <f aca="false">IF(R403=1,SUM($R$2:R403),"")</f>
        <v/>
      </c>
      <c r="T403" s="0" t="n">
        <f aca="false">IF(AND(食数記録!$A403=プレビュー!$C$3,食数記録!$B403="朝",食数記録!$F403="女性GH",食数記録!$D403="臨時喫食"),1,0)</f>
        <v>0</v>
      </c>
      <c r="U403" s="0" t="str">
        <f aca="false">IF(T403=1,SUM($T$2:T403),"")</f>
        <v/>
      </c>
      <c r="V403" s="0" t="n">
        <f aca="false">IF(AND(食数記録!$A403=プレビュー!$C$3,食数記録!$B403="昼",食数記録!$F403="女性GH",食数記録!$D403="臨時喫食"),1,0)</f>
        <v>0</v>
      </c>
      <c r="W403" s="0" t="str">
        <f aca="false">IF(V403=1,SUM($V$2:V403),"")</f>
        <v/>
      </c>
      <c r="X403" s="0" t="n">
        <f aca="false">IF(AND(食数記録!$A403=プレビュー!$C$3,食数記録!$B403="夕",食数記録!$F403="女性GH",食数記録!$D403="臨時喫食"),1,0)</f>
        <v>0</v>
      </c>
      <c r="Y403" s="0" t="str">
        <f aca="false">IF(X403=1,SUM($X$2:X403),"")</f>
        <v/>
      </c>
    </row>
    <row r="404" customFormat="false" ht="15" hidden="false" customHeight="false" outlineLevel="0" collapsed="false">
      <c r="B404" s="0" t="n">
        <f aca="false">IF(AND(食数記録!$A404=プレビュー!$C$3,食数記録!$B404="朝",食数記録!$F404="男性入所",食数記録!$D404="欠食"),1,0)</f>
        <v>0</v>
      </c>
      <c r="C404" s="0" t="str">
        <f aca="false">IF(B404=1,SUM($B$2:B404),"")</f>
        <v/>
      </c>
      <c r="D404" s="0" t="n">
        <f aca="false">IF(AND(食数記録!$A404=プレビュー!$C$3,食数記録!$B404="昼",食数記録!$F404="男性入所",食数記録!$D404="欠食"),1,0)</f>
        <v>0</v>
      </c>
      <c r="E404" s="0" t="str">
        <f aca="false">IF(D404=1,SUM($D$2:D404),"")</f>
        <v/>
      </c>
      <c r="F404" s="0" t="n">
        <f aca="false">IF(AND(食数記録!$A404=プレビュー!$C$3,食数記録!$B404="夕",食数記録!$F404="男性入所",食数記録!$D404="欠食"),1,0)</f>
        <v>0</v>
      </c>
      <c r="G404" s="0" t="str">
        <f aca="false">IF(F404=1,SUM($F$2:F404),"")</f>
        <v/>
      </c>
      <c r="H404" s="0" t="n">
        <f aca="false">IF(AND(食数記録!$A404=プレビュー!$C$3,食数記録!$B404="朝",食数記録!$F404="女性入所",食数記録!$D404="欠食"),1,0)</f>
        <v>0</v>
      </c>
      <c r="I404" s="0" t="str">
        <f aca="false">IF(H404=1,SUM($H$2:H404),"")</f>
        <v/>
      </c>
      <c r="J404" s="0" t="n">
        <f aca="false">IF(AND(食数記録!$A404=プレビュー!$C$3,食数記録!$B404="昼",食数記録!$F404="女性入所",食数記録!$D404="欠食"),1,0)</f>
        <v>0</v>
      </c>
      <c r="K404" s="0" t="str">
        <f aca="false">IF(J404=1,SUM($J$2:J404),"")</f>
        <v/>
      </c>
      <c r="L404" s="0" t="n">
        <f aca="false">IF(AND(食数記録!$A404=プレビュー!$C$3,食数記録!$B404="夕",食数記録!$F404="女性入所",食数記録!$D404="欠食"),1,0)</f>
        <v>0</v>
      </c>
      <c r="M404" s="0" t="str">
        <f aca="false">IF(L404=1,SUM($L$2:L404),"")</f>
        <v/>
      </c>
      <c r="N404" s="0" t="n">
        <f aca="false">IF(AND(食数記録!$A404=プレビュー!$C$3,食数記録!$B404="朝",食数記録!$F404="男性GH",食数記録!$D404="臨時喫食"),1,0)</f>
        <v>0</v>
      </c>
      <c r="O404" s="0" t="str">
        <f aca="false">IF(N404=1,SUM($N$2:N404),"")</f>
        <v/>
      </c>
      <c r="P404" s="0" t="n">
        <f aca="false">IF(AND(食数記録!$A404=プレビュー!$C$3,食数記録!$B404="昼",食数記録!$F404="男性GH",食数記録!$D404="臨時喫食"),1,0)</f>
        <v>0</v>
      </c>
      <c r="Q404" s="0" t="str">
        <f aca="false">IF(P404=1,SUM($P$2:P404),"")</f>
        <v/>
      </c>
      <c r="R404" s="0" t="n">
        <f aca="false">IF(AND(食数記録!$A404=プレビュー!$C$3,食数記録!$B404="夕",食数記録!$F404="男性GH",食数記録!$D404="臨時喫食"),1,0)</f>
        <v>0</v>
      </c>
      <c r="S404" s="0" t="str">
        <f aca="false">IF(R404=1,SUM($R$2:R404),"")</f>
        <v/>
      </c>
      <c r="T404" s="0" t="n">
        <f aca="false">IF(AND(食数記録!$A404=プレビュー!$C$3,食数記録!$B404="朝",食数記録!$F404="女性GH",食数記録!$D404="臨時喫食"),1,0)</f>
        <v>0</v>
      </c>
      <c r="U404" s="0" t="str">
        <f aca="false">IF(T404=1,SUM($T$2:T404),"")</f>
        <v/>
      </c>
      <c r="V404" s="0" t="n">
        <f aca="false">IF(AND(食数記録!$A404=プレビュー!$C$3,食数記録!$B404="昼",食数記録!$F404="女性GH",食数記録!$D404="臨時喫食"),1,0)</f>
        <v>0</v>
      </c>
      <c r="W404" s="0" t="str">
        <f aca="false">IF(V404=1,SUM($V$2:V404),"")</f>
        <v/>
      </c>
      <c r="X404" s="0" t="n">
        <f aca="false">IF(AND(食数記録!$A404=プレビュー!$C$3,食数記録!$B404="夕",食数記録!$F404="女性GH",食数記録!$D404="臨時喫食"),1,0)</f>
        <v>0</v>
      </c>
      <c r="Y404" s="0" t="str">
        <f aca="false">IF(X404=1,SUM($X$2:X404),"")</f>
        <v/>
      </c>
    </row>
    <row r="405" customFormat="false" ht="15" hidden="false" customHeight="false" outlineLevel="0" collapsed="false">
      <c r="B405" s="0" t="n">
        <f aca="false">IF(AND(食数記録!$A405=プレビュー!$C$3,食数記録!$B405="朝",食数記録!$F405="男性入所",食数記録!$D405="欠食"),1,0)</f>
        <v>0</v>
      </c>
      <c r="C405" s="0" t="str">
        <f aca="false">IF(B405=1,SUM($B$2:B405),"")</f>
        <v/>
      </c>
      <c r="D405" s="0" t="n">
        <f aca="false">IF(AND(食数記録!$A405=プレビュー!$C$3,食数記録!$B405="昼",食数記録!$F405="男性入所",食数記録!$D405="欠食"),1,0)</f>
        <v>0</v>
      </c>
      <c r="E405" s="0" t="str">
        <f aca="false">IF(D405=1,SUM($D$2:D405),"")</f>
        <v/>
      </c>
      <c r="F405" s="0" t="n">
        <f aca="false">IF(AND(食数記録!$A405=プレビュー!$C$3,食数記録!$B405="夕",食数記録!$F405="男性入所",食数記録!$D405="欠食"),1,0)</f>
        <v>0</v>
      </c>
      <c r="G405" s="0" t="str">
        <f aca="false">IF(F405=1,SUM($F$2:F405),"")</f>
        <v/>
      </c>
      <c r="H405" s="0" t="n">
        <f aca="false">IF(AND(食数記録!$A405=プレビュー!$C$3,食数記録!$B405="朝",食数記録!$F405="女性入所",食数記録!$D405="欠食"),1,0)</f>
        <v>0</v>
      </c>
      <c r="I405" s="0" t="str">
        <f aca="false">IF(H405=1,SUM($H$2:H405),"")</f>
        <v/>
      </c>
      <c r="J405" s="0" t="n">
        <f aca="false">IF(AND(食数記録!$A405=プレビュー!$C$3,食数記録!$B405="昼",食数記録!$F405="女性入所",食数記録!$D405="欠食"),1,0)</f>
        <v>0</v>
      </c>
      <c r="K405" s="0" t="str">
        <f aca="false">IF(J405=1,SUM($J$2:J405),"")</f>
        <v/>
      </c>
      <c r="L405" s="0" t="n">
        <f aca="false">IF(AND(食数記録!$A405=プレビュー!$C$3,食数記録!$B405="夕",食数記録!$F405="女性入所",食数記録!$D405="欠食"),1,0)</f>
        <v>0</v>
      </c>
      <c r="M405" s="0" t="str">
        <f aca="false">IF(L405=1,SUM($L$2:L405),"")</f>
        <v/>
      </c>
      <c r="N405" s="0" t="n">
        <f aca="false">IF(AND(食数記録!$A405=プレビュー!$C$3,食数記録!$B405="朝",食数記録!$F405="男性GH",食数記録!$D405="臨時喫食"),1,0)</f>
        <v>0</v>
      </c>
      <c r="O405" s="0" t="str">
        <f aca="false">IF(N405=1,SUM($N$2:N405),"")</f>
        <v/>
      </c>
      <c r="P405" s="0" t="n">
        <f aca="false">IF(AND(食数記録!$A405=プレビュー!$C$3,食数記録!$B405="昼",食数記録!$F405="男性GH",食数記録!$D405="臨時喫食"),1,0)</f>
        <v>0</v>
      </c>
      <c r="Q405" s="0" t="str">
        <f aca="false">IF(P405=1,SUM($P$2:P405),"")</f>
        <v/>
      </c>
      <c r="R405" s="0" t="n">
        <f aca="false">IF(AND(食数記録!$A405=プレビュー!$C$3,食数記録!$B405="夕",食数記録!$F405="男性GH",食数記録!$D405="臨時喫食"),1,0)</f>
        <v>0</v>
      </c>
      <c r="S405" s="0" t="str">
        <f aca="false">IF(R405=1,SUM($R$2:R405),"")</f>
        <v/>
      </c>
      <c r="T405" s="0" t="n">
        <f aca="false">IF(AND(食数記録!$A405=プレビュー!$C$3,食数記録!$B405="朝",食数記録!$F405="女性GH",食数記録!$D405="臨時喫食"),1,0)</f>
        <v>0</v>
      </c>
      <c r="U405" s="0" t="str">
        <f aca="false">IF(T405=1,SUM($T$2:T405),"")</f>
        <v/>
      </c>
      <c r="V405" s="0" t="n">
        <f aca="false">IF(AND(食数記録!$A405=プレビュー!$C$3,食数記録!$B405="昼",食数記録!$F405="女性GH",食数記録!$D405="臨時喫食"),1,0)</f>
        <v>0</v>
      </c>
      <c r="W405" s="0" t="str">
        <f aca="false">IF(V405=1,SUM($V$2:V405),"")</f>
        <v/>
      </c>
      <c r="X405" s="0" t="n">
        <f aca="false">IF(AND(食数記録!$A405=プレビュー!$C$3,食数記録!$B405="夕",食数記録!$F405="女性GH",食数記録!$D405="臨時喫食"),1,0)</f>
        <v>0</v>
      </c>
      <c r="Y405" s="0" t="str">
        <f aca="false">IF(X405=1,SUM($X$2:X405),"")</f>
        <v/>
      </c>
    </row>
    <row r="406" customFormat="false" ht="15" hidden="false" customHeight="false" outlineLevel="0" collapsed="false">
      <c r="B406" s="0" t="n">
        <f aca="false">IF(AND(食数記録!$A406=プレビュー!$C$3,食数記録!$B406="朝",食数記録!$F406="男性入所",食数記録!$D406="欠食"),1,0)</f>
        <v>0</v>
      </c>
      <c r="C406" s="0" t="str">
        <f aca="false">IF(B406=1,SUM($B$2:B406),"")</f>
        <v/>
      </c>
      <c r="D406" s="0" t="n">
        <f aca="false">IF(AND(食数記録!$A406=プレビュー!$C$3,食数記録!$B406="昼",食数記録!$F406="男性入所",食数記録!$D406="欠食"),1,0)</f>
        <v>0</v>
      </c>
      <c r="E406" s="0" t="str">
        <f aca="false">IF(D406=1,SUM($D$2:D406),"")</f>
        <v/>
      </c>
      <c r="F406" s="0" t="n">
        <f aca="false">IF(AND(食数記録!$A406=プレビュー!$C$3,食数記録!$B406="夕",食数記録!$F406="男性入所",食数記録!$D406="欠食"),1,0)</f>
        <v>0</v>
      </c>
      <c r="G406" s="0" t="str">
        <f aca="false">IF(F406=1,SUM($F$2:F406),"")</f>
        <v/>
      </c>
      <c r="H406" s="0" t="n">
        <f aca="false">IF(AND(食数記録!$A406=プレビュー!$C$3,食数記録!$B406="朝",食数記録!$F406="女性入所",食数記録!$D406="欠食"),1,0)</f>
        <v>0</v>
      </c>
      <c r="I406" s="0" t="str">
        <f aca="false">IF(H406=1,SUM($H$2:H406),"")</f>
        <v/>
      </c>
      <c r="J406" s="0" t="n">
        <f aca="false">IF(AND(食数記録!$A406=プレビュー!$C$3,食数記録!$B406="昼",食数記録!$F406="女性入所",食数記録!$D406="欠食"),1,0)</f>
        <v>0</v>
      </c>
      <c r="K406" s="0" t="str">
        <f aca="false">IF(J406=1,SUM($J$2:J406),"")</f>
        <v/>
      </c>
      <c r="L406" s="0" t="n">
        <f aca="false">IF(AND(食数記録!$A406=プレビュー!$C$3,食数記録!$B406="夕",食数記録!$F406="女性入所",食数記録!$D406="欠食"),1,0)</f>
        <v>0</v>
      </c>
      <c r="M406" s="0" t="str">
        <f aca="false">IF(L406=1,SUM($L$2:L406),"")</f>
        <v/>
      </c>
      <c r="N406" s="0" t="n">
        <f aca="false">IF(AND(食数記録!$A406=プレビュー!$C$3,食数記録!$B406="朝",食数記録!$F406="男性GH",食数記録!$D406="臨時喫食"),1,0)</f>
        <v>0</v>
      </c>
      <c r="O406" s="0" t="str">
        <f aca="false">IF(N406=1,SUM($N$2:N406),"")</f>
        <v/>
      </c>
      <c r="P406" s="0" t="n">
        <f aca="false">IF(AND(食数記録!$A406=プレビュー!$C$3,食数記録!$B406="昼",食数記録!$F406="男性GH",食数記録!$D406="臨時喫食"),1,0)</f>
        <v>0</v>
      </c>
      <c r="Q406" s="0" t="str">
        <f aca="false">IF(P406=1,SUM($P$2:P406),"")</f>
        <v/>
      </c>
      <c r="R406" s="0" t="n">
        <f aca="false">IF(AND(食数記録!$A406=プレビュー!$C$3,食数記録!$B406="夕",食数記録!$F406="男性GH",食数記録!$D406="臨時喫食"),1,0)</f>
        <v>0</v>
      </c>
      <c r="S406" s="0" t="str">
        <f aca="false">IF(R406=1,SUM($R$2:R406),"")</f>
        <v/>
      </c>
      <c r="T406" s="0" t="n">
        <f aca="false">IF(AND(食数記録!$A406=プレビュー!$C$3,食数記録!$B406="朝",食数記録!$F406="女性GH",食数記録!$D406="臨時喫食"),1,0)</f>
        <v>0</v>
      </c>
      <c r="U406" s="0" t="str">
        <f aca="false">IF(T406=1,SUM($T$2:T406),"")</f>
        <v/>
      </c>
      <c r="V406" s="0" t="n">
        <f aca="false">IF(AND(食数記録!$A406=プレビュー!$C$3,食数記録!$B406="昼",食数記録!$F406="女性GH",食数記録!$D406="臨時喫食"),1,0)</f>
        <v>0</v>
      </c>
      <c r="W406" s="0" t="str">
        <f aca="false">IF(V406=1,SUM($V$2:V406),"")</f>
        <v/>
      </c>
      <c r="X406" s="0" t="n">
        <f aca="false">IF(AND(食数記録!$A406=プレビュー!$C$3,食数記録!$B406="夕",食数記録!$F406="女性GH",食数記録!$D406="臨時喫食"),1,0)</f>
        <v>0</v>
      </c>
      <c r="Y406" s="0" t="str">
        <f aca="false">IF(X406=1,SUM($X$2:X406),"")</f>
        <v/>
      </c>
    </row>
    <row r="407" customFormat="false" ht="15" hidden="false" customHeight="false" outlineLevel="0" collapsed="false">
      <c r="B407" s="0" t="n">
        <f aca="false">IF(AND(食数記録!$A407=プレビュー!$C$3,食数記録!$B407="朝",食数記録!$F407="男性入所",食数記録!$D407="欠食"),1,0)</f>
        <v>0</v>
      </c>
      <c r="C407" s="0" t="str">
        <f aca="false">IF(B407=1,SUM($B$2:B407),"")</f>
        <v/>
      </c>
      <c r="D407" s="0" t="n">
        <f aca="false">IF(AND(食数記録!$A407=プレビュー!$C$3,食数記録!$B407="昼",食数記録!$F407="男性入所",食数記録!$D407="欠食"),1,0)</f>
        <v>0</v>
      </c>
      <c r="E407" s="0" t="str">
        <f aca="false">IF(D407=1,SUM($D$2:D407),"")</f>
        <v/>
      </c>
      <c r="F407" s="0" t="n">
        <f aca="false">IF(AND(食数記録!$A407=プレビュー!$C$3,食数記録!$B407="夕",食数記録!$F407="男性入所",食数記録!$D407="欠食"),1,0)</f>
        <v>0</v>
      </c>
      <c r="G407" s="0" t="str">
        <f aca="false">IF(F407=1,SUM($F$2:F407),"")</f>
        <v/>
      </c>
      <c r="H407" s="0" t="n">
        <f aca="false">IF(AND(食数記録!$A407=プレビュー!$C$3,食数記録!$B407="朝",食数記録!$F407="女性入所",食数記録!$D407="欠食"),1,0)</f>
        <v>0</v>
      </c>
      <c r="I407" s="0" t="str">
        <f aca="false">IF(H407=1,SUM($H$2:H407),"")</f>
        <v/>
      </c>
      <c r="J407" s="0" t="n">
        <f aca="false">IF(AND(食数記録!$A407=プレビュー!$C$3,食数記録!$B407="昼",食数記録!$F407="女性入所",食数記録!$D407="欠食"),1,0)</f>
        <v>0</v>
      </c>
      <c r="K407" s="0" t="str">
        <f aca="false">IF(J407=1,SUM($J$2:J407),"")</f>
        <v/>
      </c>
      <c r="L407" s="0" t="n">
        <f aca="false">IF(AND(食数記録!$A407=プレビュー!$C$3,食数記録!$B407="夕",食数記録!$F407="女性入所",食数記録!$D407="欠食"),1,0)</f>
        <v>0</v>
      </c>
      <c r="M407" s="0" t="str">
        <f aca="false">IF(L407=1,SUM($L$2:L407),"")</f>
        <v/>
      </c>
      <c r="N407" s="0" t="n">
        <f aca="false">IF(AND(食数記録!$A407=プレビュー!$C$3,食数記録!$B407="朝",食数記録!$F407="男性GH",食数記録!$D407="臨時喫食"),1,0)</f>
        <v>0</v>
      </c>
      <c r="O407" s="0" t="str">
        <f aca="false">IF(N407=1,SUM($N$2:N407),"")</f>
        <v/>
      </c>
      <c r="P407" s="0" t="n">
        <f aca="false">IF(AND(食数記録!$A407=プレビュー!$C$3,食数記録!$B407="昼",食数記録!$F407="男性GH",食数記録!$D407="臨時喫食"),1,0)</f>
        <v>0</v>
      </c>
      <c r="Q407" s="0" t="str">
        <f aca="false">IF(P407=1,SUM($P$2:P407),"")</f>
        <v/>
      </c>
      <c r="R407" s="0" t="n">
        <f aca="false">IF(AND(食数記録!$A407=プレビュー!$C$3,食数記録!$B407="夕",食数記録!$F407="男性GH",食数記録!$D407="臨時喫食"),1,0)</f>
        <v>0</v>
      </c>
      <c r="S407" s="0" t="str">
        <f aca="false">IF(R407=1,SUM($R$2:R407),"")</f>
        <v/>
      </c>
      <c r="T407" s="0" t="n">
        <f aca="false">IF(AND(食数記録!$A407=プレビュー!$C$3,食数記録!$B407="朝",食数記録!$F407="女性GH",食数記録!$D407="臨時喫食"),1,0)</f>
        <v>0</v>
      </c>
      <c r="U407" s="0" t="str">
        <f aca="false">IF(T407=1,SUM($T$2:T407),"")</f>
        <v/>
      </c>
      <c r="V407" s="0" t="n">
        <f aca="false">IF(AND(食数記録!$A407=プレビュー!$C$3,食数記録!$B407="昼",食数記録!$F407="女性GH",食数記録!$D407="臨時喫食"),1,0)</f>
        <v>0</v>
      </c>
      <c r="W407" s="0" t="str">
        <f aca="false">IF(V407=1,SUM($V$2:V407),"")</f>
        <v/>
      </c>
      <c r="X407" s="0" t="n">
        <f aca="false">IF(AND(食数記録!$A407=プレビュー!$C$3,食数記録!$B407="夕",食数記録!$F407="女性GH",食数記録!$D407="臨時喫食"),1,0)</f>
        <v>0</v>
      </c>
      <c r="Y407" s="0" t="str">
        <f aca="false">IF(X407=1,SUM($X$2:X407),"")</f>
        <v/>
      </c>
    </row>
    <row r="408" customFormat="false" ht="15" hidden="false" customHeight="false" outlineLevel="0" collapsed="false">
      <c r="B408" s="0" t="n">
        <f aca="false">IF(AND(食数記録!$A408=プレビュー!$C$3,食数記録!$B408="朝",食数記録!$F408="男性入所",食数記録!$D408="欠食"),1,0)</f>
        <v>0</v>
      </c>
      <c r="C408" s="0" t="str">
        <f aca="false">IF(B408=1,SUM($B$2:B408),"")</f>
        <v/>
      </c>
      <c r="D408" s="0" t="n">
        <f aca="false">IF(AND(食数記録!$A408=プレビュー!$C$3,食数記録!$B408="昼",食数記録!$F408="男性入所",食数記録!$D408="欠食"),1,0)</f>
        <v>0</v>
      </c>
      <c r="E408" s="0" t="str">
        <f aca="false">IF(D408=1,SUM($D$2:D408),"")</f>
        <v/>
      </c>
      <c r="F408" s="0" t="n">
        <f aca="false">IF(AND(食数記録!$A408=プレビュー!$C$3,食数記録!$B408="夕",食数記録!$F408="男性入所",食数記録!$D408="欠食"),1,0)</f>
        <v>0</v>
      </c>
      <c r="G408" s="0" t="str">
        <f aca="false">IF(F408=1,SUM($F$2:F408),"")</f>
        <v/>
      </c>
      <c r="H408" s="0" t="n">
        <f aca="false">IF(AND(食数記録!$A408=プレビュー!$C$3,食数記録!$B408="朝",食数記録!$F408="女性入所",食数記録!$D408="欠食"),1,0)</f>
        <v>0</v>
      </c>
      <c r="I408" s="0" t="str">
        <f aca="false">IF(H408=1,SUM($H$2:H408),"")</f>
        <v/>
      </c>
      <c r="J408" s="0" t="n">
        <f aca="false">IF(AND(食数記録!$A408=プレビュー!$C$3,食数記録!$B408="昼",食数記録!$F408="女性入所",食数記録!$D408="欠食"),1,0)</f>
        <v>0</v>
      </c>
      <c r="K408" s="0" t="str">
        <f aca="false">IF(J408=1,SUM($J$2:J408),"")</f>
        <v/>
      </c>
      <c r="L408" s="0" t="n">
        <f aca="false">IF(AND(食数記録!$A408=プレビュー!$C$3,食数記録!$B408="夕",食数記録!$F408="女性入所",食数記録!$D408="欠食"),1,0)</f>
        <v>0</v>
      </c>
      <c r="M408" s="0" t="str">
        <f aca="false">IF(L408=1,SUM($L$2:L408),"")</f>
        <v/>
      </c>
      <c r="N408" s="0" t="n">
        <f aca="false">IF(AND(食数記録!$A408=プレビュー!$C$3,食数記録!$B408="朝",食数記録!$F408="男性GH",食数記録!$D408="臨時喫食"),1,0)</f>
        <v>0</v>
      </c>
      <c r="O408" s="0" t="str">
        <f aca="false">IF(N408=1,SUM($N$2:N408),"")</f>
        <v/>
      </c>
      <c r="P408" s="0" t="n">
        <f aca="false">IF(AND(食数記録!$A408=プレビュー!$C$3,食数記録!$B408="昼",食数記録!$F408="男性GH",食数記録!$D408="臨時喫食"),1,0)</f>
        <v>0</v>
      </c>
      <c r="Q408" s="0" t="str">
        <f aca="false">IF(P408=1,SUM($P$2:P408),"")</f>
        <v/>
      </c>
      <c r="R408" s="0" t="n">
        <f aca="false">IF(AND(食数記録!$A408=プレビュー!$C$3,食数記録!$B408="夕",食数記録!$F408="男性GH",食数記録!$D408="臨時喫食"),1,0)</f>
        <v>0</v>
      </c>
      <c r="S408" s="0" t="str">
        <f aca="false">IF(R408=1,SUM($R$2:R408),"")</f>
        <v/>
      </c>
      <c r="T408" s="0" t="n">
        <f aca="false">IF(AND(食数記録!$A408=プレビュー!$C$3,食数記録!$B408="朝",食数記録!$F408="女性GH",食数記録!$D408="臨時喫食"),1,0)</f>
        <v>0</v>
      </c>
      <c r="U408" s="0" t="str">
        <f aca="false">IF(T408=1,SUM($T$2:T408),"")</f>
        <v/>
      </c>
      <c r="V408" s="0" t="n">
        <f aca="false">IF(AND(食数記録!$A408=プレビュー!$C$3,食数記録!$B408="昼",食数記録!$F408="女性GH",食数記録!$D408="臨時喫食"),1,0)</f>
        <v>0</v>
      </c>
      <c r="W408" s="0" t="str">
        <f aca="false">IF(V408=1,SUM($V$2:V408),"")</f>
        <v/>
      </c>
      <c r="X408" s="0" t="n">
        <f aca="false">IF(AND(食数記録!$A408=プレビュー!$C$3,食数記録!$B408="夕",食数記録!$F408="女性GH",食数記録!$D408="臨時喫食"),1,0)</f>
        <v>0</v>
      </c>
      <c r="Y408" s="0" t="str">
        <f aca="false">IF(X408=1,SUM($X$2:X408),"")</f>
        <v/>
      </c>
    </row>
    <row r="409" customFormat="false" ht="15" hidden="false" customHeight="false" outlineLevel="0" collapsed="false">
      <c r="B409" s="0" t="n">
        <f aca="false">IF(AND(食数記録!$A409=プレビュー!$C$3,食数記録!$B409="朝",食数記録!$F409="男性入所",食数記録!$D409="欠食"),1,0)</f>
        <v>0</v>
      </c>
      <c r="C409" s="0" t="str">
        <f aca="false">IF(B409=1,SUM($B$2:B409),"")</f>
        <v/>
      </c>
      <c r="D409" s="0" t="n">
        <f aca="false">IF(AND(食数記録!$A409=プレビュー!$C$3,食数記録!$B409="昼",食数記録!$F409="男性入所",食数記録!$D409="欠食"),1,0)</f>
        <v>0</v>
      </c>
      <c r="E409" s="0" t="str">
        <f aca="false">IF(D409=1,SUM($D$2:D409),"")</f>
        <v/>
      </c>
      <c r="F409" s="0" t="n">
        <f aca="false">IF(AND(食数記録!$A409=プレビュー!$C$3,食数記録!$B409="夕",食数記録!$F409="男性入所",食数記録!$D409="欠食"),1,0)</f>
        <v>0</v>
      </c>
      <c r="G409" s="0" t="str">
        <f aca="false">IF(F409=1,SUM($F$2:F409),"")</f>
        <v/>
      </c>
      <c r="H409" s="0" t="n">
        <f aca="false">IF(AND(食数記録!$A409=プレビュー!$C$3,食数記録!$B409="朝",食数記録!$F409="女性入所",食数記録!$D409="欠食"),1,0)</f>
        <v>0</v>
      </c>
      <c r="I409" s="0" t="str">
        <f aca="false">IF(H409=1,SUM($H$2:H409),"")</f>
        <v/>
      </c>
      <c r="J409" s="0" t="n">
        <f aca="false">IF(AND(食数記録!$A409=プレビュー!$C$3,食数記録!$B409="昼",食数記録!$F409="女性入所",食数記録!$D409="欠食"),1,0)</f>
        <v>0</v>
      </c>
      <c r="K409" s="0" t="str">
        <f aca="false">IF(J409=1,SUM($J$2:J409),"")</f>
        <v/>
      </c>
      <c r="L409" s="0" t="n">
        <f aca="false">IF(AND(食数記録!$A409=プレビュー!$C$3,食数記録!$B409="夕",食数記録!$F409="女性入所",食数記録!$D409="欠食"),1,0)</f>
        <v>0</v>
      </c>
      <c r="M409" s="0" t="str">
        <f aca="false">IF(L409=1,SUM($L$2:L409),"")</f>
        <v/>
      </c>
      <c r="N409" s="0" t="n">
        <f aca="false">IF(AND(食数記録!$A409=プレビュー!$C$3,食数記録!$B409="朝",食数記録!$F409="男性GH",食数記録!$D409="臨時喫食"),1,0)</f>
        <v>0</v>
      </c>
      <c r="O409" s="0" t="str">
        <f aca="false">IF(N409=1,SUM($N$2:N409),"")</f>
        <v/>
      </c>
      <c r="P409" s="0" t="n">
        <f aca="false">IF(AND(食数記録!$A409=プレビュー!$C$3,食数記録!$B409="昼",食数記録!$F409="男性GH",食数記録!$D409="臨時喫食"),1,0)</f>
        <v>0</v>
      </c>
      <c r="Q409" s="0" t="str">
        <f aca="false">IF(P409=1,SUM($P$2:P409),"")</f>
        <v/>
      </c>
      <c r="R409" s="0" t="n">
        <f aca="false">IF(AND(食数記録!$A409=プレビュー!$C$3,食数記録!$B409="夕",食数記録!$F409="男性GH",食数記録!$D409="臨時喫食"),1,0)</f>
        <v>0</v>
      </c>
      <c r="S409" s="0" t="str">
        <f aca="false">IF(R409=1,SUM($R$2:R409),"")</f>
        <v/>
      </c>
      <c r="T409" s="0" t="n">
        <f aca="false">IF(AND(食数記録!$A409=プレビュー!$C$3,食数記録!$B409="朝",食数記録!$F409="女性GH",食数記録!$D409="臨時喫食"),1,0)</f>
        <v>0</v>
      </c>
      <c r="U409" s="0" t="str">
        <f aca="false">IF(T409=1,SUM($T$2:T409),"")</f>
        <v/>
      </c>
      <c r="V409" s="0" t="n">
        <f aca="false">IF(AND(食数記録!$A409=プレビュー!$C$3,食数記録!$B409="昼",食数記録!$F409="女性GH",食数記録!$D409="臨時喫食"),1,0)</f>
        <v>0</v>
      </c>
      <c r="W409" s="0" t="str">
        <f aca="false">IF(V409=1,SUM($V$2:V409),"")</f>
        <v/>
      </c>
      <c r="X409" s="0" t="n">
        <f aca="false">IF(AND(食数記録!$A409=プレビュー!$C$3,食数記録!$B409="夕",食数記録!$F409="女性GH",食数記録!$D409="臨時喫食"),1,0)</f>
        <v>0</v>
      </c>
      <c r="Y409" s="0" t="str">
        <f aca="false">IF(X409=1,SUM($X$2:X409),"")</f>
        <v/>
      </c>
    </row>
    <row r="410" customFormat="false" ht="15" hidden="false" customHeight="false" outlineLevel="0" collapsed="false">
      <c r="B410" s="0" t="n">
        <f aca="false">IF(AND(食数記録!$A410=プレビュー!$C$3,食数記録!$B410="朝",食数記録!$F410="男性入所",食数記録!$D410="欠食"),1,0)</f>
        <v>0</v>
      </c>
      <c r="C410" s="0" t="str">
        <f aca="false">IF(B410=1,SUM($B$2:B410),"")</f>
        <v/>
      </c>
      <c r="D410" s="0" t="n">
        <f aca="false">IF(AND(食数記録!$A410=プレビュー!$C$3,食数記録!$B410="昼",食数記録!$F410="男性入所",食数記録!$D410="欠食"),1,0)</f>
        <v>0</v>
      </c>
      <c r="E410" s="0" t="str">
        <f aca="false">IF(D410=1,SUM($D$2:D410),"")</f>
        <v/>
      </c>
      <c r="F410" s="0" t="n">
        <f aca="false">IF(AND(食数記録!$A410=プレビュー!$C$3,食数記録!$B410="夕",食数記録!$F410="男性入所",食数記録!$D410="欠食"),1,0)</f>
        <v>0</v>
      </c>
      <c r="G410" s="0" t="str">
        <f aca="false">IF(F410=1,SUM($F$2:F410),"")</f>
        <v/>
      </c>
      <c r="H410" s="0" t="n">
        <f aca="false">IF(AND(食数記録!$A410=プレビュー!$C$3,食数記録!$B410="朝",食数記録!$F410="女性入所",食数記録!$D410="欠食"),1,0)</f>
        <v>0</v>
      </c>
      <c r="I410" s="0" t="str">
        <f aca="false">IF(H410=1,SUM($H$2:H410),"")</f>
        <v/>
      </c>
      <c r="J410" s="0" t="n">
        <f aca="false">IF(AND(食数記録!$A410=プレビュー!$C$3,食数記録!$B410="昼",食数記録!$F410="女性入所",食数記録!$D410="欠食"),1,0)</f>
        <v>0</v>
      </c>
      <c r="K410" s="0" t="str">
        <f aca="false">IF(J410=1,SUM($J$2:J410),"")</f>
        <v/>
      </c>
      <c r="L410" s="0" t="n">
        <f aca="false">IF(AND(食数記録!$A410=プレビュー!$C$3,食数記録!$B410="夕",食数記録!$F410="女性入所",食数記録!$D410="欠食"),1,0)</f>
        <v>0</v>
      </c>
      <c r="M410" s="0" t="str">
        <f aca="false">IF(L410=1,SUM($L$2:L410),"")</f>
        <v/>
      </c>
      <c r="N410" s="0" t="n">
        <f aca="false">IF(AND(食数記録!$A410=プレビュー!$C$3,食数記録!$B410="朝",食数記録!$F410="男性GH",食数記録!$D410="臨時喫食"),1,0)</f>
        <v>0</v>
      </c>
      <c r="O410" s="0" t="str">
        <f aca="false">IF(N410=1,SUM($N$2:N410),"")</f>
        <v/>
      </c>
      <c r="P410" s="0" t="n">
        <f aca="false">IF(AND(食数記録!$A410=プレビュー!$C$3,食数記録!$B410="昼",食数記録!$F410="男性GH",食数記録!$D410="臨時喫食"),1,0)</f>
        <v>0</v>
      </c>
      <c r="Q410" s="0" t="str">
        <f aca="false">IF(P410=1,SUM($P$2:P410),"")</f>
        <v/>
      </c>
      <c r="R410" s="0" t="n">
        <f aca="false">IF(AND(食数記録!$A410=プレビュー!$C$3,食数記録!$B410="夕",食数記録!$F410="男性GH",食数記録!$D410="臨時喫食"),1,0)</f>
        <v>0</v>
      </c>
      <c r="S410" s="0" t="str">
        <f aca="false">IF(R410=1,SUM($R$2:R410),"")</f>
        <v/>
      </c>
      <c r="T410" s="0" t="n">
        <f aca="false">IF(AND(食数記録!$A410=プレビュー!$C$3,食数記録!$B410="朝",食数記録!$F410="女性GH",食数記録!$D410="臨時喫食"),1,0)</f>
        <v>0</v>
      </c>
      <c r="U410" s="0" t="str">
        <f aca="false">IF(T410=1,SUM($T$2:T410),"")</f>
        <v/>
      </c>
      <c r="V410" s="0" t="n">
        <f aca="false">IF(AND(食数記録!$A410=プレビュー!$C$3,食数記録!$B410="昼",食数記録!$F410="女性GH",食数記録!$D410="臨時喫食"),1,0)</f>
        <v>0</v>
      </c>
      <c r="W410" s="0" t="str">
        <f aca="false">IF(V410=1,SUM($V$2:V410),"")</f>
        <v/>
      </c>
      <c r="X410" s="0" t="n">
        <f aca="false">IF(AND(食数記録!$A410=プレビュー!$C$3,食数記録!$B410="夕",食数記録!$F410="女性GH",食数記録!$D410="臨時喫食"),1,0)</f>
        <v>0</v>
      </c>
      <c r="Y410" s="0" t="str">
        <f aca="false">IF(X410=1,SUM($X$2:X410),"")</f>
        <v/>
      </c>
    </row>
    <row r="411" customFormat="false" ht="15" hidden="false" customHeight="false" outlineLevel="0" collapsed="false">
      <c r="B411" s="0" t="n">
        <f aca="false">IF(AND(食数記録!$A411=プレビュー!$C$3,食数記録!$B411="朝",食数記録!$F411="男性入所",食数記録!$D411="欠食"),1,0)</f>
        <v>0</v>
      </c>
      <c r="C411" s="0" t="str">
        <f aca="false">IF(B411=1,SUM($B$2:B411),"")</f>
        <v/>
      </c>
      <c r="D411" s="0" t="n">
        <f aca="false">IF(AND(食数記録!$A411=プレビュー!$C$3,食数記録!$B411="昼",食数記録!$F411="男性入所",食数記録!$D411="欠食"),1,0)</f>
        <v>0</v>
      </c>
      <c r="E411" s="0" t="str">
        <f aca="false">IF(D411=1,SUM($D$2:D411),"")</f>
        <v/>
      </c>
      <c r="F411" s="0" t="n">
        <f aca="false">IF(AND(食数記録!$A411=プレビュー!$C$3,食数記録!$B411="夕",食数記録!$F411="男性入所",食数記録!$D411="欠食"),1,0)</f>
        <v>0</v>
      </c>
      <c r="G411" s="0" t="str">
        <f aca="false">IF(F411=1,SUM($F$2:F411),"")</f>
        <v/>
      </c>
      <c r="H411" s="0" t="n">
        <f aca="false">IF(AND(食数記録!$A411=プレビュー!$C$3,食数記録!$B411="朝",食数記録!$F411="女性入所",食数記録!$D411="欠食"),1,0)</f>
        <v>0</v>
      </c>
      <c r="I411" s="0" t="str">
        <f aca="false">IF(H411=1,SUM($H$2:H411),"")</f>
        <v/>
      </c>
      <c r="J411" s="0" t="n">
        <f aca="false">IF(AND(食数記録!$A411=プレビュー!$C$3,食数記録!$B411="昼",食数記録!$F411="女性入所",食数記録!$D411="欠食"),1,0)</f>
        <v>0</v>
      </c>
      <c r="K411" s="0" t="str">
        <f aca="false">IF(J411=1,SUM($J$2:J411),"")</f>
        <v/>
      </c>
      <c r="L411" s="0" t="n">
        <f aca="false">IF(AND(食数記録!$A411=プレビュー!$C$3,食数記録!$B411="夕",食数記録!$F411="女性入所",食数記録!$D411="欠食"),1,0)</f>
        <v>0</v>
      </c>
      <c r="M411" s="0" t="str">
        <f aca="false">IF(L411=1,SUM($L$2:L411),"")</f>
        <v/>
      </c>
      <c r="N411" s="0" t="n">
        <f aca="false">IF(AND(食数記録!$A411=プレビュー!$C$3,食数記録!$B411="朝",食数記録!$F411="男性GH",食数記録!$D411="臨時喫食"),1,0)</f>
        <v>0</v>
      </c>
      <c r="O411" s="0" t="str">
        <f aca="false">IF(N411=1,SUM($N$2:N411),"")</f>
        <v/>
      </c>
      <c r="P411" s="0" t="n">
        <f aca="false">IF(AND(食数記録!$A411=プレビュー!$C$3,食数記録!$B411="昼",食数記録!$F411="男性GH",食数記録!$D411="臨時喫食"),1,0)</f>
        <v>0</v>
      </c>
      <c r="Q411" s="0" t="str">
        <f aca="false">IF(P411=1,SUM($P$2:P411),"")</f>
        <v/>
      </c>
      <c r="R411" s="0" t="n">
        <f aca="false">IF(AND(食数記録!$A411=プレビュー!$C$3,食数記録!$B411="夕",食数記録!$F411="男性GH",食数記録!$D411="臨時喫食"),1,0)</f>
        <v>0</v>
      </c>
      <c r="S411" s="0" t="str">
        <f aca="false">IF(R411=1,SUM($R$2:R411),"")</f>
        <v/>
      </c>
      <c r="T411" s="0" t="n">
        <f aca="false">IF(AND(食数記録!$A411=プレビュー!$C$3,食数記録!$B411="朝",食数記録!$F411="女性GH",食数記録!$D411="臨時喫食"),1,0)</f>
        <v>0</v>
      </c>
      <c r="U411" s="0" t="str">
        <f aca="false">IF(T411=1,SUM($T$2:T411),"")</f>
        <v/>
      </c>
      <c r="V411" s="0" t="n">
        <f aca="false">IF(AND(食数記録!$A411=プレビュー!$C$3,食数記録!$B411="昼",食数記録!$F411="女性GH",食数記録!$D411="臨時喫食"),1,0)</f>
        <v>0</v>
      </c>
      <c r="W411" s="0" t="str">
        <f aca="false">IF(V411=1,SUM($V$2:V411),"")</f>
        <v/>
      </c>
      <c r="X411" s="0" t="n">
        <f aca="false">IF(AND(食数記録!$A411=プレビュー!$C$3,食数記録!$B411="夕",食数記録!$F411="女性GH",食数記録!$D411="臨時喫食"),1,0)</f>
        <v>0</v>
      </c>
      <c r="Y411" s="0" t="str">
        <f aca="false">IF(X411=1,SUM($X$2:X411),"")</f>
        <v/>
      </c>
    </row>
    <row r="412" customFormat="false" ht="15" hidden="false" customHeight="false" outlineLevel="0" collapsed="false">
      <c r="B412" s="0" t="n">
        <f aca="false">IF(AND(食数記録!$A412=プレビュー!$C$3,食数記録!$B412="朝",食数記録!$F412="男性入所",食数記録!$D412="欠食"),1,0)</f>
        <v>0</v>
      </c>
      <c r="C412" s="0" t="str">
        <f aca="false">IF(B412=1,SUM($B$2:B412),"")</f>
        <v/>
      </c>
      <c r="D412" s="0" t="n">
        <f aca="false">IF(AND(食数記録!$A412=プレビュー!$C$3,食数記録!$B412="昼",食数記録!$F412="男性入所",食数記録!$D412="欠食"),1,0)</f>
        <v>0</v>
      </c>
      <c r="E412" s="0" t="str">
        <f aca="false">IF(D412=1,SUM($D$2:D412),"")</f>
        <v/>
      </c>
      <c r="F412" s="0" t="n">
        <f aca="false">IF(AND(食数記録!$A412=プレビュー!$C$3,食数記録!$B412="夕",食数記録!$F412="男性入所",食数記録!$D412="欠食"),1,0)</f>
        <v>0</v>
      </c>
      <c r="G412" s="0" t="str">
        <f aca="false">IF(F412=1,SUM($F$2:F412),"")</f>
        <v/>
      </c>
      <c r="H412" s="0" t="n">
        <f aca="false">IF(AND(食数記録!$A412=プレビュー!$C$3,食数記録!$B412="朝",食数記録!$F412="女性入所",食数記録!$D412="欠食"),1,0)</f>
        <v>0</v>
      </c>
      <c r="I412" s="0" t="str">
        <f aca="false">IF(H412=1,SUM($H$2:H412),"")</f>
        <v/>
      </c>
      <c r="J412" s="0" t="n">
        <f aca="false">IF(AND(食数記録!$A412=プレビュー!$C$3,食数記録!$B412="昼",食数記録!$F412="女性入所",食数記録!$D412="欠食"),1,0)</f>
        <v>0</v>
      </c>
      <c r="K412" s="0" t="str">
        <f aca="false">IF(J412=1,SUM($J$2:J412),"")</f>
        <v/>
      </c>
      <c r="L412" s="0" t="n">
        <f aca="false">IF(AND(食数記録!$A412=プレビュー!$C$3,食数記録!$B412="夕",食数記録!$F412="女性入所",食数記録!$D412="欠食"),1,0)</f>
        <v>0</v>
      </c>
      <c r="M412" s="0" t="str">
        <f aca="false">IF(L412=1,SUM($L$2:L412),"")</f>
        <v/>
      </c>
      <c r="N412" s="0" t="n">
        <f aca="false">IF(AND(食数記録!$A412=プレビュー!$C$3,食数記録!$B412="朝",食数記録!$F412="男性GH",食数記録!$D412="臨時喫食"),1,0)</f>
        <v>0</v>
      </c>
      <c r="O412" s="0" t="str">
        <f aca="false">IF(N412=1,SUM($N$2:N412),"")</f>
        <v/>
      </c>
      <c r="P412" s="0" t="n">
        <f aca="false">IF(AND(食数記録!$A412=プレビュー!$C$3,食数記録!$B412="昼",食数記録!$F412="男性GH",食数記録!$D412="臨時喫食"),1,0)</f>
        <v>0</v>
      </c>
      <c r="Q412" s="0" t="str">
        <f aca="false">IF(P412=1,SUM($P$2:P412),"")</f>
        <v/>
      </c>
      <c r="R412" s="0" t="n">
        <f aca="false">IF(AND(食数記録!$A412=プレビュー!$C$3,食数記録!$B412="夕",食数記録!$F412="男性GH",食数記録!$D412="臨時喫食"),1,0)</f>
        <v>0</v>
      </c>
      <c r="S412" s="0" t="str">
        <f aca="false">IF(R412=1,SUM($R$2:R412),"")</f>
        <v/>
      </c>
      <c r="T412" s="0" t="n">
        <f aca="false">IF(AND(食数記録!$A412=プレビュー!$C$3,食数記録!$B412="朝",食数記録!$F412="女性GH",食数記録!$D412="臨時喫食"),1,0)</f>
        <v>0</v>
      </c>
      <c r="U412" s="0" t="str">
        <f aca="false">IF(T412=1,SUM($T$2:T412),"")</f>
        <v/>
      </c>
      <c r="V412" s="0" t="n">
        <f aca="false">IF(AND(食数記録!$A412=プレビュー!$C$3,食数記録!$B412="昼",食数記録!$F412="女性GH",食数記録!$D412="臨時喫食"),1,0)</f>
        <v>0</v>
      </c>
      <c r="W412" s="0" t="str">
        <f aca="false">IF(V412=1,SUM($V$2:V412),"")</f>
        <v/>
      </c>
      <c r="X412" s="0" t="n">
        <f aca="false">IF(AND(食数記録!$A412=プレビュー!$C$3,食数記録!$B412="夕",食数記録!$F412="女性GH",食数記録!$D412="臨時喫食"),1,0)</f>
        <v>0</v>
      </c>
      <c r="Y412" s="0" t="str">
        <f aca="false">IF(X412=1,SUM($X$2:X412),"")</f>
        <v/>
      </c>
    </row>
    <row r="413" customFormat="false" ht="15" hidden="false" customHeight="false" outlineLevel="0" collapsed="false">
      <c r="B413" s="0" t="n">
        <f aca="false">IF(AND(食数記録!$A413=プレビュー!$C$3,食数記録!$B413="朝",食数記録!$F413="男性入所",食数記録!$D413="欠食"),1,0)</f>
        <v>0</v>
      </c>
      <c r="C413" s="0" t="str">
        <f aca="false">IF(B413=1,SUM($B$2:B413),"")</f>
        <v/>
      </c>
      <c r="D413" s="0" t="n">
        <f aca="false">IF(AND(食数記録!$A413=プレビュー!$C$3,食数記録!$B413="昼",食数記録!$F413="男性入所",食数記録!$D413="欠食"),1,0)</f>
        <v>0</v>
      </c>
      <c r="E413" s="0" t="str">
        <f aca="false">IF(D413=1,SUM($D$2:D413),"")</f>
        <v/>
      </c>
      <c r="F413" s="0" t="n">
        <f aca="false">IF(AND(食数記録!$A413=プレビュー!$C$3,食数記録!$B413="夕",食数記録!$F413="男性入所",食数記録!$D413="欠食"),1,0)</f>
        <v>0</v>
      </c>
      <c r="G413" s="0" t="str">
        <f aca="false">IF(F413=1,SUM($F$2:F413),"")</f>
        <v/>
      </c>
      <c r="H413" s="0" t="n">
        <f aca="false">IF(AND(食数記録!$A413=プレビュー!$C$3,食数記録!$B413="朝",食数記録!$F413="女性入所",食数記録!$D413="欠食"),1,0)</f>
        <v>0</v>
      </c>
      <c r="I413" s="0" t="str">
        <f aca="false">IF(H413=1,SUM($H$2:H413),"")</f>
        <v/>
      </c>
      <c r="J413" s="0" t="n">
        <f aca="false">IF(AND(食数記録!$A413=プレビュー!$C$3,食数記録!$B413="昼",食数記録!$F413="女性入所",食数記録!$D413="欠食"),1,0)</f>
        <v>0</v>
      </c>
      <c r="K413" s="0" t="str">
        <f aca="false">IF(J413=1,SUM($J$2:J413),"")</f>
        <v/>
      </c>
      <c r="L413" s="0" t="n">
        <f aca="false">IF(AND(食数記録!$A413=プレビュー!$C$3,食数記録!$B413="夕",食数記録!$F413="女性入所",食数記録!$D413="欠食"),1,0)</f>
        <v>0</v>
      </c>
      <c r="M413" s="0" t="str">
        <f aca="false">IF(L413=1,SUM($L$2:L413),"")</f>
        <v/>
      </c>
      <c r="N413" s="0" t="n">
        <f aca="false">IF(AND(食数記録!$A413=プレビュー!$C$3,食数記録!$B413="朝",食数記録!$F413="男性GH",食数記録!$D413="臨時喫食"),1,0)</f>
        <v>0</v>
      </c>
      <c r="O413" s="0" t="str">
        <f aca="false">IF(N413=1,SUM($N$2:N413),"")</f>
        <v/>
      </c>
      <c r="P413" s="0" t="n">
        <f aca="false">IF(AND(食数記録!$A413=プレビュー!$C$3,食数記録!$B413="昼",食数記録!$F413="男性GH",食数記録!$D413="臨時喫食"),1,0)</f>
        <v>0</v>
      </c>
      <c r="Q413" s="0" t="str">
        <f aca="false">IF(P413=1,SUM($P$2:P413),"")</f>
        <v/>
      </c>
      <c r="R413" s="0" t="n">
        <f aca="false">IF(AND(食数記録!$A413=プレビュー!$C$3,食数記録!$B413="夕",食数記録!$F413="男性GH",食数記録!$D413="臨時喫食"),1,0)</f>
        <v>0</v>
      </c>
      <c r="S413" s="0" t="str">
        <f aca="false">IF(R413=1,SUM($R$2:R413),"")</f>
        <v/>
      </c>
      <c r="T413" s="0" t="n">
        <f aca="false">IF(AND(食数記録!$A413=プレビュー!$C$3,食数記録!$B413="朝",食数記録!$F413="女性GH",食数記録!$D413="臨時喫食"),1,0)</f>
        <v>0</v>
      </c>
      <c r="U413" s="0" t="str">
        <f aca="false">IF(T413=1,SUM($T$2:T413),"")</f>
        <v/>
      </c>
      <c r="V413" s="0" t="n">
        <f aca="false">IF(AND(食数記録!$A413=プレビュー!$C$3,食数記録!$B413="昼",食数記録!$F413="女性GH",食数記録!$D413="臨時喫食"),1,0)</f>
        <v>0</v>
      </c>
      <c r="W413" s="0" t="str">
        <f aca="false">IF(V413=1,SUM($V$2:V413),"")</f>
        <v/>
      </c>
      <c r="X413" s="0" t="n">
        <f aca="false">IF(AND(食数記録!$A413=プレビュー!$C$3,食数記録!$B413="夕",食数記録!$F413="女性GH",食数記録!$D413="臨時喫食"),1,0)</f>
        <v>0</v>
      </c>
      <c r="Y413" s="0" t="str">
        <f aca="false">IF(X413=1,SUM($X$2:X413),"")</f>
        <v/>
      </c>
    </row>
    <row r="414" customFormat="false" ht="15" hidden="false" customHeight="false" outlineLevel="0" collapsed="false">
      <c r="B414" s="0" t="n">
        <f aca="false">IF(AND(食数記録!$A414=プレビュー!$C$3,食数記録!$B414="朝",食数記録!$F414="男性入所",食数記録!$D414="欠食"),1,0)</f>
        <v>0</v>
      </c>
      <c r="C414" s="0" t="str">
        <f aca="false">IF(B414=1,SUM($B$2:B414),"")</f>
        <v/>
      </c>
      <c r="D414" s="0" t="n">
        <f aca="false">IF(AND(食数記録!$A414=プレビュー!$C$3,食数記録!$B414="昼",食数記録!$F414="男性入所",食数記録!$D414="欠食"),1,0)</f>
        <v>0</v>
      </c>
      <c r="E414" s="0" t="str">
        <f aca="false">IF(D414=1,SUM($D$2:D414),"")</f>
        <v/>
      </c>
      <c r="F414" s="0" t="n">
        <f aca="false">IF(AND(食数記録!$A414=プレビュー!$C$3,食数記録!$B414="夕",食数記録!$F414="男性入所",食数記録!$D414="欠食"),1,0)</f>
        <v>0</v>
      </c>
      <c r="G414" s="0" t="str">
        <f aca="false">IF(F414=1,SUM($F$2:F414),"")</f>
        <v/>
      </c>
      <c r="H414" s="0" t="n">
        <f aca="false">IF(AND(食数記録!$A414=プレビュー!$C$3,食数記録!$B414="朝",食数記録!$F414="女性入所",食数記録!$D414="欠食"),1,0)</f>
        <v>0</v>
      </c>
      <c r="I414" s="0" t="str">
        <f aca="false">IF(H414=1,SUM($H$2:H414),"")</f>
        <v/>
      </c>
      <c r="J414" s="0" t="n">
        <f aca="false">IF(AND(食数記録!$A414=プレビュー!$C$3,食数記録!$B414="昼",食数記録!$F414="女性入所",食数記録!$D414="欠食"),1,0)</f>
        <v>0</v>
      </c>
      <c r="K414" s="0" t="str">
        <f aca="false">IF(J414=1,SUM($J$2:J414),"")</f>
        <v/>
      </c>
      <c r="L414" s="0" t="n">
        <f aca="false">IF(AND(食数記録!$A414=プレビュー!$C$3,食数記録!$B414="夕",食数記録!$F414="女性入所",食数記録!$D414="欠食"),1,0)</f>
        <v>0</v>
      </c>
      <c r="M414" s="0" t="str">
        <f aca="false">IF(L414=1,SUM($L$2:L414),"")</f>
        <v/>
      </c>
      <c r="N414" s="0" t="n">
        <f aca="false">IF(AND(食数記録!$A414=プレビュー!$C$3,食数記録!$B414="朝",食数記録!$F414="男性GH",食数記録!$D414="臨時喫食"),1,0)</f>
        <v>0</v>
      </c>
      <c r="O414" s="0" t="str">
        <f aca="false">IF(N414=1,SUM($N$2:N414),"")</f>
        <v/>
      </c>
      <c r="P414" s="0" t="n">
        <f aca="false">IF(AND(食数記録!$A414=プレビュー!$C$3,食数記録!$B414="昼",食数記録!$F414="男性GH",食数記録!$D414="臨時喫食"),1,0)</f>
        <v>0</v>
      </c>
      <c r="Q414" s="0" t="str">
        <f aca="false">IF(P414=1,SUM($P$2:P414),"")</f>
        <v/>
      </c>
      <c r="R414" s="0" t="n">
        <f aca="false">IF(AND(食数記録!$A414=プレビュー!$C$3,食数記録!$B414="夕",食数記録!$F414="男性GH",食数記録!$D414="臨時喫食"),1,0)</f>
        <v>0</v>
      </c>
      <c r="S414" s="0" t="str">
        <f aca="false">IF(R414=1,SUM($R$2:R414),"")</f>
        <v/>
      </c>
      <c r="T414" s="0" t="n">
        <f aca="false">IF(AND(食数記録!$A414=プレビュー!$C$3,食数記録!$B414="朝",食数記録!$F414="女性GH",食数記録!$D414="臨時喫食"),1,0)</f>
        <v>0</v>
      </c>
      <c r="U414" s="0" t="str">
        <f aca="false">IF(T414=1,SUM($T$2:T414),"")</f>
        <v/>
      </c>
      <c r="V414" s="0" t="n">
        <f aca="false">IF(AND(食数記録!$A414=プレビュー!$C$3,食数記録!$B414="昼",食数記録!$F414="女性GH",食数記録!$D414="臨時喫食"),1,0)</f>
        <v>0</v>
      </c>
      <c r="W414" s="0" t="str">
        <f aca="false">IF(V414=1,SUM($V$2:V414),"")</f>
        <v/>
      </c>
      <c r="X414" s="0" t="n">
        <f aca="false">IF(AND(食数記録!$A414=プレビュー!$C$3,食数記録!$B414="夕",食数記録!$F414="女性GH",食数記録!$D414="臨時喫食"),1,0)</f>
        <v>0</v>
      </c>
      <c r="Y414" s="0" t="str">
        <f aca="false">IF(X414=1,SUM($X$2:X414),"")</f>
        <v/>
      </c>
    </row>
    <row r="415" customFormat="false" ht="15" hidden="false" customHeight="false" outlineLevel="0" collapsed="false">
      <c r="B415" s="0" t="n">
        <f aca="false">IF(AND(食数記録!$A415=プレビュー!$C$3,食数記録!$B415="朝",食数記録!$F415="男性入所",食数記録!$D415="欠食"),1,0)</f>
        <v>0</v>
      </c>
      <c r="C415" s="0" t="str">
        <f aca="false">IF(B415=1,SUM($B$2:B415),"")</f>
        <v/>
      </c>
      <c r="D415" s="0" t="n">
        <f aca="false">IF(AND(食数記録!$A415=プレビュー!$C$3,食数記録!$B415="昼",食数記録!$F415="男性入所",食数記録!$D415="欠食"),1,0)</f>
        <v>0</v>
      </c>
      <c r="E415" s="0" t="str">
        <f aca="false">IF(D415=1,SUM($D$2:D415),"")</f>
        <v/>
      </c>
      <c r="F415" s="0" t="n">
        <f aca="false">IF(AND(食数記録!$A415=プレビュー!$C$3,食数記録!$B415="夕",食数記録!$F415="男性入所",食数記録!$D415="欠食"),1,0)</f>
        <v>0</v>
      </c>
      <c r="G415" s="0" t="str">
        <f aca="false">IF(F415=1,SUM($F$2:F415),"")</f>
        <v/>
      </c>
      <c r="H415" s="0" t="n">
        <f aca="false">IF(AND(食数記録!$A415=プレビュー!$C$3,食数記録!$B415="朝",食数記録!$F415="女性入所",食数記録!$D415="欠食"),1,0)</f>
        <v>0</v>
      </c>
      <c r="I415" s="0" t="str">
        <f aca="false">IF(H415=1,SUM($H$2:H415),"")</f>
        <v/>
      </c>
      <c r="J415" s="0" t="n">
        <f aca="false">IF(AND(食数記録!$A415=プレビュー!$C$3,食数記録!$B415="昼",食数記録!$F415="女性入所",食数記録!$D415="欠食"),1,0)</f>
        <v>0</v>
      </c>
      <c r="K415" s="0" t="str">
        <f aca="false">IF(J415=1,SUM($J$2:J415),"")</f>
        <v/>
      </c>
      <c r="L415" s="0" t="n">
        <f aca="false">IF(AND(食数記録!$A415=プレビュー!$C$3,食数記録!$B415="夕",食数記録!$F415="女性入所",食数記録!$D415="欠食"),1,0)</f>
        <v>0</v>
      </c>
      <c r="M415" s="0" t="str">
        <f aca="false">IF(L415=1,SUM($L$2:L415),"")</f>
        <v/>
      </c>
      <c r="N415" s="0" t="n">
        <f aca="false">IF(AND(食数記録!$A415=プレビュー!$C$3,食数記録!$B415="朝",食数記録!$F415="男性GH",食数記録!$D415="臨時喫食"),1,0)</f>
        <v>0</v>
      </c>
      <c r="O415" s="0" t="str">
        <f aca="false">IF(N415=1,SUM($N$2:N415),"")</f>
        <v/>
      </c>
      <c r="P415" s="0" t="n">
        <f aca="false">IF(AND(食数記録!$A415=プレビュー!$C$3,食数記録!$B415="昼",食数記録!$F415="男性GH",食数記録!$D415="臨時喫食"),1,0)</f>
        <v>0</v>
      </c>
      <c r="Q415" s="0" t="str">
        <f aca="false">IF(P415=1,SUM($P$2:P415),"")</f>
        <v/>
      </c>
      <c r="R415" s="0" t="n">
        <f aca="false">IF(AND(食数記録!$A415=プレビュー!$C$3,食数記録!$B415="夕",食数記録!$F415="男性GH",食数記録!$D415="臨時喫食"),1,0)</f>
        <v>0</v>
      </c>
      <c r="S415" s="0" t="str">
        <f aca="false">IF(R415=1,SUM($R$2:R415),"")</f>
        <v/>
      </c>
      <c r="T415" s="0" t="n">
        <f aca="false">IF(AND(食数記録!$A415=プレビュー!$C$3,食数記録!$B415="朝",食数記録!$F415="女性GH",食数記録!$D415="臨時喫食"),1,0)</f>
        <v>0</v>
      </c>
      <c r="U415" s="0" t="str">
        <f aca="false">IF(T415=1,SUM($T$2:T415),"")</f>
        <v/>
      </c>
      <c r="V415" s="0" t="n">
        <f aca="false">IF(AND(食数記録!$A415=プレビュー!$C$3,食数記録!$B415="昼",食数記録!$F415="女性GH",食数記録!$D415="臨時喫食"),1,0)</f>
        <v>0</v>
      </c>
      <c r="W415" s="0" t="str">
        <f aca="false">IF(V415=1,SUM($V$2:V415),"")</f>
        <v/>
      </c>
      <c r="X415" s="0" t="n">
        <f aca="false">IF(AND(食数記録!$A415=プレビュー!$C$3,食数記録!$B415="夕",食数記録!$F415="女性GH",食数記録!$D415="臨時喫食"),1,0)</f>
        <v>0</v>
      </c>
      <c r="Y415" s="0" t="str">
        <f aca="false">IF(X415=1,SUM($X$2:X415),"")</f>
        <v/>
      </c>
    </row>
    <row r="416" customFormat="false" ht="15" hidden="false" customHeight="false" outlineLevel="0" collapsed="false">
      <c r="B416" s="0" t="n">
        <f aca="false">IF(AND(食数記録!$A416=プレビュー!$C$3,食数記録!$B416="朝",食数記録!$F416="男性入所",食数記録!$D416="欠食"),1,0)</f>
        <v>0</v>
      </c>
      <c r="C416" s="0" t="str">
        <f aca="false">IF(B416=1,SUM($B$2:B416),"")</f>
        <v/>
      </c>
      <c r="D416" s="0" t="n">
        <f aca="false">IF(AND(食数記録!$A416=プレビュー!$C$3,食数記録!$B416="昼",食数記録!$F416="男性入所",食数記録!$D416="欠食"),1,0)</f>
        <v>0</v>
      </c>
      <c r="E416" s="0" t="str">
        <f aca="false">IF(D416=1,SUM($D$2:D416),"")</f>
        <v/>
      </c>
      <c r="F416" s="0" t="n">
        <f aca="false">IF(AND(食数記録!$A416=プレビュー!$C$3,食数記録!$B416="夕",食数記録!$F416="男性入所",食数記録!$D416="欠食"),1,0)</f>
        <v>0</v>
      </c>
      <c r="G416" s="0" t="str">
        <f aca="false">IF(F416=1,SUM($F$2:F416),"")</f>
        <v/>
      </c>
      <c r="H416" s="0" t="n">
        <f aca="false">IF(AND(食数記録!$A416=プレビュー!$C$3,食数記録!$B416="朝",食数記録!$F416="女性入所",食数記録!$D416="欠食"),1,0)</f>
        <v>0</v>
      </c>
      <c r="I416" s="0" t="str">
        <f aca="false">IF(H416=1,SUM($H$2:H416),"")</f>
        <v/>
      </c>
      <c r="J416" s="0" t="n">
        <f aca="false">IF(AND(食数記録!$A416=プレビュー!$C$3,食数記録!$B416="昼",食数記録!$F416="女性入所",食数記録!$D416="欠食"),1,0)</f>
        <v>0</v>
      </c>
      <c r="K416" s="0" t="str">
        <f aca="false">IF(J416=1,SUM($J$2:J416),"")</f>
        <v/>
      </c>
      <c r="L416" s="0" t="n">
        <f aca="false">IF(AND(食数記録!$A416=プレビュー!$C$3,食数記録!$B416="夕",食数記録!$F416="女性入所",食数記録!$D416="欠食"),1,0)</f>
        <v>0</v>
      </c>
      <c r="M416" s="0" t="str">
        <f aca="false">IF(L416=1,SUM($L$2:L416),"")</f>
        <v/>
      </c>
      <c r="N416" s="0" t="n">
        <f aca="false">IF(AND(食数記録!$A416=プレビュー!$C$3,食数記録!$B416="朝",食数記録!$F416="男性GH",食数記録!$D416="臨時喫食"),1,0)</f>
        <v>0</v>
      </c>
      <c r="O416" s="0" t="str">
        <f aca="false">IF(N416=1,SUM($N$2:N416),"")</f>
        <v/>
      </c>
      <c r="P416" s="0" t="n">
        <f aca="false">IF(AND(食数記録!$A416=プレビュー!$C$3,食数記録!$B416="昼",食数記録!$F416="男性GH",食数記録!$D416="臨時喫食"),1,0)</f>
        <v>0</v>
      </c>
      <c r="Q416" s="0" t="str">
        <f aca="false">IF(P416=1,SUM($P$2:P416),"")</f>
        <v/>
      </c>
      <c r="R416" s="0" t="n">
        <f aca="false">IF(AND(食数記録!$A416=プレビュー!$C$3,食数記録!$B416="夕",食数記録!$F416="男性GH",食数記録!$D416="臨時喫食"),1,0)</f>
        <v>0</v>
      </c>
      <c r="S416" s="0" t="str">
        <f aca="false">IF(R416=1,SUM($R$2:R416),"")</f>
        <v/>
      </c>
      <c r="T416" s="0" t="n">
        <f aca="false">IF(AND(食数記録!$A416=プレビュー!$C$3,食数記録!$B416="朝",食数記録!$F416="女性GH",食数記録!$D416="臨時喫食"),1,0)</f>
        <v>0</v>
      </c>
      <c r="U416" s="0" t="str">
        <f aca="false">IF(T416=1,SUM($T$2:T416),"")</f>
        <v/>
      </c>
      <c r="V416" s="0" t="n">
        <f aca="false">IF(AND(食数記録!$A416=プレビュー!$C$3,食数記録!$B416="昼",食数記録!$F416="女性GH",食数記録!$D416="臨時喫食"),1,0)</f>
        <v>0</v>
      </c>
      <c r="W416" s="0" t="str">
        <f aca="false">IF(V416=1,SUM($V$2:V416),"")</f>
        <v/>
      </c>
      <c r="X416" s="0" t="n">
        <f aca="false">IF(AND(食数記録!$A416=プレビュー!$C$3,食数記録!$B416="夕",食数記録!$F416="女性GH",食数記録!$D416="臨時喫食"),1,0)</f>
        <v>0</v>
      </c>
      <c r="Y416" s="0" t="str">
        <f aca="false">IF(X416=1,SUM($X$2:X416),"")</f>
        <v/>
      </c>
    </row>
    <row r="417" customFormat="false" ht="15" hidden="false" customHeight="false" outlineLevel="0" collapsed="false">
      <c r="B417" s="0" t="n">
        <f aca="false">IF(AND(食数記録!$A417=プレビュー!$C$3,食数記録!$B417="朝",食数記録!$F417="男性入所",食数記録!$D417="欠食"),1,0)</f>
        <v>0</v>
      </c>
      <c r="C417" s="0" t="str">
        <f aca="false">IF(B417=1,SUM($B$2:B417),"")</f>
        <v/>
      </c>
      <c r="D417" s="0" t="n">
        <f aca="false">IF(AND(食数記録!$A417=プレビュー!$C$3,食数記録!$B417="昼",食数記録!$F417="男性入所",食数記録!$D417="欠食"),1,0)</f>
        <v>0</v>
      </c>
      <c r="E417" s="0" t="str">
        <f aca="false">IF(D417=1,SUM($D$2:D417),"")</f>
        <v/>
      </c>
      <c r="F417" s="0" t="n">
        <f aca="false">IF(AND(食数記録!$A417=プレビュー!$C$3,食数記録!$B417="夕",食数記録!$F417="男性入所",食数記録!$D417="欠食"),1,0)</f>
        <v>0</v>
      </c>
      <c r="G417" s="0" t="str">
        <f aca="false">IF(F417=1,SUM($F$2:F417),"")</f>
        <v/>
      </c>
      <c r="H417" s="0" t="n">
        <f aca="false">IF(AND(食数記録!$A417=プレビュー!$C$3,食数記録!$B417="朝",食数記録!$F417="女性入所",食数記録!$D417="欠食"),1,0)</f>
        <v>0</v>
      </c>
      <c r="I417" s="0" t="str">
        <f aca="false">IF(H417=1,SUM($H$2:H417),"")</f>
        <v/>
      </c>
      <c r="J417" s="0" t="n">
        <f aca="false">IF(AND(食数記録!$A417=プレビュー!$C$3,食数記録!$B417="昼",食数記録!$F417="女性入所",食数記録!$D417="欠食"),1,0)</f>
        <v>0</v>
      </c>
      <c r="K417" s="0" t="str">
        <f aca="false">IF(J417=1,SUM($J$2:J417),"")</f>
        <v/>
      </c>
      <c r="L417" s="0" t="n">
        <f aca="false">IF(AND(食数記録!$A417=プレビュー!$C$3,食数記録!$B417="夕",食数記録!$F417="女性入所",食数記録!$D417="欠食"),1,0)</f>
        <v>0</v>
      </c>
      <c r="M417" s="0" t="str">
        <f aca="false">IF(L417=1,SUM($L$2:L417),"")</f>
        <v/>
      </c>
      <c r="N417" s="0" t="n">
        <f aca="false">IF(AND(食数記録!$A417=プレビュー!$C$3,食数記録!$B417="朝",食数記録!$F417="男性GH",食数記録!$D417="臨時喫食"),1,0)</f>
        <v>0</v>
      </c>
      <c r="O417" s="0" t="str">
        <f aca="false">IF(N417=1,SUM($N$2:N417),"")</f>
        <v/>
      </c>
      <c r="P417" s="0" t="n">
        <f aca="false">IF(AND(食数記録!$A417=プレビュー!$C$3,食数記録!$B417="昼",食数記録!$F417="男性GH",食数記録!$D417="臨時喫食"),1,0)</f>
        <v>0</v>
      </c>
      <c r="Q417" s="0" t="str">
        <f aca="false">IF(P417=1,SUM($P$2:P417),"")</f>
        <v/>
      </c>
      <c r="R417" s="0" t="n">
        <f aca="false">IF(AND(食数記録!$A417=プレビュー!$C$3,食数記録!$B417="夕",食数記録!$F417="男性GH",食数記録!$D417="臨時喫食"),1,0)</f>
        <v>0</v>
      </c>
      <c r="S417" s="0" t="str">
        <f aca="false">IF(R417=1,SUM($R$2:R417),"")</f>
        <v/>
      </c>
      <c r="T417" s="0" t="n">
        <f aca="false">IF(AND(食数記録!$A417=プレビュー!$C$3,食数記録!$B417="朝",食数記録!$F417="女性GH",食数記録!$D417="臨時喫食"),1,0)</f>
        <v>0</v>
      </c>
      <c r="U417" s="0" t="str">
        <f aca="false">IF(T417=1,SUM($T$2:T417),"")</f>
        <v/>
      </c>
      <c r="V417" s="0" t="n">
        <f aca="false">IF(AND(食数記録!$A417=プレビュー!$C$3,食数記録!$B417="昼",食数記録!$F417="女性GH",食数記録!$D417="臨時喫食"),1,0)</f>
        <v>0</v>
      </c>
      <c r="W417" s="0" t="str">
        <f aca="false">IF(V417=1,SUM($V$2:V417),"")</f>
        <v/>
      </c>
      <c r="X417" s="0" t="n">
        <f aca="false">IF(AND(食数記録!$A417=プレビュー!$C$3,食数記録!$B417="夕",食数記録!$F417="女性GH",食数記録!$D417="臨時喫食"),1,0)</f>
        <v>0</v>
      </c>
      <c r="Y417" s="0" t="str">
        <f aca="false">IF(X417=1,SUM($X$2:X417),"")</f>
        <v/>
      </c>
    </row>
    <row r="418" customFormat="false" ht="15" hidden="false" customHeight="false" outlineLevel="0" collapsed="false">
      <c r="B418" s="0" t="n">
        <f aca="false">IF(AND(食数記録!$A418=プレビュー!$C$3,食数記録!$B418="朝",食数記録!$F418="男性入所",食数記録!$D418="欠食"),1,0)</f>
        <v>0</v>
      </c>
      <c r="C418" s="0" t="str">
        <f aca="false">IF(B418=1,SUM($B$2:B418),"")</f>
        <v/>
      </c>
      <c r="D418" s="0" t="n">
        <f aca="false">IF(AND(食数記録!$A418=プレビュー!$C$3,食数記録!$B418="昼",食数記録!$F418="男性入所",食数記録!$D418="欠食"),1,0)</f>
        <v>0</v>
      </c>
      <c r="E418" s="0" t="str">
        <f aca="false">IF(D418=1,SUM($D$2:D418),"")</f>
        <v/>
      </c>
      <c r="F418" s="0" t="n">
        <f aca="false">IF(AND(食数記録!$A418=プレビュー!$C$3,食数記録!$B418="夕",食数記録!$F418="男性入所",食数記録!$D418="欠食"),1,0)</f>
        <v>0</v>
      </c>
      <c r="G418" s="0" t="str">
        <f aca="false">IF(F418=1,SUM($F$2:F418),"")</f>
        <v/>
      </c>
      <c r="H418" s="0" t="n">
        <f aca="false">IF(AND(食数記録!$A418=プレビュー!$C$3,食数記録!$B418="朝",食数記録!$F418="女性入所",食数記録!$D418="欠食"),1,0)</f>
        <v>0</v>
      </c>
      <c r="I418" s="0" t="str">
        <f aca="false">IF(H418=1,SUM($H$2:H418),"")</f>
        <v/>
      </c>
      <c r="J418" s="0" t="n">
        <f aca="false">IF(AND(食数記録!$A418=プレビュー!$C$3,食数記録!$B418="昼",食数記録!$F418="女性入所",食数記録!$D418="欠食"),1,0)</f>
        <v>0</v>
      </c>
      <c r="K418" s="0" t="str">
        <f aca="false">IF(J418=1,SUM($J$2:J418),"")</f>
        <v/>
      </c>
      <c r="L418" s="0" t="n">
        <f aca="false">IF(AND(食数記録!$A418=プレビュー!$C$3,食数記録!$B418="夕",食数記録!$F418="女性入所",食数記録!$D418="欠食"),1,0)</f>
        <v>0</v>
      </c>
      <c r="M418" s="0" t="str">
        <f aca="false">IF(L418=1,SUM($L$2:L418),"")</f>
        <v/>
      </c>
      <c r="N418" s="0" t="n">
        <f aca="false">IF(AND(食数記録!$A418=プレビュー!$C$3,食数記録!$B418="朝",食数記録!$F418="男性GH",食数記録!$D418="臨時喫食"),1,0)</f>
        <v>0</v>
      </c>
      <c r="O418" s="0" t="str">
        <f aca="false">IF(N418=1,SUM($N$2:N418),"")</f>
        <v/>
      </c>
      <c r="P418" s="0" t="n">
        <f aca="false">IF(AND(食数記録!$A418=プレビュー!$C$3,食数記録!$B418="昼",食数記録!$F418="男性GH",食数記録!$D418="臨時喫食"),1,0)</f>
        <v>0</v>
      </c>
      <c r="Q418" s="0" t="str">
        <f aca="false">IF(P418=1,SUM($P$2:P418),"")</f>
        <v/>
      </c>
      <c r="R418" s="0" t="n">
        <f aca="false">IF(AND(食数記録!$A418=プレビュー!$C$3,食数記録!$B418="夕",食数記録!$F418="男性GH",食数記録!$D418="臨時喫食"),1,0)</f>
        <v>0</v>
      </c>
      <c r="S418" s="0" t="str">
        <f aca="false">IF(R418=1,SUM($R$2:R418),"")</f>
        <v/>
      </c>
      <c r="T418" s="0" t="n">
        <f aca="false">IF(AND(食数記録!$A418=プレビュー!$C$3,食数記録!$B418="朝",食数記録!$F418="女性GH",食数記録!$D418="臨時喫食"),1,0)</f>
        <v>0</v>
      </c>
      <c r="U418" s="0" t="str">
        <f aca="false">IF(T418=1,SUM($T$2:T418),"")</f>
        <v/>
      </c>
      <c r="V418" s="0" t="n">
        <f aca="false">IF(AND(食数記録!$A418=プレビュー!$C$3,食数記録!$B418="昼",食数記録!$F418="女性GH",食数記録!$D418="臨時喫食"),1,0)</f>
        <v>0</v>
      </c>
      <c r="W418" s="0" t="str">
        <f aca="false">IF(V418=1,SUM($V$2:V418),"")</f>
        <v/>
      </c>
      <c r="X418" s="0" t="n">
        <f aca="false">IF(AND(食数記録!$A418=プレビュー!$C$3,食数記録!$B418="夕",食数記録!$F418="女性GH",食数記録!$D418="臨時喫食"),1,0)</f>
        <v>0</v>
      </c>
      <c r="Y418" s="0" t="str">
        <f aca="false">IF(X418=1,SUM($X$2:X418),"")</f>
        <v/>
      </c>
    </row>
    <row r="419" customFormat="false" ht="15" hidden="false" customHeight="false" outlineLevel="0" collapsed="false">
      <c r="B419" s="0" t="n">
        <f aca="false">IF(AND(食数記録!$A419=プレビュー!$C$3,食数記録!$B419="朝",食数記録!$F419="男性入所",食数記録!$D419="欠食"),1,0)</f>
        <v>0</v>
      </c>
      <c r="C419" s="0" t="str">
        <f aca="false">IF(B419=1,SUM($B$2:B419),"")</f>
        <v/>
      </c>
      <c r="D419" s="0" t="n">
        <f aca="false">IF(AND(食数記録!$A419=プレビュー!$C$3,食数記録!$B419="昼",食数記録!$F419="男性入所",食数記録!$D419="欠食"),1,0)</f>
        <v>0</v>
      </c>
      <c r="E419" s="0" t="str">
        <f aca="false">IF(D419=1,SUM($D$2:D419),"")</f>
        <v/>
      </c>
      <c r="F419" s="0" t="n">
        <f aca="false">IF(AND(食数記録!$A419=プレビュー!$C$3,食数記録!$B419="夕",食数記録!$F419="男性入所",食数記録!$D419="欠食"),1,0)</f>
        <v>0</v>
      </c>
      <c r="G419" s="0" t="str">
        <f aca="false">IF(F419=1,SUM($F$2:F419),"")</f>
        <v/>
      </c>
      <c r="H419" s="0" t="n">
        <f aca="false">IF(AND(食数記録!$A419=プレビュー!$C$3,食数記録!$B419="朝",食数記録!$F419="女性入所",食数記録!$D419="欠食"),1,0)</f>
        <v>0</v>
      </c>
      <c r="I419" s="0" t="str">
        <f aca="false">IF(H419=1,SUM($H$2:H419),"")</f>
        <v/>
      </c>
      <c r="J419" s="0" t="n">
        <f aca="false">IF(AND(食数記録!$A419=プレビュー!$C$3,食数記録!$B419="昼",食数記録!$F419="女性入所",食数記録!$D419="欠食"),1,0)</f>
        <v>0</v>
      </c>
      <c r="K419" s="0" t="str">
        <f aca="false">IF(J419=1,SUM($J$2:J419),"")</f>
        <v/>
      </c>
      <c r="L419" s="0" t="n">
        <f aca="false">IF(AND(食数記録!$A419=プレビュー!$C$3,食数記録!$B419="夕",食数記録!$F419="女性入所",食数記録!$D419="欠食"),1,0)</f>
        <v>0</v>
      </c>
      <c r="M419" s="0" t="str">
        <f aca="false">IF(L419=1,SUM($L$2:L419),"")</f>
        <v/>
      </c>
      <c r="N419" s="0" t="n">
        <f aca="false">IF(AND(食数記録!$A419=プレビュー!$C$3,食数記録!$B419="朝",食数記録!$F419="男性GH",食数記録!$D419="臨時喫食"),1,0)</f>
        <v>0</v>
      </c>
      <c r="O419" s="0" t="str">
        <f aca="false">IF(N419=1,SUM($N$2:N419),"")</f>
        <v/>
      </c>
      <c r="P419" s="0" t="n">
        <f aca="false">IF(AND(食数記録!$A419=プレビュー!$C$3,食数記録!$B419="昼",食数記録!$F419="男性GH",食数記録!$D419="臨時喫食"),1,0)</f>
        <v>0</v>
      </c>
      <c r="Q419" s="0" t="str">
        <f aca="false">IF(P419=1,SUM($P$2:P419),"")</f>
        <v/>
      </c>
      <c r="R419" s="0" t="n">
        <f aca="false">IF(AND(食数記録!$A419=プレビュー!$C$3,食数記録!$B419="夕",食数記録!$F419="男性GH",食数記録!$D419="臨時喫食"),1,0)</f>
        <v>0</v>
      </c>
      <c r="S419" s="0" t="str">
        <f aca="false">IF(R419=1,SUM($R$2:R419),"")</f>
        <v/>
      </c>
      <c r="T419" s="0" t="n">
        <f aca="false">IF(AND(食数記録!$A419=プレビュー!$C$3,食数記録!$B419="朝",食数記録!$F419="女性GH",食数記録!$D419="臨時喫食"),1,0)</f>
        <v>0</v>
      </c>
      <c r="U419" s="0" t="str">
        <f aca="false">IF(T419=1,SUM($T$2:T419),"")</f>
        <v/>
      </c>
      <c r="V419" s="0" t="n">
        <f aca="false">IF(AND(食数記録!$A419=プレビュー!$C$3,食数記録!$B419="昼",食数記録!$F419="女性GH",食数記録!$D419="臨時喫食"),1,0)</f>
        <v>0</v>
      </c>
      <c r="W419" s="0" t="str">
        <f aca="false">IF(V419=1,SUM($V$2:V419),"")</f>
        <v/>
      </c>
      <c r="X419" s="0" t="n">
        <f aca="false">IF(AND(食数記録!$A419=プレビュー!$C$3,食数記録!$B419="夕",食数記録!$F419="女性GH",食数記録!$D419="臨時喫食"),1,0)</f>
        <v>0</v>
      </c>
      <c r="Y419" s="0" t="str">
        <f aca="false">IF(X419=1,SUM($X$2:X419),"")</f>
        <v/>
      </c>
    </row>
    <row r="420" customFormat="false" ht="15" hidden="false" customHeight="false" outlineLevel="0" collapsed="false">
      <c r="B420" s="0" t="n">
        <f aca="false">IF(AND(食数記録!$A420=プレビュー!$C$3,食数記録!$B420="朝",食数記録!$F420="男性入所",食数記録!$D420="欠食"),1,0)</f>
        <v>0</v>
      </c>
      <c r="C420" s="0" t="str">
        <f aca="false">IF(B420=1,SUM($B$2:B420),"")</f>
        <v/>
      </c>
      <c r="D420" s="0" t="n">
        <f aca="false">IF(AND(食数記録!$A420=プレビュー!$C$3,食数記録!$B420="昼",食数記録!$F420="男性入所",食数記録!$D420="欠食"),1,0)</f>
        <v>0</v>
      </c>
      <c r="E420" s="0" t="str">
        <f aca="false">IF(D420=1,SUM($D$2:D420),"")</f>
        <v/>
      </c>
      <c r="F420" s="0" t="n">
        <f aca="false">IF(AND(食数記録!$A420=プレビュー!$C$3,食数記録!$B420="夕",食数記録!$F420="男性入所",食数記録!$D420="欠食"),1,0)</f>
        <v>0</v>
      </c>
      <c r="G420" s="0" t="str">
        <f aca="false">IF(F420=1,SUM($F$2:F420),"")</f>
        <v/>
      </c>
      <c r="H420" s="0" t="n">
        <f aca="false">IF(AND(食数記録!$A420=プレビュー!$C$3,食数記録!$B420="朝",食数記録!$F420="女性入所",食数記録!$D420="欠食"),1,0)</f>
        <v>0</v>
      </c>
      <c r="I420" s="0" t="str">
        <f aca="false">IF(H420=1,SUM($H$2:H420),"")</f>
        <v/>
      </c>
      <c r="J420" s="0" t="n">
        <f aca="false">IF(AND(食数記録!$A420=プレビュー!$C$3,食数記録!$B420="昼",食数記録!$F420="女性入所",食数記録!$D420="欠食"),1,0)</f>
        <v>0</v>
      </c>
      <c r="K420" s="0" t="str">
        <f aca="false">IF(J420=1,SUM($J$2:J420),"")</f>
        <v/>
      </c>
      <c r="L420" s="0" t="n">
        <f aca="false">IF(AND(食数記録!$A420=プレビュー!$C$3,食数記録!$B420="夕",食数記録!$F420="女性入所",食数記録!$D420="欠食"),1,0)</f>
        <v>0</v>
      </c>
      <c r="M420" s="0" t="str">
        <f aca="false">IF(L420=1,SUM($L$2:L420),"")</f>
        <v/>
      </c>
      <c r="N420" s="0" t="n">
        <f aca="false">IF(AND(食数記録!$A420=プレビュー!$C$3,食数記録!$B420="朝",食数記録!$F420="男性GH",食数記録!$D420="臨時喫食"),1,0)</f>
        <v>0</v>
      </c>
      <c r="O420" s="0" t="str">
        <f aca="false">IF(N420=1,SUM($N$2:N420),"")</f>
        <v/>
      </c>
      <c r="P420" s="0" t="n">
        <f aca="false">IF(AND(食数記録!$A420=プレビュー!$C$3,食数記録!$B420="昼",食数記録!$F420="男性GH",食数記録!$D420="臨時喫食"),1,0)</f>
        <v>0</v>
      </c>
      <c r="Q420" s="0" t="str">
        <f aca="false">IF(P420=1,SUM($P$2:P420),"")</f>
        <v/>
      </c>
      <c r="R420" s="0" t="n">
        <f aca="false">IF(AND(食数記録!$A420=プレビュー!$C$3,食数記録!$B420="夕",食数記録!$F420="男性GH",食数記録!$D420="臨時喫食"),1,0)</f>
        <v>0</v>
      </c>
      <c r="S420" s="0" t="str">
        <f aca="false">IF(R420=1,SUM($R$2:R420),"")</f>
        <v/>
      </c>
      <c r="T420" s="0" t="n">
        <f aca="false">IF(AND(食数記録!$A420=プレビュー!$C$3,食数記録!$B420="朝",食数記録!$F420="女性GH",食数記録!$D420="臨時喫食"),1,0)</f>
        <v>0</v>
      </c>
      <c r="U420" s="0" t="str">
        <f aca="false">IF(T420=1,SUM($T$2:T420),"")</f>
        <v/>
      </c>
      <c r="V420" s="0" t="n">
        <f aca="false">IF(AND(食数記録!$A420=プレビュー!$C$3,食数記録!$B420="昼",食数記録!$F420="女性GH",食数記録!$D420="臨時喫食"),1,0)</f>
        <v>0</v>
      </c>
      <c r="W420" s="0" t="str">
        <f aca="false">IF(V420=1,SUM($V$2:V420),"")</f>
        <v/>
      </c>
      <c r="X420" s="0" t="n">
        <f aca="false">IF(AND(食数記録!$A420=プレビュー!$C$3,食数記録!$B420="夕",食数記録!$F420="女性GH",食数記録!$D420="臨時喫食"),1,0)</f>
        <v>0</v>
      </c>
      <c r="Y420" s="0" t="str">
        <f aca="false">IF(X420=1,SUM($X$2:X420),"")</f>
        <v/>
      </c>
    </row>
    <row r="421" customFormat="false" ht="15" hidden="false" customHeight="false" outlineLevel="0" collapsed="false">
      <c r="B421" s="0" t="n">
        <f aca="false">IF(AND(食数記録!$A421=プレビュー!$C$3,食数記録!$B421="朝",食数記録!$F421="男性入所",食数記録!$D421="欠食"),1,0)</f>
        <v>0</v>
      </c>
      <c r="C421" s="0" t="str">
        <f aca="false">IF(B421=1,SUM($B$2:B421),"")</f>
        <v/>
      </c>
      <c r="D421" s="0" t="n">
        <f aca="false">IF(AND(食数記録!$A421=プレビュー!$C$3,食数記録!$B421="昼",食数記録!$F421="男性入所",食数記録!$D421="欠食"),1,0)</f>
        <v>0</v>
      </c>
      <c r="E421" s="0" t="str">
        <f aca="false">IF(D421=1,SUM($D$2:D421),"")</f>
        <v/>
      </c>
      <c r="F421" s="0" t="n">
        <f aca="false">IF(AND(食数記録!$A421=プレビュー!$C$3,食数記録!$B421="夕",食数記録!$F421="男性入所",食数記録!$D421="欠食"),1,0)</f>
        <v>0</v>
      </c>
      <c r="G421" s="0" t="str">
        <f aca="false">IF(F421=1,SUM($F$2:F421),"")</f>
        <v/>
      </c>
      <c r="H421" s="0" t="n">
        <f aca="false">IF(AND(食数記録!$A421=プレビュー!$C$3,食数記録!$B421="朝",食数記録!$F421="女性入所",食数記録!$D421="欠食"),1,0)</f>
        <v>0</v>
      </c>
      <c r="I421" s="0" t="str">
        <f aca="false">IF(H421=1,SUM($H$2:H421),"")</f>
        <v/>
      </c>
      <c r="J421" s="0" t="n">
        <f aca="false">IF(AND(食数記録!$A421=プレビュー!$C$3,食数記録!$B421="昼",食数記録!$F421="女性入所",食数記録!$D421="欠食"),1,0)</f>
        <v>0</v>
      </c>
      <c r="K421" s="0" t="str">
        <f aca="false">IF(J421=1,SUM($J$2:J421),"")</f>
        <v/>
      </c>
      <c r="L421" s="0" t="n">
        <f aca="false">IF(AND(食数記録!$A421=プレビュー!$C$3,食数記録!$B421="夕",食数記録!$F421="女性入所",食数記録!$D421="欠食"),1,0)</f>
        <v>0</v>
      </c>
      <c r="M421" s="0" t="str">
        <f aca="false">IF(L421=1,SUM($L$2:L421),"")</f>
        <v/>
      </c>
      <c r="N421" s="0" t="n">
        <f aca="false">IF(AND(食数記録!$A421=プレビュー!$C$3,食数記録!$B421="朝",食数記録!$F421="男性GH",食数記録!$D421="臨時喫食"),1,0)</f>
        <v>0</v>
      </c>
      <c r="O421" s="0" t="str">
        <f aca="false">IF(N421=1,SUM($N$2:N421),"")</f>
        <v/>
      </c>
      <c r="P421" s="0" t="n">
        <f aca="false">IF(AND(食数記録!$A421=プレビュー!$C$3,食数記録!$B421="昼",食数記録!$F421="男性GH",食数記録!$D421="臨時喫食"),1,0)</f>
        <v>0</v>
      </c>
      <c r="Q421" s="0" t="str">
        <f aca="false">IF(P421=1,SUM($P$2:P421),"")</f>
        <v/>
      </c>
      <c r="R421" s="0" t="n">
        <f aca="false">IF(AND(食数記録!$A421=プレビュー!$C$3,食数記録!$B421="夕",食数記録!$F421="男性GH",食数記録!$D421="臨時喫食"),1,0)</f>
        <v>0</v>
      </c>
      <c r="S421" s="0" t="str">
        <f aca="false">IF(R421=1,SUM($R$2:R421),"")</f>
        <v/>
      </c>
      <c r="T421" s="0" t="n">
        <f aca="false">IF(AND(食数記録!$A421=プレビュー!$C$3,食数記録!$B421="朝",食数記録!$F421="女性GH",食数記録!$D421="臨時喫食"),1,0)</f>
        <v>0</v>
      </c>
      <c r="U421" s="0" t="str">
        <f aca="false">IF(T421=1,SUM($T$2:T421),"")</f>
        <v/>
      </c>
      <c r="V421" s="0" t="n">
        <f aca="false">IF(AND(食数記録!$A421=プレビュー!$C$3,食数記録!$B421="昼",食数記録!$F421="女性GH",食数記録!$D421="臨時喫食"),1,0)</f>
        <v>0</v>
      </c>
      <c r="W421" s="0" t="str">
        <f aca="false">IF(V421=1,SUM($V$2:V421),"")</f>
        <v/>
      </c>
      <c r="X421" s="0" t="n">
        <f aca="false">IF(AND(食数記録!$A421=プレビュー!$C$3,食数記録!$B421="夕",食数記録!$F421="女性GH",食数記録!$D421="臨時喫食"),1,0)</f>
        <v>0</v>
      </c>
      <c r="Y421" s="0" t="str">
        <f aca="false">IF(X421=1,SUM($X$2:X421),"")</f>
        <v/>
      </c>
    </row>
    <row r="422" customFormat="false" ht="15" hidden="false" customHeight="false" outlineLevel="0" collapsed="false">
      <c r="B422" s="0" t="n">
        <f aca="false">IF(AND(食数記録!$A422=プレビュー!$C$3,食数記録!$B422="朝",食数記録!$F422="男性入所",食数記録!$D422="欠食"),1,0)</f>
        <v>0</v>
      </c>
      <c r="C422" s="0" t="str">
        <f aca="false">IF(B422=1,SUM($B$2:B422),"")</f>
        <v/>
      </c>
      <c r="D422" s="0" t="n">
        <f aca="false">IF(AND(食数記録!$A422=プレビュー!$C$3,食数記録!$B422="昼",食数記録!$F422="男性入所",食数記録!$D422="欠食"),1,0)</f>
        <v>0</v>
      </c>
      <c r="E422" s="0" t="str">
        <f aca="false">IF(D422=1,SUM($D$2:D422),"")</f>
        <v/>
      </c>
      <c r="F422" s="0" t="n">
        <f aca="false">IF(AND(食数記録!$A422=プレビュー!$C$3,食数記録!$B422="夕",食数記録!$F422="男性入所",食数記録!$D422="欠食"),1,0)</f>
        <v>0</v>
      </c>
      <c r="G422" s="0" t="str">
        <f aca="false">IF(F422=1,SUM($F$2:F422),"")</f>
        <v/>
      </c>
      <c r="H422" s="0" t="n">
        <f aca="false">IF(AND(食数記録!$A422=プレビュー!$C$3,食数記録!$B422="朝",食数記録!$F422="女性入所",食数記録!$D422="欠食"),1,0)</f>
        <v>0</v>
      </c>
      <c r="I422" s="0" t="str">
        <f aca="false">IF(H422=1,SUM($H$2:H422),"")</f>
        <v/>
      </c>
      <c r="J422" s="0" t="n">
        <f aca="false">IF(AND(食数記録!$A422=プレビュー!$C$3,食数記録!$B422="昼",食数記録!$F422="女性入所",食数記録!$D422="欠食"),1,0)</f>
        <v>0</v>
      </c>
      <c r="K422" s="0" t="str">
        <f aca="false">IF(J422=1,SUM($J$2:J422),"")</f>
        <v/>
      </c>
      <c r="L422" s="0" t="n">
        <f aca="false">IF(AND(食数記録!$A422=プレビュー!$C$3,食数記録!$B422="夕",食数記録!$F422="女性入所",食数記録!$D422="欠食"),1,0)</f>
        <v>0</v>
      </c>
      <c r="M422" s="0" t="str">
        <f aca="false">IF(L422=1,SUM($L$2:L422),"")</f>
        <v/>
      </c>
      <c r="N422" s="0" t="n">
        <f aca="false">IF(AND(食数記録!$A422=プレビュー!$C$3,食数記録!$B422="朝",食数記録!$F422="男性GH",食数記録!$D422="臨時喫食"),1,0)</f>
        <v>0</v>
      </c>
      <c r="O422" s="0" t="str">
        <f aca="false">IF(N422=1,SUM($N$2:N422),"")</f>
        <v/>
      </c>
      <c r="P422" s="0" t="n">
        <f aca="false">IF(AND(食数記録!$A422=プレビュー!$C$3,食数記録!$B422="昼",食数記録!$F422="男性GH",食数記録!$D422="臨時喫食"),1,0)</f>
        <v>0</v>
      </c>
      <c r="Q422" s="0" t="str">
        <f aca="false">IF(P422=1,SUM($P$2:P422),"")</f>
        <v/>
      </c>
      <c r="R422" s="0" t="n">
        <f aca="false">IF(AND(食数記録!$A422=プレビュー!$C$3,食数記録!$B422="夕",食数記録!$F422="男性GH",食数記録!$D422="臨時喫食"),1,0)</f>
        <v>0</v>
      </c>
      <c r="S422" s="0" t="str">
        <f aca="false">IF(R422=1,SUM($R$2:R422),"")</f>
        <v/>
      </c>
      <c r="T422" s="0" t="n">
        <f aca="false">IF(AND(食数記録!$A422=プレビュー!$C$3,食数記録!$B422="朝",食数記録!$F422="女性GH",食数記録!$D422="臨時喫食"),1,0)</f>
        <v>0</v>
      </c>
      <c r="U422" s="0" t="str">
        <f aca="false">IF(T422=1,SUM($T$2:T422),"")</f>
        <v/>
      </c>
      <c r="V422" s="0" t="n">
        <f aca="false">IF(AND(食数記録!$A422=プレビュー!$C$3,食数記録!$B422="昼",食数記録!$F422="女性GH",食数記録!$D422="臨時喫食"),1,0)</f>
        <v>0</v>
      </c>
      <c r="W422" s="0" t="str">
        <f aca="false">IF(V422=1,SUM($V$2:V422),"")</f>
        <v/>
      </c>
      <c r="X422" s="0" t="n">
        <f aca="false">IF(AND(食数記録!$A422=プレビュー!$C$3,食数記録!$B422="夕",食数記録!$F422="女性GH",食数記録!$D422="臨時喫食"),1,0)</f>
        <v>0</v>
      </c>
      <c r="Y422" s="0" t="str">
        <f aca="false">IF(X422=1,SUM($X$2:X422),"")</f>
        <v/>
      </c>
    </row>
    <row r="423" customFormat="false" ht="15" hidden="false" customHeight="false" outlineLevel="0" collapsed="false">
      <c r="B423" s="0" t="n">
        <f aca="false">IF(AND(食数記録!$A423=プレビュー!$C$3,食数記録!$B423="朝",食数記録!$F423="男性入所",食数記録!$D423="欠食"),1,0)</f>
        <v>0</v>
      </c>
      <c r="C423" s="0" t="str">
        <f aca="false">IF(B423=1,SUM($B$2:B423),"")</f>
        <v/>
      </c>
      <c r="D423" s="0" t="n">
        <f aca="false">IF(AND(食数記録!$A423=プレビュー!$C$3,食数記録!$B423="昼",食数記録!$F423="男性入所",食数記録!$D423="欠食"),1,0)</f>
        <v>0</v>
      </c>
      <c r="E423" s="0" t="str">
        <f aca="false">IF(D423=1,SUM($D$2:D423),"")</f>
        <v/>
      </c>
      <c r="F423" s="0" t="n">
        <f aca="false">IF(AND(食数記録!$A423=プレビュー!$C$3,食数記録!$B423="夕",食数記録!$F423="男性入所",食数記録!$D423="欠食"),1,0)</f>
        <v>0</v>
      </c>
      <c r="G423" s="0" t="str">
        <f aca="false">IF(F423=1,SUM($F$2:F423),"")</f>
        <v/>
      </c>
      <c r="H423" s="0" t="n">
        <f aca="false">IF(AND(食数記録!$A423=プレビュー!$C$3,食数記録!$B423="朝",食数記録!$F423="女性入所",食数記録!$D423="欠食"),1,0)</f>
        <v>0</v>
      </c>
      <c r="I423" s="0" t="str">
        <f aca="false">IF(H423=1,SUM($H$2:H423),"")</f>
        <v/>
      </c>
      <c r="J423" s="0" t="n">
        <f aca="false">IF(AND(食数記録!$A423=プレビュー!$C$3,食数記録!$B423="昼",食数記録!$F423="女性入所",食数記録!$D423="欠食"),1,0)</f>
        <v>0</v>
      </c>
      <c r="K423" s="0" t="str">
        <f aca="false">IF(J423=1,SUM($J$2:J423),"")</f>
        <v/>
      </c>
      <c r="L423" s="0" t="n">
        <f aca="false">IF(AND(食数記録!$A423=プレビュー!$C$3,食数記録!$B423="夕",食数記録!$F423="女性入所",食数記録!$D423="欠食"),1,0)</f>
        <v>0</v>
      </c>
      <c r="M423" s="0" t="str">
        <f aca="false">IF(L423=1,SUM($L$2:L423),"")</f>
        <v/>
      </c>
      <c r="N423" s="0" t="n">
        <f aca="false">IF(AND(食数記録!$A423=プレビュー!$C$3,食数記録!$B423="朝",食数記録!$F423="男性GH",食数記録!$D423="臨時喫食"),1,0)</f>
        <v>0</v>
      </c>
      <c r="O423" s="0" t="str">
        <f aca="false">IF(N423=1,SUM($N$2:N423),"")</f>
        <v/>
      </c>
      <c r="P423" s="0" t="n">
        <f aca="false">IF(AND(食数記録!$A423=プレビュー!$C$3,食数記録!$B423="昼",食数記録!$F423="男性GH",食数記録!$D423="臨時喫食"),1,0)</f>
        <v>0</v>
      </c>
      <c r="Q423" s="0" t="str">
        <f aca="false">IF(P423=1,SUM($P$2:P423),"")</f>
        <v/>
      </c>
      <c r="R423" s="0" t="n">
        <f aca="false">IF(AND(食数記録!$A423=プレビュー!$C$3,食数記録!$B423="夕",食数記録!$F423="男性GH",食数記録!$D423="臨時喫食"),1,0)</f>
        <v>0</v>
      </c>
      <c r="S423" s="0" t="str">
        <f aca="false">IF(R423=1,SUM($R$2:R423),"")</f>
        <v/>
      </c>
      <c r="T423" s="0" t="n">
        <f aca="false">IF(AND(食数記録!$A423=プレビュー!$C$3,食数記録!$B423="朝",食数記録!$F423="女性GH",食数記録!$D423="臨時喫食"),1,0)</f>
        <v>0</v>
      </c>
      <c r="U423" s="0" t="str">
        <f aca="false">IF(T423=1,SUM($T$2:T423),"")</f>
        <v/>
      </c>
      <c r="V423" s="0" t="n">
        <f aca="false">IF(AND(食数記録!$A423=プレビュー!$C$3,食数記録!$B423="昼",食数記録!$F423="女性GH",食数記録!$D423="臨時喫食"),1,0)</f>
        <v>0</v>
      </c>
      <c r="W423" s="0" t="str">
        <f aca="false">IF(V423=1,SUM($V$2:V423),"")</f>
        <v/>
      </c>
      <c r="X423" s="0" t="n">
        <f aca="false">IF(AND(食数記録!$A423=プレビュー!$C$3,食数記録!$B423="夕",食数記録!$F423="女性GH",食数記録!$D423="臨時喫食"),1,0)</f>
        <v>0</v>
      </c>
      <c r="Y423" s="0" t="str">
        <f aca="false">IF(X423=1,SUM($X$2:X423),"")</f>
        <v/>
      </c>
    </row>
    <row r="424" customFormat="false" ht="15" hidden="false" customHeight="false" outlineLevel="0" collapsed="false">
      <c r="B424" s="0" t="n">
        <f aca="false">IF(AND(食数記録!$A424=プレビュー!$C$3,食数記録!$B424="朝",食数記録!$F424="男性入所",食数記録!$D424="欠食"),1,0)</f>
        <v>0</v>
      </c>
      <c r="C424" s="0" t="str">
        <f aca="false">IF(B424=1,SUM($B$2:B424),"")</f>
        <v/>
      </c>
      <c r="D424" s="0" t="n">
        <f aca="false">IF(AND(食数記録!$A424=プレビュー!$C$3,食数記録!$B424="昼",食数記録!$F424="男性入所",食数記録!$D424="欠食"),1,0)</f>
        <v>0</v>
      </c>
      <c r="E424" s="0" t="str">
        <f aca="false">IF(D424=1,SUM($D$2:D424),"")</f>
        <v/>
      </c>
      <c r="F424" s="0" t="n">
        <f aca="false">IF(AND(食数記録!$A424=プレビュー!$C$3,食数記録!$B424="夕",食数記録!$F424="男性入所",食数記録!$D424="欠食"),1,0)</f>
        <v>0</v>
      </c>
      <c r="G424" s="0" t="str">
        <f aca="false">IF(F424=1,SUM($F$2:F424),"")</f>
        <v/>
      </c>
      <c r="H424" s="0" t="n">
        <f aca="false">IF(AND(食数記録!$A424=プレビュー!$C$3,食数記録!$B424="朝",食数記録!$F424="女性入所",食数記録!$D424="欠食"),1,0)</f>
        <v>0</v>
      </c>
      <c r="I424" s="0" t="str">
        <f aca="false">IF(H424=1,SUM($H$2:H424),"")</f>
        <v/>
      </c>
      <c r="J424" s="0" t="n">
        <f aca="false">IF(AND(食数記録!$A424=プレビュー!$C$3,食数記録!$B424="昼",食数記録!$F424="女性入所",食数記録!$D424="欠食"),1,0)</f>
        <v>0</v>
      </c>
      <c r="K424" s="0" t="str">
        <f aca="false">IF(J424=1,SUM($J$2:J424),"")</f>
        <v/>
      </c>
      <c r="L424" s="0" t="n">
        <f aca="false">IF(AND(食数記録!$A424=プレビュー!$C$3,食数記録!$B424="夕",食数記録!$F424="女性入所",食数記録!$D424="欠食"),1,0)</f>
        <v>0</v>
      </c>
      <c r="M424" s="0" t="str">
        <f aca="false">IF(L424=1,SUM($L$2:L424),"")</f>
        <v/>
      </c>
      <c r="N424" s="0" t="n">
        <f aca="false">IF(AND(食数記録!$A424=プレビュー!$C$3,食数記録!$B424="朝",食数記録!$F424="男性GH",食数記録!$D424="臨時喫食"),1,0)</f>
        <v>0</v>
      </c>
      <c r="O424" s="0" t="str">
        <f aca="false">IF(N424=1,SUM($N$2:N424),"")</f>
        <v/>
      </c>
      <c r="P424" s="0" t="n">
        <f aca="false">IF(AND(食数記録!$A424=プレビュー!$C$3,食数記録!$B424="昼",食数記録!$F424="男性GH",食数記録!$D424="臨時喫食"),1,0)</f>
        <v>0</v>
      </c>
      <c r="Q424" s="0" t="str">
        <f aca="false">IF(P424=1,SUM($P$2:P424),"")</f>
        <v/>
      </c>
      <c r="R424" s="0" t="n">
        <f aca="false">IF(AND(食数記録!$A424=プレビュー!$C$3,食数記録!$B424="夕",食数記録!$F424="男性GH",食数記録!$D424="臨時喫食"),1,0)</f>
        <v>0</v>
      </c>
      <c r="S424" s="0" t="str">
        <f aca="false">IF(R424=1,SUM($R$2:R424),"")</f>
        <v/>
      </c>
      <c r="T424" s="0" t="n">
        <f aca="false">IF(AND(食数記録!$A424=プレビュー!$C$3,食数記録!$B424="朝",食数記録!$F424="女性GH",食数記録!$D424="臨時喫食"),1,0)</f>
        <v>0</v>
      </c>
      <c r="U424" s="0" t="str">
        <f aca="false">IF(T424=1,SUM($T$2:T424),"")</f>
        <v/>
      </c>
      <c r="V424" s="0" t="n">
        <f aca="false">IF(AND(食数記録!$A424=プレビュー!$C$3,食数記録!$B424="昼",食数記録!$F424="女性GH",食数記録!$D424="臨時喫食"),1,0)</f>
        <v>0</v>
      </c>
      <c r="W424" s="0" t="str">
        <f aca="false">IF(V424=1,SUM($V$2:V424),"")</f>
        <v/>
      </c>
      <c r="X424" s="0" t="n">
        <f aca="false">IF(AND(食数記録!$A424=プレビュー!$C$3,食数記録!$B424="夕",食数記録!$F424="女性GH",食数記録!$D424="臨時喫食"),1,0)</f>
        <v>0</v>
      </c>
      <c r="Y424" s="0" t="str">
        <f aca="false">IF(X424=1,SUM($X$2:X424),"")</f>
        <v/>
      </c>
    </row>
    <row r="425" customFormat="false" ht="15" hidden="false" customHeight="false" outlineLevel="0" collapsed="false">
      <c r="B425" s="0" t="n">
        <f aca="false">IF(AND(食数記録!$A425=プレビュー!$C$3,食数記録!$B425="朝",食数記録!$F425="男性入所",食数記録!$D425="欠食"),1,0)</f>
        <v>0</v>
      </c>
      <c r="C425" s="0" t="str">
        <f aca="false">IF(B425=1,SUM($B$2:B425),"")</f>
        <v/>
      </c>
      <c r="D425" s="0" t="n">
        <f aca="false">IF(AND(食数記録!$A425=プレビュー!$C$3,食数記録!$B425="昼",食数記録!$F425="男性入所",食数記録!$D425="欠食"),1,0)</f>
        <v>0</v>
      </c>
      <c r="E425" s="0" t="str">
        <f aca="false">IF(D425=1,SUM($D$2:D425),"")</f>
        <v/>
      </c>
      <c r="F425" s="0" t="n">
        <f aca="false">IF(AND(食数記録!$A425=プレビュー!$C$3,食数記録!$B425="夕",食数記録!$F425="男性入所",食数記録!$D425="欠食"),1,0)</f>
        <v>0</v>
      </c>
      <c r="G425" s="0" t="str">
        <f aca="false">IF(F425=1,SUM($F$2:F425),"")</f>
        <v/>
      </c>
      <c r="H425" s="0" t="n">
        <f aca="false">IF(AND(食数記録!$A425=プレビュー!$C$3,食数記録!$B425="朝",食数記録!$F425="女性入所",食数記録!$D425="欠食"),1,0)</f>
        <v>0</v>
      </c>
      <c r="I425" s="0" t="str">
        <f aca="false">IF(H425=1,SUM($H$2:H425),"")</f>
        <v/>
      </c>
      <c r="J425" s="0" t="n">
        <f aca="false">IF(AND(食数記録!$A425=プレビュー!$C$3,食数記録!$B425="昼",食数記録!$F425="女性入所",食数記録!$D425="欠食"),1,0)</f>
        <v>0</v>
      </c>
      <c r="K425" s="0" t="str">
        <f aca="false">IF(J425=1,SUM($J$2:J425),"")</f>
        <v/>
      </c>
      <c r="L425" s="0" t="n">
        <f aca="false">IF(AND(食数記録!$A425=プレビュー!$C$3,食数記録!$B425="夕",食数記録!$F425="女性入所",食数記録!$D425="欠食"),1,0)</f>
        <v>0</v>
      </c>
      <c r="M425" s="0" t="str">
        <f aca="false">IF(L425=1,SUM($L$2:L425),"")</f>
        <v/>
      </c>
      <c r="N425" s="0" t="n">
        <f aca="false">IF(AND(食数記録!$A425=プレビュー!$C$3,食数記録!$B425="朝",食数記録!$F425="男性GH",食数記録!$D425="臨時喫食"),1,0)</f>
        <v>0</v>
      </c>
      <c r="O425" s="0" t="str">
        <f aca="false">IF(N425=1,SUM($N$2:N425),"")</f>
        <v/>
      </c>
      <c r="P425" s="0" t="n">
        <f aca="false">IF(AND(食数記録!$A425=プレビュー!$C$3,食数記録!$B425="昼",食数記録!$F425="男性GH",食数記録!$D425="臨時喫食"),1,0)</f>
        <v>0</v>
      </c>
      <c r="Q425" s="0" t="str">
        <f aca="false">IF(P425=1,SUM($P$2:P425),"")</f>
        <v/>
      </c>
      <c r="R425" s="0" t="n">
        <f aca="false">IF(AND(食数記録!$A425=プレビュー!$C$3,食数記録!$B425="夕",食数記録!$F425="男性GH",食数記録!$D425="臨時喫食"),1,0)</f>
        <v>0</v>
      </c>
      <c r="S425" s="0" t="str">
        <f aca="false">IF(R425=1,SUM($R$2:R425),"")</f>
        <v/>
      </c>
      <c r="T425" s="0" t="n">
        <f aca="false">IF(AND(食数記録!$A425=プレビュー!$C$3,食数記録!$B425="朝",食数記録!$F425="女性GH",食数記録!$D425="臨時喫食"),1,0)</f>
        <v>0</v>
      </c>
      <c r="U425" s="0" t="str">
        <f aca="false">IF(T425=1,SUM($T$2:T425),"")</f>
        <v/>
      </c>
      <c r="V425" s="0" t="n">
        <f aca="false">IF(AND(食数記録!$A425=プレビュー!$C$3,食数記録!$B425="昼",食数記録!$F425="女性GH",食数記録!$D425="臨時喫食"),1,0)</f>
        <v>0</v>
      </c>
      <c r="W425" s="0" t="str">
        <f aca="false">IF(V425=1,SUM($V$2:V425),"")</f>
        <v/>
      </c>
      <c r="X425" s="0" t="n">
        <f aca="false">IF(AND(食数記録!$A425=プレビュー!$C$3,食数記録!$B425="夕",食数記録!$F425="女性GH",食数記録!$D425="臨時喫食"),1,0)</f>
        <v>0</v>
      </c>
      <c r="Y425" s="0" t="str">
        <f aca="false">IF(X425=1,SUM($X$2:X425),"")</f>
        <v/>
      </c>
    </row>
    <row r="426" customFormat="false" ht="15" hidden="false" customHeight="false" outlineLevel="0" collapsed="false">
      <c r="B426" s="0" t="n">
        <f aca="false">IF(AND(食数記録!$A426=プレビュー!$C$3,食数記録!$B426="朝",食数記録!$F426="男性入所",食数記録!$D426="欠食"),1,0)</f>
        <v>0</v>
      </c>
      <c r="C426" s="0" t="str">
        <f aca="false">IF(B426=1,SUM($B$2:B426),"")</f>
        <v/>
      </c>
      <c r="D426" s="0" t="n">
        <f aca="false">IF(AND(食数記録!$A426=プレビュー!$C$3,食数記録!$B426="昼",食数記録!$F426="男性入所",食数記録!$D426="欠食"),1,0)</f>
        <v>0</v>
      </c>
      <c r="E426" s="0" t="str">
        <f aca="false">IF(D426=1,SUM($D$2:D426),"")</f>
        <v/>
      </c>
      <c r="F426" s="0" t="n">
        <f aca="false">IF(AND(食数記録!$A426=プレビュー!$C$3,食数記録!$B426="夕",食数記録!$F426="男性入所",食数記録!$D426="欠食"),1,0)</f>
        <v>0</v>
      </c>
      <c r="G426" s="0" t="str">
        <f aca="false">IF(F426=1,SUM($F$2:F426),"")</f>
        <v/>
      </c>
      <c r="H426" s="0" t="n">
        <f aca="false">IF(AND(食数記録!$A426=プレビュー!$C$3,食数記録!$B426="朝",食数記録!$F426="女性入所",食数記録!$D426="欠食"),1,0)</f>
        <v>0</v>
      </c>
      <c r="I426" s="0" t="str">
        <f aca="false">IF(H426=1,SUM($H$2:H426),"")</f>
        <v/>
      </c>
      <c r="J426" s="0" t="n">
        <f aca="false">IF(AND(食数記録!$A426=プレビュー!$C$3,食数記録!$B426="昼",食数記録!$F426="女性入所",食数記録!$D426="欠食"),1,0)</f>
        <v>0</v>
      </c>
      <c r="K426" s="0" t="str">
        <f aca="false">IF(J426=1,SUM($J$2:J426),"")</f>
        <v/>
      </c>
      <c r="L426" s="0" t="n">
        <f aca="false">IF(AND(食数記録!$A426=プレビュー!$C$3,食数記録!$B426="夕",食数記録!$F426="女性入所",食数記録!$D426="欠食"),1,0)</f>
        <v>0</v>
      </c>
      <c r="M426" s="0" t="str">
        <f aca="false">IF(L426=1,SUM($L$2:L426),"")</f>
        <v/>
      </c>
      <c r="N426" s="0" t="n">
        <f aca="false">IF(AND(食数記録!$A426=プレビュー!$C$3,食数記録!$B426="朝",食数記録!$F426="男性GH",食数記録!$D426="臨時喫食"),1,0)</f>
        <v>0</v>
      </c>
      <c r="O426" s="0" t="str">
        <f aca="false">IF(N426=1,SUM($N$2:N426),"")</f>
        <v/>
      </c>
      <c r="P426" s="0" t="n">
        <f aca="false">IF(AND(食数記録!$A426=プレビュー!$C$3,食数記録!$B426="昼",食数記録!$F426="男性GH",食数記録!$D426="臨時喫食"),1,0)</f>
        <v>0</v>
      </c>
      <c r="Q426" s="0" t="str">
        <f aca="false">IF(P426=1,SUM($P$2:P426),"")</f>
        <v/>
      </c>
      <c r="R426" s="0" t="n">
        <f aca="false">IF(AND(食数記録!$A426=プレビュー!$C$3,食数記録!$B426="夕",食数記録!$F426="男性GH",食数記録!$D426="臨時喫食"),1,0)</f>
        <v>0</v>
      </c>
      <c r="S426" s="0" t="str">
        <f aca="false">IF(R426=1,SUM($R$2:R426),"")</f>
        <v/>
      </c>
      <c r="T426" s="0" t="n">
        <f aca="false">IF(AND(食数記録!$A426=プレビュー!$C$3,食数記録!$B426="朝",食数記録!$F426="女性GH",食数記録!$D426="臨時喫食"),1,0)</f>
        <v>0</v>
      </c>
      <c r="U426" s="0" t="str">
        <f aca="false">IF(T426=1,SUM($T$2:T426),"")</f>
        <v/>
      </c>
      <c r="V426" s="0" t="n">
        <f aca="false">IF(AND(食数記録!$A426=プレビュー!$C$3,食数記録!$B426="昼",食数記録!$F426="女性GH",食数記録!$D426="臨時喫食"),1,0)</f>
        <v>0</v>
      </c>
      <c r="W426" s="0" t="str">
        <f aca="false">IF(V426=1,SUM($V$2:V426),"")</f>
        <v/>
      </c>
      <c r="X426" s="0" t="n">
        <f aca="false">IF(AND(食数記録!$A426=プレビュー!$C$3,食数記録!$B426="夕",食数記録!$F426="女性GH",食数記録!$D426="臨時喫食"),1,0)</f>
        <v>0</v>
      </c>
      <c r="Y426" s="0" t="str">
        <f aca="false">IF(X426=1,SUM($X$2:X426),"")</f>
        <v/>
      </c>
    </row>
    <row r="427" customFormat="false" ht="15" hidden="false" customHeight="false" outlineLevel="0" collapsed="false">
      <c r="B427" s="0" t="n">
        <f aca="false">IF(AND(食数記録!$A427=プレビュー!$C$3,食数記録!$B427="朝",食数記録!$F427="男性入所",食数記録!$D427="欠食"),1,0)</f>
        <v>0</v>
      </c>
      <c r="C427" s="0" t="str">
        <f aca="false">IF(B427=1,SUM($B$2:B427),"")</f>
        <v/>
      </c>
      <c r="D427" s="0" t="n">
        <f aca="false">IF(AND(食数記録!$A427=プレビュー!$C$3,食数記録!$B427="昼",食数記録!$F427="男性入所",食数記録!$D427="欠食"),1,0)</f>
        <v>0</v>
      </c>
      <c r="E427" s="0" t="str">
        <f aca="false">IF(D427=1,SUM($D$2:D427),"")</f>
        <v/>
      </c>
      <c r="F427" s="0" t="n">
        <f aca="false">IF(AND(食数記録!$A427=プレビュー!$C$3,食数記録!$B427="夕",食数記録!$F427="男性入所",食数記録!$D427="欠食"),1,0)</f>
        <v>0</v>
      </c>
      <c r="G427" s="0" t="str">
        <f aca="false">IF(F427=1,SUM($F$2:F427),"")</f>
        <v/>
      </c>
      <c r="H427" s="0" t="n">
        <f aca="false">IF(AND(食数記録!$A427=プレビュー!$C$3,食数記録!$B427="朝",食数記録!$F427="女性入所",食数記録!$D427="欠食"),1,0)</f>
        <v>0</v>
      </c>
      <c r="I427" s="0" t="str">
        <f aca="false">IF(H427=1,SUM($H$2:H427),"")</f>
        <v/>
      </c>
      <c r="J427" s="0" t="n">
        <f aca="false">IF(AND(食数記録!$A427=プレビュー!$C$3,食数記録!$B427="昼",食数記録!$F427="女性入所",食数記録!$D427="欠食"),1,0)</f>
        <v>0</v>
      </c>
      <c r="K427" s="0" t="str">
        <f aca="false">IF(J427=1,SUM($J$2:J427),"")</f>
        <v/>
      </c>
      <c r="L427" s="0" t="n">
        <f aca="false">IF(AND(食数記録!$A427=プレビュー!$C$3,食数記録!$B427="夕",食数記録!$F427="女性入所",食数記録!$D427="欠食"),1,0)</f>
        <v>0</v>
      </c>
      <c r="M427" s="0" t="str">
        <f aca="false">IF(L427=1,SUM($L$2:L427),"")</f>
        <v/>
      </c>
      <c r="N427" s="0" t="n">
        <f aca="false">IF(AND(食数記録!$A427=プレビュー!$C$3,食数記録!$B427="朝",食数記録!$F427="男性GH",食数記録!$D427="臨時喫食"),1,0)</f>
        <v>0</v>
      </c>
      <c r="O427" s="0" t="str">
        <f aca="false">IF(N427=1,SUM($N$2:N427),"")</f>
        <v/>
      </c>
      <c r="P427" s="0" t="n">
        <f aca="false">IF(AND(食数記録!$A427=プレビュー!$C$3,食数記録!$B427="昼",食数記録!$F427="男性GH",食数記録!$D427="臨時喫食"),1,0)</f>
        <v>0</v>
      </c>
      <c r="Q427" s="0" t="str">
        <f aca="false">IF(P427=1,SUM($P$2:P427),"")</f>
        <v/>
      </c>
      <c r="R427" s="0" t="n">
        <f aca="false">IF(AND(食数記録!$A427=プレビュー!$C$3,食数記録!$B427="夕",食数記録!$F427="男性GH",食数記録!$D427="臨時喫食"),1,0)</f>
        <v>0</v>
      </c>
      <c r="S427" s="0" t="str">
        <f aca="false">IF(R427=1,SUM($R$2:R427),"")</f>
        <v/>
      </c>
      <c r="T427" s="0" t="n">
        <f aca="false">IF(AND(食数記録!$A427=プレビュー!$C$3,食数記録!$B427="朝",食数記録!$F427="女性GH",食数記録!$D427="臨時喫食"),1,0)</f>
        <v>0</v>
      </c>
      <c r="U427" s="0" t="str">
        <f aca="false">IF(T427=1,SUM($T$2:T427),"")</f>
        <v/>
      </c>
      <c r="V427" s="0" t="n">
        <f aca="false">IF(AND(食数記録!$A427=プレビュー!$C$3,食数記録!$B427="昼",食数記録!$F427="女性GH",食数記録!$D427="臨時喫食"),1,0)</f>
        <v>0</v>
      </c>
      <c r="W427" s="0" t="str">
        <f aca="false">IF(V427=1,SUM($V$2:V427),"")</f>
        <v/>
      </c>
      <c r="X427" s="0" t="n">
        <f aca="false">IF(AND(食数記録!$A427=プレビュー!$C$3,食数記録!$B427="夕",食数記録!$F427="女性GH",食数記録!$D427="臨時喫食"),1,0)</f>
        <v>0</v>
      </c>
      <c r="Y427" s="0" t="str">
        <f aca="false">IF(X427=1,SUM($X$2:X427),"")</f>
        <v/>
      </c>
    </row>
    <row r="428" customFormat="false" ht="15" hidden="false" customHeight="false" outlineLevel="0" collapsed="false">
      <c r="B428" s="0" t="n">
        <f aca="false">IF(AND(食数記録!$A428=プレビュー!$C$3,食数記録!$B428="朝",食数記録!$F428="男性入所",食数記録!$D428="欠食"),1,0)</f>
        <v>0</v>
      </c>
      <c r="C428" s="0" t="str">
        <f aca="false">IF(B428=1,SUM($B$2:B428),"")</f>
        <v/>
      </c>
      <c r="D428" s="0" t="n">
        <f aca="false">IF(AND(食数記録!$A428=プレビュー!$C$3,食数記録!$B428="昼",食数記録!$F428="男性入所",食数記録!$D428="欠食"),1,0)</f>
        <v>0</v>
      </c>
      <c r="E428" s="0" t="str">
        <f aca="false">IF(D428=1,SUM($D$2:D428),"")</f>
        <v/>
      </c>
      <c r="F428" s="0" t="n">
        <f aca="false">IF(AND(食数記録!$A428=プレビュー!$C$3,食数記録!$B428="夕",食数記録!$F428="男性入所",食数記録!$D428="欠食"),1,0)</f>
        <v>0</v>
      </c>
      <c r="G428" s="0" t="str">
        <f aca="false">IF(F428=1,SUM($F$2:F428),"")</f>
        <v/>
      </c>
      <c r="H428" s="0" t="n">
        <f aca="false">IF(AND(食数記録!$A428=プレビュー!$C$3,食数記録!$B428="朝",食数記録!$F428="女性入所",食数記録!$D428="欠食"),1,0)</f>
        <v>0</v>
      </c>
      <c r="I428" s="0" t="str">
        <f aca="false">IF(H428=1,SUM($H$2:H428),"")</f>
        <v/>
      </c>
      <c r="J428" s="0" t="n">
        <f aca="false">IF(AND(食数記録!$A428=プレビュー!$C$3,食数記録!$B428="昼",食数記録!$F428="女性入所",食数記録!$D428="欠食"),1,0)</f>
        <v>0</v>
      </c>
      <c r="K428" s="0" t="str">
        <f aca="false">IF(J428=1,SUM($J$2:J428),"")</f>
        <v/>
      </c>
      <c r="L428" s="0" t="n">
        <f aca="false">IF(AND(食数記録!$A428=プレビュー!$C$3,食数記録!$B428="夕",食数記録!$F428="女性入所",食数記録!$D428="欠食"),1,0)</f>
        <v>0</v>
      </c>
      <c r="M428" s="0" t="str">
        <f aca="false">IF(L428=1,SUM($L$2:L428),"")</f>
        <v/>
      </c>
      <c r="N428" s="0" t="n">
        <f aca="false">IF(AND(食数記録!$A428=プレビュー!$C$3,食数記録!$B428="朝",食数記録!$F428="男性GH",食数記録!$D428="臨時喫食"),1,0)</f>
        <v>0</v>
      </c>
      <c r="O428" s="0" t="str">
        <f aca="false">IF(N428=1,SUM($N$2:N428),"")</f>
        <v/>
      </c>
      <c r="P428" s="0" t="n">
        <f aca="false">IF(AND(食数記録!$A428=プレビュー!$C$3,食数記録!$B428="昼",食数記録!$F428="男性GH",食数記録!$D428="臨時喫食"),1,0)</f>
        <v>0</v>
      </c>
      <c r="Q428" s="0" t="str">
        <f aca="false">IF(P428=1,SUM($P$2:P428),"")</f>
        <v/>
      </c>
      <c r="R428" s="0" t="n">
        <f aca="false">IF(AND(食数記録!$A428=プレビュー!$C$3,食数記録!$B428="夕",食数記録!$F428="男性GH",食数記録!$D428="臨時喫食"),1,0)</f>
        <v>0</v>
      </c>
      <c r="S428" s="0" t="str">
        <f aca="false">IF(R428=1,SUM($R$2:R428),"")</f>
        <v/>
      </c>
      <c r="T428" s="0" t="n">
        <f aca="false">IF(AND(食数記録!$A428=プレビュー!$C$3,食数記録!$B428="朝",食数記録!$F428="女性GH",食数記録!$D428="臨時喫食"),1,0)</f>
        <v>0</v>
      </c>
      <c r="U428" s="0" t="str">
        <f aca="false">IF(T428=1,SUM($T$2:T428),"")</f>
        <v/>
      </c>
      <c r="V428" s="0" t="n">
        <f aca="false">IF(AND(食数記録!$A428=プレビュー!$C$3,食数記録!$B428="昼",食数記録!$F428="女性GH",食数記録!$D428="臨時喫食"),1,0)</f>
        <v>0</v>
      </c>
      <c r="W428" s="0" t="str">
        <f aca="false">IF(V428=1,SUM($V$2:V428),"")</f>
        <v/>
      </c>
      <c r="X428" s="0" t="n">
        <f aca="false">IF(AND(食数記録!$A428=プレビュー!$C$3,食数記録!$B428="夕",食数記録!$F428="女性GH",食数記録!$D428="臨時喫食"),1,0)</f>
        <v>0</v>
      </c>
      <c r="Y428" s="0" t="str">
        <f aca="false">IF(X428=1,SUM($X$2:X428),"")</f>
        <v/>
      </c>
    </row>
    <row r="429" customFormat="false" ht="15" hidden="false" customHeight="false" outlineLevel="0" collapsed="false">
      <c r="B429" s="0" t="n">
        <f aca="false">IF(AND(食数記録!$A429=プレビュー!$C$3,食数記録!$B429="朝",食数記録!$F429="男性入所",食数記録!$D429="欠食"),1,0)</f>
        <v>0</v>
      </c>
      <c r="C429" s="0" t="str">
        <f aca="false">IF(B429=1,SUM($B$2:B429),"")</f>
        <v/>
      </c>
      <c r="D429" s="0" t="n">
        <f aca="false">IF(AND(食数記録!$A429=プレビュー!$C$3,食数記録!$B429="昼",食数記録!$F429="男性入所",食数記録!$D429="欠食"),1,0)</f>
        <v>0</v>
      </c>
      <c r="E429" s="0" t="str">
        <f aca="false">IF(D429=1,SUM($D$2:D429),"")</f>
        <v/>
      </c>
      <c r="F429" s="0" t="n">
        <f aca="false">IF(AND(食数記録!$A429=プレビュー!$C$3,食数記録!$B429="夕",食数記録!$F429="男性入所",食数記録!$D429="欠食"),1,0)</f>
        <v>0</v>
      </c>
      <c r="G429" s="0" t="str">
        <f aca="false">IF(F429=1,SUM($F$2:F429),"")</f>
        <v/>
      </c>
      <c r="H429" s="0" t="n">
        <f aca="false">IF(AND(食数記録!$A429=プレビュー!$C$3,食数記録!$B429="朝",食数記録!$F429="女性入所",食数記録!$D429="欠食"),1,0)</f>
        <v>0</v>
      </c>
      <c r="I429" s="0" t="str">
        <f aca="false">IF(H429=1,SUM($H$2:H429),"")</f>
        <v/>
      </c>
      <c r="J429" s="0" t="n">
        <f aca="false">IF(AND(食数記録!$A429=プレビュー!$C$3,食数記録!$B429="昼",食数記録!$F429="女性入所",食数記録!$D429="欠食"),1,0)</f>
        <v>0</v>
      </c>
      <c r="K429" s="0" t="str">
        <f aca="false">IF(J429=1,SUM($J$2:J429),"")</f>
        <v/>
      </c>
      <c r="L429" s="0" t="n">
        <f aca="false">IF(AND(食数記録!$A429=プレビュー!$C$3,食数記録!$B429="夕",食数記録!$F429="女性入所",食数記録!$D429="欠食"),1,0)</f>
        <v>0</v>
      </c>
      <c r="M429" s="0" t="str">
        <f aca="false">IF(L429=1,SUM($L$2:L429),"")</f>
        <v/>
      </c>
      <c r="N429" s="0" t="n">
        <f aca="false">IF(AND(食数記録!$A429=プレビュー!$C$3,食数記録!$B429="朝",食数記録!$F429="男性GH",食数記録!$D429="臨時喫食"),1,0)</f>
        <v>0</v>
      </c>
      <c r="O429" s="0" t="str">
        <f aca="false">IF(N429=1,SUM($N$2:N429),"")</f>
        <v/>
      </c>
      <c r="P429" s="0" t="n">
        <f aca="false">IF(AND(食数記録!$A429=プレビュー!$C$3,食数記録!$B429="昼",食数記録!$F429="男性GH",食数記録!$D429="臨時喫食"),1,0)</f>
        <v>0</v>
      </c>
      <c r="Q429" s="0" t="str">
        <f aca="false">IF(P429=1,SUM($P$2:P429),"")</f>
        <v/>
      </c>
      <c r="R429" s="0" t="n">
        <f aca="false">IF(AND(食数記録!$A429=プレビュー!$C$3,食数記録!$B429="夕",食数記録!$F429="男性GH",食数記録!$D429="臨時喫食"),1,0)</f>
        <v>0</v>
      </c>
      <c r="S429" s="0" t="str">
        <f aca="false">IF(R429=1,SUM($R$2:R429),"")</f>
        <v/>
      </c>
      <c r="T429" s="0" t="n">
        <f aca="false">IF(AND(食数記録!$A429=プレビュー!$C$3,食数記録!$B429="朝",食数記録!$F429="女性GH",食数記録!$D429="臨時喫食"),1,0)</f>
        <v>0</v>
      </c>
      <c r="U429" s="0" t="str">
        <f aca="false">IF(T429=1,SUM($T$2:T429),"")</f>
        <v/>
      </c>
      <c r="V429" s="0" t="n">
        <f aca="false">IF(AND(食数記録!$A429=プレビュー!$C$3,食数記録!$B429="昼",食数記録!$F429="女性GH",食数記録!$D429="臨時喫食"),1,0)</f>
        <v>0</v>
      </c>
      <c r="W429" s="0" t="str">
        <f aca="false">IF(V429=1,SUM($V$2:V429),"")</f>
        <v/>
      </c>
      <c r="X429" s="0" t="n">
        <f aca="false">IF(AND(食数記録!$A429=プレビュー!$C$3,食数記録!$B429="夕",食数記録!$F429="女性GH",食数記録!$D429="臨時喫食"),1,0)</f>
        <v>0</v>
      </c>
      <c r="Y429" s="0" t="str">
        <f aca="false">IF(X429=1,SUM($X$2:X429),"")</f>
        <v/>
      </c>
    </row>
    <row r="430" customFormat="false" ht="15" hidden="false" customHeight="false" outlineLevel="0" collapsed="false">
      <c r="B430" s="0" t="n">
        <f aca="false">IF(AND(食数記録!$A430=プレビュー!$C$3,食数記録!$B430="朝",食数記録!$F430="男性入所",食数記録!$D430="欠食"),1,0)</f>
        <v>0</v>
      </c>
      <c r="C430" s="0" t="str">
        <f aca="false">IF(B430=1,SUM($B$2:B430),"")</f>
        <v/>
      </c>
      <c r="D430" s="0" t="n">
        <f aca="false">IF(AND(食数記録!$A430=プレビュー!$C$3,食数記録!$B430="昼",食数記録!$F430="男性入所",食数記録!$D430="欠食"),1,0)</f>
        <v>0</v>
      </c>
      <c r="E430" s="0" t="str">
        <f aca="false">IF(D430=1,SUM($D$2:D430),"")</f>
        <v/>
      </c>
      <c r="F430" s="0" t="n">
        <f aca="false">IF(AND(食数記録!$A430=プレビュー!$C$3,食数記録!$B430="夕",食数記録!$F430="男性入所",食数記録!$D430="欠食"),1,0)</f>
        <v>0</v>
      </c>
      <c r="G430" s="0" t="str">
        <f aca="false">IF(F430=1,SUM($F$2:F430),"")</f>
        <v/>
      </c>
      <c r="H430" s="0" t="n">
        <f aca="false">IF(AND(食数記録!$A430=プレビュー!$C$3,食数記録!$B430="朝",食数記録!$F430="女性入所",食数記録!$D430="欠食"),1,0)</f>
        <v>0</v>
      </c>
      <c r="I430" s="0" t="str">
        <f aca="false">IF(H430=1,SUM($H$2:H430),"")</f>
        <v/>
      </c>
      <c r="J430" s="0" t="n">
        <f aca="false">IF(AND(食数記録!$A430=プレビュー!$C$3,食数記録!$B430="昼",食数記録!$F430="女性入所",食数記録!$D430="欠食"),1,0)</f>
        <v>0</v>
      </c>
      <c r="K430" s="0" t="str">
        <f aca="false">IF(J430=1,SUM($J$2:J430),"")</f>
        <v/>
      </c>
      <c r="L430" s="0" t="n">
        <f aca="false">IF(AND(食数記録!$A430=プレビュー!$C$3,食数記録!$B430="夕",食数記録!$F430="女性入所",食数記録!$D430="欠食"),1,0)</f>
        <v>0</v>
      </c>
      <c r="M430" s="0" t="str">
        <f aca="false">IF(L430=1,SUM($L$2:L430),"")</f>
        <v/>
      </c>
      <c r="N430" s="0" t="n">
        <f aca="false">IF(AND(食数記録!$A430=プレビュー!$C$3,食数記録!$B430="朝",食数記録!$F430="男性GH",食数記録!$D430="臨時喫食"),1,0)</f>
        <v>0</v>
      </c>
      <c r="O430" s="0" t="str">
        <f aca="false">IF(N430=1,SUM($N$2:N430),"")</f>
        <v/>
      </c>
      <c r="P430" s="0" t="n">
        <f aca="false">IF(AND(食数記録!$A430=プレビュー!$C$3,食数記録!$B430="昼",食数記録!$F430="男性GH",食数記録!$D430="臨時喫食"),1,0)</f>
        <v>0</v>
      </c>
      <c r="Q430" s="0" t="str">
        <f aca="false">IF(P430=1,SUM($P$2:P430),"")</f>
        <v/>
      </c>
      <c r="R430" s="0" t="n">
        <f aca="false">IF(AND(食数記録!$A430=プレビュー!$C$3,食数記録!$B430="夕",食数記録!$F430="男性GH",食数記録!$D430="臨時喫食"),1,0)</f>
        <v>0</v>
      </c>
      <c r="S430" s="0" t="str">
        <f aca="false">IF(R430=1,SUM($R$2:R430),"")</f>
        <v/>
      </c>
      <c r="T430" s="0" t="n">
        <f aca="false">IF(AND(食数記録!$A430=プレビュー!$C$3,食数記録!$B430="朝",食数記録!$F430="女性GH",食数記録!$D430="臨時喫食"),1,0)</f>
        <v>0</v>
      </c>
      <c r="U430" s="0" t="str">
        <f aca="false">IF(T430=1,SUM($T$2:T430),"")</f>
        <v/>
      </c>
      <c r="V430" s="0" t="n">
        <f aca="false">IF(AND(食数記録!$A430=プレビュー!$C$3,食数記録!$B430="昼",食数記録!$F430="女性GH",食数記録!$D430="臨時喫食"),1,0)</f>
        <v>0</v>
      </c>
      <c r="W430" s="0" t="str">
        <f aca="false">IF(V430=1,SUM($V$2:V430),"")</f>
        <v/>
      </c>
      <c r="X430" s="0" t="n">
        <f aca="false">IF(AND(食数記録!$A430=プレビュー!$C$3,食数記録!$B430="夕",食数記録!$F430="女性GH",食数記録!$D430="臨時喫食"),1,0)</f>
        <v>0</v>
      </c>
      <c r="Y430" s="0" t="str">
        <f aca="false">IF(X430=1,SUM($X$2:X430),"")</f>
        <v/>
      </c>
    </row>
    <row r="431" customFormat="false" ht="15" hidden="false" customHeight="false" outlineLevel="0" collapsed="false">
      <c r="B431" s="0" t="n">
        <f aca="false">IF(AND(食数記録!$A431=プレビュー!$C$3,食数記録!$B431="朝",食数記録!$F431="男性入所",食数記録!$D431="欠食"),1,0)</f>
        <v>0</v>
      </c>
      <c r="C431" s="0" t="str">
        <f aca="false">IF(B431=1,SUM($B$2:B431),"")</f>
        <v/>
      </c>
      <c r="D431" s="0" t="n">
        <f aca="false">IF(AND(食数記録!$A431=プレビュー!$C$3,食数記録!$B431="昼",食数記録!$F431="男性入所",食数記録!$D431="欠食"),1,0)</f>
        <v>0</v>
      </c>
      <c r="E431" s="0" t="str">
        <f aca="false">IF(D431=1,SUM($D$2:D431),"")</f>
        <v/>
      </c>
      <c r="F431" s="0" t="n">
        <f aca="false">IF(AND(食数記録!$A431=プレビュー!$C$3,食数記録!$B431="夕",食数記録!$F431="男性入所",食数記録!$D431="欠食"),1,0)</f>
        <v>0</v>
      </c>
      <c r="G431" s="0" t="str">
        <f aca="false">IF(F431=1,SUM($F$2:F431),"")</f>
        <v/>
      </c>
      <c r="H431" s="0" t="n">
        <f aca="false">IF(AND(食数記録!$A431=プレビュー!$C$3,食数記録!$B431="朝",食数記録!$F431="女性入所",食数記録!$D431="欠食"),1,0)</f>
        <v>0</v>
      </c>
      <c r="I431" s="0" t="str">
        <f aca="false">IF(H431=1,SUM($H$2:H431),"")</f>
        <v/>
      </c>
      <c r="J431" s="0" t="n">
        <f aca="false">IF(AND(食数記録!$A431=プレビュー!$C$3,食数記録!$B431="昼",食数記録!$F431="女性入所",食数記録!$D431="欠食"),1,0)</f>
        <v>0</v>
      </c>
      <c r="K431" s="0" t="str">
        <f aca="false">IF(J431=1,SUM($J$2:J431),"")</f>
        <v/>
      </c>
      <c r="L431" s="0" t="n">
        <f aca="false">IF(AND(食数記録!$A431=プレビュー!$C$3,食数記録!$B431="夕",食数記録!$F431="女性入所",食数記録!$D431="欠食"),1,0)</f>
        <v>0</v>
      </c>
      <c r="M431" s="0" t="str">
        <f aca="false">IF(L431=1,SUM($L$2:L431),"")</f>
        <v/>
      </c>
      <c r="N431" s="0" t="n">
        <f aca="false">IF(AND(食数記録!$A431=プレビュー!$C$3,食数記録!$B431="朝",食数記録!$F431="男性GH",食数記録!$D431="臨時喫食"),1,0)</f>
        <v>0</v>
      </c>
      <c r="O431" s="0" t="str">
        <f aca="false">IF(N431=1,SUM($N$2:N431),"")</f>
        <v/>
      </c>
      <c r="P431" s="0" t="n">
        <f aca="false">IF(AND(食数記録!$A431=プレビュー!$C$3,食数記録!$B431="昼",食数記録!$F431="男性GH",食数記録!$D431="臨時喫食"),1,0)</f>
        <v>0</v>
      </c>
      <c r="Q431" s="0" t="str">
        <f aca="false">IF(P431=1,SUM($P$2:P431),"")</f>
        <v/>
      </c>
      <c r="R431" s="0" t="n">
        <f aca="false">IF(AND(食数記録!$A431=プレビュー!$C$3,食数記録!$B431="夕",食数記録!$F431="男性GH",食数記録!$D431="臨時喫食"),1,0)</f>
        <v>0</v>
      </c>
      <c r="S431" s="0" t="str">
        <f aca="false">IF(R431=1,SUM($R$2:R431),"")</f>
        <v/>
      </c>
      <c r="T431" s="0" t="n">
        <f aca="false">IF(AND(食数記録!$A431=プレビュー!$C$3,食数記録!$B431="朝",食数記録!$F431="女性GH",食数記録!$D431="臨時喫食"),1,0)</f>
        <v>0</v>
      </c>
      <c r="U431" s="0" t="str">
        <f aca="false">IF(T431=1,SUM($T$2:T431),"")</f>
        <v/>
      </c>
      <c r="V431" s="0" t="n">
        <f aca="false">IF(AND(食数記録!$A431=プレビュー!$C$3,食数記録!$B431="昼",食数記録!$F431="女性GH",食数記録!$D431="臨時喫食"),1,0)</f>
        <v>0</v>
      </c>
      <c r="W431" s="0" t="str">
        <f aca="false">IF(V431=1,SUM($V$2:V431),"")</f>
        <v/>
      </c>
      <c r="X431" s="0" t="n">
        <f aca="false">IF(AND(食数記録!$A431=プレビュー!$C$3,食数記録!$B431="夕",食数記録!$F431="女性GH",食数記録!$D431="臨時喫食"),1,0)</f>
        <v>0</v>
      </c>
      <c r="Y431" s="0" t="str">
        <f aca="false">IF(X431=1,SUM($X$2:X431),"")</f>
        <v/>
      </c>
    </row>
    <row r="432" customFormat="false" ht="15" hidden="false" customHeight="false" outlineLevel="0" collapsed="false">
      <c r="B432" s="0" t="n">
        <f aca="false">IF(AND(食数記録!$A432=プレビュー!$C$3,食数記録!$B432="朝",食数記録!$F432="男性入所",食数記録!$D432="欠食"),1,0)</f>
        <v>0</v>
      </c>
      <c r="C432" s="0" t="str">
        <f aca="false">IF(B432=1,SUM($B$2:B432),"")</f>
        <v/>
      </c>
      <c r="D432" s="0" t="n">
        <f aca="false">IF(AND(食数記録!$A432=プレビュー!$C$3,食数記録!$B432="昼",食数記録!$F432="男性入所",食数記録!$D432="欠食"),1,0)</f>
        <v>0</v>
      </c>
      <c r="E432" s="0" t="str">
        <f aca="false">IF(D432=1,SUM($D$2:D432),"")</f>
        <v/>
      </c>
      <c r="F432" s="0" t="n">
        <f aca="false">IF(AND(食数記録!$A432=プレビュー!$C$3,食数記録!$B432="夕",食数記録!$F432="男性入所",食数記録!$D432="欠食"),1,0)</f>
        <v>0</v>
      </c>
      <c r="G432" s="0" t="str">
        <f aca="false">IF(F432=1,SUM($F$2:F432),"")</f>
        <v/>
      </c>
      <c r="H432" s="0" t="n">
        <f aca="false">IF(AND(食数記録!$A432=プレビュー!$C$3,食数記録!$B432="朝",食数記録!$F432="女性入所",食数記録!$D432="欠食"),1,0)</f>
        <v>0</v>
      </c>
      <c r="I432" s="0" t="str">
        <f aca="false">IF(H432=1,SUM($H$2:H432),"")</f>
        <v/>
      </c>
      <c r="J432" s="0" t="n">
        <f aca="false">IF(AND(食数記録!$A432=プレビュー!$C$3,食数記録!$B432="昼",食数記録!$F432="女性入所",食数記録!$D432="欠食"),1,0)</f>
        <v>0</v>
      </c>
      <c r="K432" s="0" t="str">
        <f aca="false">IF(J432=1,SUM($J$2:J432),"")</f>
        <v/>
      </c>
      <c r="L432" s="0" t="n">
        <f aca="false">IF(AND(食数記録!$A432=プレビュー!$C$3,食数記録!$B432="夕",食数記録!$F432="女性入所",食数記録!$D432="欠食"),1,0)</f>
        <v>0</v>
      </c>
      <c r="M432" s="0" t="str">
        <f aca="false">IF(L432=1,SUM($L$2:L432),"")</f>
        <v/>
      </c>
      <c r="N432" s="0" t="n">
        <f aca="false">IF(AND(食数記録!$A432=プレビュー!$C$3,食数記録!$B432="朝",食数記録!$F432="男性GH",食数記録!$D432="臨時喫食"),1,0)</f>
        <v>0</v>
      </c>
      <c r="O432" s="0" t="str">
        <f aca="false">IF(N432=1,SUM($N$2:N432),"")</f>
        <v/>
      </c>
      <c r="P432" s="0" t="n">
        <f aca="false">IF(AND(食数記録!$A432=プレビュー!$C$3,食数記録!$B432="昼",食数記録!$F432="男性GH",食数記録!$D432="臨時喫食"),1,0)</f>
        <v>0</v>
      </c>
      <c r="Q432" s="0" t="str">
        <f aca="false">IF(P432=1,SUM($P$2:P432),"")</f>
        <v/>
      </c>
      <c r="R432" s="0" t="n">
        <f aca="false">IF(AND(食数記録!$A432=プレビュー!$C$3,食数記録!$B432="夕",食数記録!$F432="男性GH",食数記録!$D432="臨時喫食"),1,0)</f>
        <v>0</v>
      </c>
      <c r="S432" s="0" t="str">
        <f aca="false">IF(R432=1,SUM($R$2:R432),"")</f>
        <v/>
      </c>
      <c r="T432" s="0" t="n">
        <f aca="false">IF(AND(食数記録!$A432=プレビュー!$C$3,食数記録!$B432="朝",食数記録!$F432="女性GH",食数記録!$D432="臨時喫食"),1,0)</f>
        <v>0</v>
      </c>
      <c r="U432" s="0" t="str">
        <f aca="false">IF(T432=1,SUM($T$2:T432),"")</f>
        <v/>
      </c>
      <c r="V432" s="0" t="n">
        <f aca="false">IF(AND(食数記録!$A432=プレビュー!$C$3,食数記録!$B432="昼",食数記録!$F432="女性GH",食数記録!$D432="臨時喫食"),1,0)</f>
        <v>0</v>
      </c>
      <c r="W432" s="0" t="str">
        <f aca="false">IF(V432=1,SUM($V$2:V432),"")</f>
        <v/>
      </c>
      <c r="X432" s="0" t="n">
        <f aca="false">IF(AND(食数記録!$A432=プレビュー!$C$3,食数記録!$B432="夕",食数記録!$F432="女性GH",食数記録!$D432="臨時喫食"),1,0)</f>
        <v>0</v>
      </c>
      <c r="Y432" s="0" t="str">
        <f aca="false">IF(X432=1,SUM($X$2:X432),"")</f>
        <v/>
      </c>
    </row>
    <row r="433" customFormat="false" ht="15" hidden="false" customHeight="false" outlineLevel="0" collapsed="false">
      <c r="B433" s="0" t="n">
        <f aca="false">IF(AND(食数記録!$A433=プレビュー!$C$3,食数記録!$B433="朝",食数記録!$F433="男性入所",食数記録!$D433="欠食"),1,0)</f>
        <v>0</v>
      </c>
      <c r="C433" s="0" t="str">
        <f aca="false">IF(B433=1,SUM($B$2:B433),"")</f>
        <v/>
      </c>
      <c r="D433" s="0" t="n">
        <f aca="false">IF(AND(食数記録!$A433=プレビュー!$C$3,食数記録!$B433="昼",食数記録!$F433="男性入所",食数記録!$D433="欠食"),1,0)</f>
        <v>0</v>
      </c>
      <c r="E433" s="0" t="str">
        <f aca="false">IF(D433=1,SUM($D$2:D433),"")</f>
        <v/>
      </c>
      <c r="F433" s="0" t="n">
        <f aca="false">IF(AND(食数記録!$A433=プレビュー!$C$3,食数記録!$B433="夕",食数記録!$F433="男性入所",食数記録!$D433="欠食"),1,0)</f>
        <v>0</v>
      </c>
      <c r="G433" s="0" t="str">
        <f aca="false">IF(F433=1,SUM($F$2:F433),"")</f>
        <v/>
      </c>
      <c r="H433" s="0" t="n">
        <f aca="false">IF(AND(食数記録!$A433=プレビュー!$C$3,食数記録!$B433="朝",食数記録!$F433="女性入所",食数記録!$D433="欠食"),1,0)</f>
        <v>0</v>
      </c>
      <c r="I433" s="0" t="str">
        <f aca="false">IF(H433=1,SUM($H$2:H433),"")</f>
        <v/>
      </c>
      <c r="J433" s="0" t="n">
        <f aca="false">IF(AND(食数記録!$A433=プレビュー!$C$3,食数記録!$B433="昼",食数記録!$F433="女性入所",食数記録!$D433="欠食"),1,0)</f>
        <v>0</v>
      </c>
      <c r="K433" s="0" t="str">
        <f aca="false">IF(J433=1,SUM($J$2:J433),"")</f>
        <v/>
      </c>
      <c r="L433" s="0" t="n">
        <f aca="false">IF(AND(食数記録!$A433=プレビュー!$C$3,食数記録!$B433="夕",食数記録!$F433="女性入所",食数記録!$D433="欠食"),1,0)</f>
        <v>0</v>
      </c>
      <c r="M433" s="0" t="str">
        <f aca="false">IF(L433=1,SUM($L$2:L433),"")</f>
        <v/>
      </c>
      <c r="N433" s="0" t="n">
        <f aca="false">IF(AND(食数記録!$A433=プレビュー!$C$3,食数記録!$B433="朝",食数記録!$F433="男性GH",食数記録!$D433="臨時喫食"),1,0)</f>
        <v>0</v>
      </c>
      <c r="O433" s="0" t="str">
        <f aca="false">IF(N433=1,SUM($N$2:N433),"")</f>
        <v/>
      </c>
      <c r="P433" s="0" t="n">
        <f aca="false">IF(AND(食数記録!$A433=プレビュー!$C$3,食数記録!$B433="昼",食数記録!$F433="男性GH",食数記録!$D433="臨時喫食"),1,0)</f>
        <v>0</v>
      </c>
      <c r="Q433" s="0" t="str">
        <f aca="false">IF(P433=1,SUM($P$2:P433),"")</f>
        <v/>
      </c>
      <c r="R433" s="0" t="n">
        <f aca="false">IF(AND(食数記録!$A433=プレビュー!$C$3,食数記録!$B433="夕",食数記録!$F433="男性GH",食数記録!$D433="臨時喫食"),1,0)</f>
        <v>0</v>
      </c>
      <c r="S433" s="0" t="str">
        <f aca="false">IF(R433=1,SUM($R$2:R433),"")</f>
        <v/>
      </c>
      <c r="T433" s="0" t="n">
        <f aca="false">IF(AND(食数記録!$A433=プレビュー!$C$3,食数記録!$B433="朝",食数記録!$F433="女性GH",食数記録!$D433="臨時喫食"),1,0)</f>
        <v>0</v>
      </c>
      <c r="U433" s="0" t="str">
        <f aca="false">IF(T433=1,SUM($T$2:T433),"")</f>
        <v/>
      </c>
      <c r="V433" s="0" t="n">
        <f aca="false">IF(AND(食数記録!$A433=プレビュー!$C$3,食数記録!$B433="昼",食数記録!$F433="女性GH",食数記録!$D433="臨時喫食"),1,0)</f>
        <v>0</v>
      </c>
      <c r="W433" s="0" t="str">
        <f aca="false">IF(V433=1,SUM($V$2:V433),"")</f>
        <v/>
      </c>
      <c r="X433" s="0" t="n">
        <f aca="false">IF(AND(食数記録!$A433=プレビュー!$C$3,食数記録!$B433="夕",食数記録!$F433="女性GH",食数記録!$D433="臨時喫食"),1,0)</f>
        <v>0</v>
      </c>
      <c r="Y433" s="0" t="str">
        <f aca="false">IF(X433=1,SUM($X$2:X433),"")</f>
        <v/>
      </c>
    </row>
    <row r="434" customFormat="false" ht="15" hidden="false" customHeight="false" outlineLevel="0" collapsed="false">
      <c r="B434" s="0" t="n">
        <f aca="false">IF(AND(食数記録!$A434=プレビュー!$C$3,食数記録!$B434="朝",食数記録!$F434="男性入所",食数記録!$D434="欠食"),1,0)</f>
        <v>0</v>
      </c>
      <c r="C434" s="0" t="str">
        <f aca="false">IF(B434=1,SUM($B$2:B434),"")</f>
        <v/>
      </c>
      <c r="D434" s="0" t="n">
        <f aca="false">IF(AND(食数記録!$A434=プレビュー!$C$3,食数記録!$B434="昼",食数記録!$F434="男性入所",食数記録!$D434="欠食"),1,0)</f>
        <v>0</v>
      </c>
      <c r="E434" s="0" t="str">
        <f aca="false">IF(D434=1,SUM($D$2:D434),"")</f>
        <v/>
      </c>
      <c r="F434" s="0" t="n">
        <f aca="false">IF(AND(食数記録!$A434=プレビュー!$C$3,食数記録!$B434="夕",食数記録!$F434="男性入所",食数記録!$D434="欠食"),1,0)</f>
        <v>0</v>
      </c>
      <c r="G434" s="0" t="str">
        <f aca="false">IF(F434=1,SUM($F$2:F434),"")</f>
        <v/>
      </c>
      <c r="H434" s="0" t="n">
        <f aca="false">IF(AND(食数記録!$A434=プレビュー!$C$3,食数記録!$B434="朝",食数記録!$F434="女性入所",食数記録!$D434="欠食"),1,0)</f>
        <v>0</v>
      </c>
      <c r="I434" s="0" t="str">
        <f aca="false">IF(H434=1,SUM($H$2:H434),"")</f>
        <v/>
      </c>
      <c r="J434" s="0" t="n">
        <f aca="false">IF(AND(食数記録!$A434=プレビュー!$C$3,食数記録!$B434="昼",食数記録!$F434="女性入所",食数記録!$D434="欠食"),1,0)</f>
        <v>0</v>
      </c>
      <c r="K434" s="0" t="str">
        <f aca="false">IF(J434=1,SUM($J$2:J434),"")</f>
        <v/>
      </c>
      <c r="L434" s="0" t="n">
        <f aca="false">IF(AND(食数記録!$A434=プレビュー!$C$3,食数記録!$B434="夕",食数記録!$F434="女性入所",食数記録!$D434="欠食"),1,0)</f>
        <v>0</v>
      </c>
      <c r="M434" s="0" t="str">
        <f aca="false">IF(L434=1,SUM($L$2:L434),"")</f>
        <v/>
      </c>
      <c r="N434" s="0" t="n">
        <f aca="false">IF(AND(食数記録!$A434=プレビュー!$C$3,食数記録!$B434="朝",食数記録!$F434="男性GH",食数記録!$D434="臨時喫食"),1,0)</f>
        <v>0</v>
      </c>
      <c r="O434" s="0" t="str">
        <f aca="false">IF(N434=1,SUM($N$2:N434),"")</f>
        <v/>
      </c>
      <c r="P434" s="0" t="n">
        <f aca="false">IF(AND(食数記録!$A434=プレビュー!$C$3,食数記録!$B434="昼",食数記録!$F434="男性GH",食数記録!$D434="臨時喫食"),1,0)</f>
        <v>0</v>
      </c>
      <c r="Q434" s="0" t="str">
        <f aca="false">IF(P434=1,SUM($P$2:P434),"")</f>
        <v/>
      </c>
      <c r="R434" s="0" t="n">
        <f aca="false">IF(AND(食数記録!$A434=プレビュー!$C$3,食数記録!$B434="夕",食数記録!$F434="男性GH",食数記録!$D434="臨時喫食"),1,0)</f>
        <v>0</v>
      </c>
      <c r="S434" s="0" t="str">
        <f aca="false">IF(R434=1,SUM($R$2:R434),"")</f>
        <v/>
      </c>
      <c r="T434" s="0" t="n">
        <f aca="false">IF(AND(食数記録!$A434=プレビュー!$C$3,食数記録!$B434="朝",食数記録!$F434="女性GH",食数記録!$D434="臨時喫食"),1,0)</f>
        <v>0</v>
      </c>
      <c r="U434" s="0" t="str">
        <f aca="false">IF(T434=1,SUM($T$2:T434),"")</f>
        <v/>
      </c>
      <c r="V434" s="0" t="n">
        <f aca="false">IF(AND(食数記録!$A434=プレビュー!$C$3,食数記録!$B434="昼",食数記録!$F434="女性GH",食数記録!$D434="臨時喫食"),1,0)</f>
        <v>0</v>
      </c>
      <c r="W434" s="0" t="str">
        <f aca="false">IF(V434=1,SUM($V$2:V434),"")</f>
        <v/>
      </c>
      <c r="X434" s="0" t="n">
        <f aca="false">IF(AND(食数記録!$A434=プレビュー!$C$3,食数記録!$B434="夕",食数記録!$F434="女性GH",食数記録!$D434="臨時喫食"),1,0)</f>
        <v>0</v>
      </c>
      <c r="Y434" s="0" t="str">
        <f aca="false">IF(X434=1,SUM($X$2:X434),"")</f>
        <v/>
      </c>
    </row>
    <row r="435" customFormat="false" ht="15" hidden="false" customHeight="false" outlineLevel="0" collapsed="false">
      <c r="B435" s="0" t="n">
        <f aca="false">IF(AND(食数記録!$A435=プレビュー!$C$3,食数記録!$B435="朝",食数記録!$F435="男性入所",食数記録!$D435="欠食"),1,0)</f>
        <v>0</v>
      </c>
      <c r="C435" s="0" t="str">
        <f aca="false">IF(B435=1,SUM($B$2:B435),"")</f>
        <v/>
      </c>
      <c r="D435" s="0" t="n">
        <f aca="false">IF(AND(食数記録!$A435=プレビュー!$C$3,食数記録!$B435="昼",食数記録!$F435="男性入所",食数記録!$D435="欠食"),1,0)</f>
        <v>0</v>
      </c>
      <c r="E435" s="0" t="str">
        <f aca="false">IF(D435=1,SUM($D$2:D435),"")</f>
        <v/>
      </c>
      <c r="F435" s="0" t="n">
        <f aca="false">IF(AND(食数記録!$A435=プレビュー!$C$3,食数記録!$B435="夕",食数記録!$F435="男性入所",食数記録!$D435="欠食"),1,0)</f>
        <v>0</v>
      </c>
      <c r="G435" s="0" t="str">
        <f aca="false">IF(F435=1,SUM($F$2:F435),"")</f>
        <v/>
      </c>
      <c r="H435" s="0" t="n">
        <f aca="false">IF(AND(食数記録!$A435=プレビュー!$C$3,食数記録!$B435="朝",食数記録!$F435="女性入所",食数記録!$D435="欠食"),1,0)</f>
        <v>0</v>
      </c>
      <c r="I435" s="0" t="str">
        <f aca="false">IF(H435=1,SUM($H$2:H435),"")</f>
        <v/>
      </c>
      <c r="J435" s="0" t="n">
        <f aca="false">IF(AND(食数記録!$A435=プレビュー!$C$3,食数記録!$B435="昼",食数記録!$F435="女性入所",食数記録!$D435="欠食"),1,0)</f>
        <v>0</v>
      </c>
      <c r="K435" s="0" t="str">
        <f aca="false">IF(J435=1,SUM($J$2:J435),"")</f>
        <v/>
      </c>
      <c r="L435" s="0" t="n">
        <f aca="false">IF(AND(食数記録!$A435=プレビュー!$C$3,食数記録!$B435="夕",食数記録!$F435="女性入所",食数記録!$D435="欠食"),1,0)</f>
        <v>0</v>
      </c>
      <c r="M435" s="0" t="str">
        <f aca="false">IF(L435=1,SUM($L$2:L435),"")</f>
        <v/>
      </c>
      <c r="N435" s="0" t="n">
        <f aca="false">IF(AND(食数記録!$A435=プレビュー!$C$3,食数記録!$B435="朝",食数記録!$F435="男性GH",食数記録!$D435="臨時喫食"),1,0)</f>
        <v>0</v>
      </c>
      <c r="O435" s="0" t="str">
        <f aca="false">IF(N435=1,SUM($N$2:N435),"")</f>
        <v/>
      </c>
      <c r="P435" s="0" t="n">
        <f aca="false">IF(AND(食数記録!$A435=プレビュー!$C$3,食数記録!$B435="昼",食数記録!$F435="男性GH",食数記録!$D435="臨時喫食"),1,0)</f>
        <v>0</v>
      </c>
      <c r="Q435" s="0" t="str">
        <f aca="false">IF(P435=1,SUM($P$2:P435),"")</f>
        <v/>
      </c>
      <c r="R435" s="0" t="n">
        <f aca="false">IF(AND(食数記録!$A435=プレビュー!$C$3,食数記録!$B435="夕",食数記録!$F435="男性GH",食数記録!$D435="臨時喫食"),1,0)</f>
        <v>0</v>
      </c>
      <c r="S435" s="0" t="str">
        <f aca="false">IF(R435=1,SUM($R$2:R435),"")</f>
        <v/>
      </c>
      <c r="T435" s="0" t="n">
        <f aca="false">IF(AND(食数記録!$A435=プレビュー!$C$3,食数記録!$B435="朝",食数記録!$F435="女性GH",食数記録!$D435="臨時喫食"),1,0)</f>
        <v>0</v>
      </c>
      <c r="U435" s="0" t="str">
        <f aca="false">IF(T435=1,SUM($T$2:T435),"")</f>
        <v/>
      </c>
      <c r="V435" s="0" t="n">
        <f aca="false">IF(AND(食数記録!$A435=プレビュー!$C$3,食数記録!$B435="昼",食数記録!$F435="女性GH",食数記録!$D435="臨時喫食"),1,0)</f>
        <v>0</v>
      </c>
      <c r="W435" s="0" t="str">
        <f aca="false">IF(V435=1,SUM($V$2:V435),"")</f>
        <v/>
      </c>
      <c r="X435" s="0" t="n">
        <f aca="false">IF(AND(食数記録!$A435=プレビュー!$C$3,食数記録!$B435="夕",食数記録!$F435="女性GH",食数記録!$D435="臨時喫食"),1,0)</f>
        <v>0</v>
      </c>
      <c r="Y435" s="0" t="str">
        <f aca="false">IF(X435=1,SUM($X$2:X435),"")</f>
        <v/>
      </c>
    </row>
    <row r="436" customFormat="false" ht="15" hidden="false" customHeight="false" outlineLevel="0" collapsed="false">
      <c r="B436" s="0" t="n">
        <f aca="false">IF(AND(食数記録!$A436=プレビュー!$C$3,食数記録!$B436="朝",食数記録!$F436="男性入所",食数記録!$D436="欠食"),1,0)</f>
        <v>0</v>
      </c>
      <c r="C436" s="0" t="str">
        <f aca="false">IF(B436=1,SUM($B$2:B436),"")</f>
        <v/>
      </c>
      <c r="D436" s="0" t="n">
        <f aca="false">IF(AND(食数記録!$A436=プレビュー!$C$3,食数記録!$B436="昼",食数記録!$F436="男性入所",食数記録!$D436="欠食"),1,0)</f>
        <v>0</v>
      </c>
      <c r="E436" s="0" t="str">
        <f aca="false">IF(D436=1,SUM($D$2:D436),"")</f>
        <v/>
      </c>
      <c r="F436" s="0" t="n">
        <f aca="false">IF(AND(食数記録!$A436=プレビュー!$C$3,食数記録!$B436="夕",食数記録!$F436="男性入所",食数記録!$D436="欠食"),1,0)</f>
        <v>0</v>
      </c>
      <c r="G436" s="0" t="str">
        <f aca="false">IF(F436=1,SUM($F$2:F436),"")</f>
        <v/>
      </c>
      <c r="H436" s="0" t="n">
        <f aca="false">IF(AND(食数記録!$A436=プレビュー!$C$3,食数記録!$B436="朝",食数記録!$F436="女性入所",食数記録!$D436="欠食"),1,0)</f>
        <v>0</v>
      </c>
      <c r="I436" s="0" t="str">
        <f aca="false">IF(H436=1,SUM($H$2:H436),"")</f>
        <v/>
      </c>
      <c r="J436" s="0" t="n">
        <f aca="false">IF(AND(食数記録!$A436=プレビュー!$C$3,食数記録!$B436="昼",食数記録!$F436="女性入所",食数記録!$D436="欠食"),1,0)</f>
        <v>0</v>
      </c>
      <c r="K436" s="0" t="str">
        <f aca="false">IF(J436=1,SUM($J$2:J436),"")</f>
        <v/>
      </c>
      <c r="L436" s="0" t="n">
        <f aca="false">IF(AND(食数記録!$A436=プレビュー!$C$3,食数記録!$B436="夕",食数記録!$F436="女性入所",食数記録!$D436="欠食"),1,0)</f>
        <v>0</v>
      </c>
      <c r="M436" s="0" t="str">
        <f aca="false">IF(L436=1,SUM($L$2:L436),"")</f>
        <v/>
      </c>
      <c r="N436" s="0" t="n">
        <f aca="false">IF(AND(食数記録!$A436=プレビュー!$C$3,食数記録!$B436="朝",食数記録!$F436="男性GH",食数記録!$D436="臨時喫食"),1,0)</f>
        <v>0</v>
      </c>
      <c r="O436" s="0" t="str">
        <f aca="false">IF(N436=1,SUM($N$2:N436),"")</f>
        <v/>
      </c>
      <c r="P436" s="0" t="n">
        <f aca="false">IF(AND(食数記録!$A436=プレビュー!$C$3,食数記録!$B436="昼",食数記録!$F436="男性GH",食数記録!$D436="臨時喫食"),1,0)</f>
        <v>0</v>
      </c>
      <c r="Q436" s="0" t="str">
        <f aca="false">IF(P436=1,SUM($P$2:P436),"")</f>
        <v/>
      </c>
      <c r="R436" s="0" t="n">
        <f aca="false">IF(AND(食数記録!$A436=プレビュー!$C$3,食数記録!$B436="夕",食数記録!$F436="男性GH",食数記録!$D436="臨時喫食"),1,0)</f>
        <v>0</v>
      </c>
      <c r="S436" s="0" t="str">
        <f aca="false">IF(R436=1,SUM($R$2:R436),"")</f>
        <v/>
      </c>
      <c r="T436" s="0" t="n">
        <f aca="false">IF(AND(食数記録!$A436=プレビュー!$C$3,食数記録!$B436="朝",食数記録!$F436="女性GH",食数記録!$D436="臨時喫食"),1,0)</f>
        <v>0</v>
      </c>
      <c r="U436" s="0" t="str">
        <f aca="false">IF(T436=1,SUM($T$2:T436),"")</f>
        <v/>
      </c>
      <c r="V436" s="0" t="n">
        <f aca="false">IF(AND(食数記録!$A436=プレビュー!$C$3,食数記録!$B436="昼",食数記録!$F436="女性GH",食数記録!$D436="臨時喫食"),1,0)</f>
        <v>0</v>
      </c>
      <c r="W436" s="0" t="str">
        <f aca="false">IF(V436=1,SUM($V$2:V436),"")</f>
        <v/>
      </c>
      <c r="X436" s="0" t="n">
        <f aca="false">IF(AND(食数記録!$A436=プレビュー!$C$3,食数記録!$B436="夕",食数記録!$F436="女性GH",食数記録!$D436="臨時喫食"),1,0)</f>
        <v>0</v>
      </c>
      <c r="Y436" s="0" t="str">
        <f aca="false">IF(X436=1,SUM($X$2:X436),"")</f>
        <v/>
      </c>
    </row>
    <row r="437" customFormat="false" ht="15" hidden="false" customHeight="false" outlineLevel="0" collapsed="false">
      <c r="B437" s="0" t="n">
        <f aca="false">IF(AND(食数記録!$A437=プレビュー!$C$3,食数記録!$B437="朝",食数記録!$F437="男性入所",食数記録!$D437="欠食"),1,0)</f>
        <v>0</v>
      </c>
      <c r="C437" s="0" t="str">
        <f aca="false">IF(B437=1,SUM($B$2:B437),"")</f>
        <v/>
      </c>
      <c r="D437" s="0" t="n">
        <f aca="false">IF(AND(食数記録!$A437=プレビュー!$C$3,食数記録!$B437="昼",食数記録!$F437="男性入所",食数記録!$D437="欠食"),1,0)</f>
        <v>0</v>
      </c>
      <c r="E437" s="0" t="str">
        <f aca="false">IF(D437=1,SUM($D$2:D437),"")</f>
        <v/>
      </c>
      <c r="F437" s="0" t="n">
        <f aca="false">IF(AND(食数記録!$A437=プレビュー!$C$3,食数記録!$B437="夕",食数記録!$F437="男性入所",食数記録!$D437="欠食"),1,0)</f>
        <v>0</v>
      </c>
      <c r="G437" s="0" t="str">
        <f aca="false">IF(F437=1,SUM($F$2:F437),"")</f>
        <v/>
      </c>
      <c r="H437" s="0" t="n">
        <f aca="false">IF(AND(食数記録!$A437=プレビュー!$C$3,食数記録!$B437="朝",食数記録!$F437="女性入所",食数記録!$D437="欠食"),1,0)</f>
        <v>0</v>
      </c>
      <c r="I437" s="0" t="str">
        <f aca="false">IF(H437=1,SUM($H$2:H437),"")</f>
        <v/>
      </c>
      <c r="J437" s="0" t="n">
        <f aca="false">IF(AND(食数記録!$A437=プレビュー!$C$3,食数記録!$B437="昼",食数記録!$F437="女性入所",食数記録!$D437="欠食"),1,0)</f>
        <v>0</v>
      </c>
      <c r="K437" s="0" t="str">
        <f aca="false">IF(J437=1,SUM($J$2:J437),"")</f>
        <v/>
      </c>
      <c r="L437" s="0" t="n">
        <f aca="false">IF(AND(食数記録!$A437=プレビュー!$C$3,食数記録!$B437="夕",食数記録!$F437="女性入所",食数記録!$D437="欠食"),1,0)</f>
        <v>0</v>
      </c>
      <c r="M437" s="0" t="str">
        <f aca="false">IF(L437=1,SUM($L$2:L437),"")</f>
        <v/>
      </c>
      <c r="N437" s="0" t="n">
        <f aca="false">IF(AND(食数記録!$A437=プレビュー!$C$3,食数記録!$B437="朝",食数記録!$F437="男性GH",食数記録!$D437="臨時喫食"),1,0)</f>
        <v>0</v>
      </c>
      <c r="O437" s="0" t="str">
        <f aca="false">IF(N437=1,SUM($N$2:N437),"")</f>
        <v/>
      </c>
      <c r="P437" s="0" t="n">
        <f aca="false">IF(AND(食数記録!$A437=プレビュー!$C$3,食数記録!$B437="昼",食数記録!$F437="男性GH",食数記録!$D437="臨時喫食"),1,0)</f>
        <v>0</v>
      </c>
      <c r="Q437" s="0" t="str">
        <f aca="false">IF(P437=1,SUM($P$2:P437),"")</f>
        <v/>
      </c>
      <c r="R437" s="0" t="n">
        <f aca="false">IF(AND(食数記録!$A437=プレビュー!$C$3,食数記録!$B437="夕",食数記録!$F437="男性GH",食数記録!$D437="臨時喫食"),1,0)</f>
        <v>0</v>
      </c>
      <c r="S437" s="0" t="str">
        <f aca="false">IF(R437=1,SUM($R$2:R437),"")</f>
        <v/>
      </c>
      <c r="T437" s="0" t="n">
        <f aca="false">IF(AND(食数記録!$A437=プレビュー!$C$3,食数記録!$B437="朝",食数記録!$F437="女性GH",食数記録!$D437="臨時喫食"),1,0)</f>
        <v>0</v>
      </c>
      <c r="U437" s="0" t="str">
        <f aca="false">IF(T437=1,SUM($T$2:T437),"")</f>
        <v/>
      </c>
      <c r="V437" s="0" t="n">
        <f aca="false">IF(AND(食数記録!$A437=プレビュー!$C$3,食数記録!$B437="昼",食数記録!$F437="女性GH",食数記録!$D437="臨時喫食"),1,0)</f>
        <v>0</v>
      </c>
      <c r="W437" s="0" t="str">
        <f aca="false">IF(V437=1,SUM($V$2:V437),"")</f>
        <v/>
      </c>
      <c r="X437" s="0" t="n">
        <f aca="false">IF(AND(食数記録!$A437=プレビュー!$C$3,食数記録!$B437="夕",食数記録!$F437="女性GH",食数記録!$D437="臨時喫食"),1,0)</f>
        <v>0</v>
      </c>
      <c r="Y437" s="0" t="str">
        <f aca="false">IF(X437=1,SUM($X$2:X437),"")</f>
        <v/>
      </c>
    </row>
    <row r="438" customFormat="false" ht="15" hidden="false" customHeight="false" outlineLevel="0" collapsed="false">
      <c r="B438" s="0" t="n">
        <f aca="false">IF(AND(食数記録!$A438=プレビュー!$C$3,食数記録!$B438="朝",食数記録!$F438="男性入所",食数記録!$D438="欠食"),1,0)</f>
        <v>0</v>
      </c>
      <c r="C438" s="0" t="str">
        <f aca="false">IF(B438=1,SUM($B$2:B438),"")</f>
        <v/>
      </c>
      <c r="D438" s="0" t="n">
        <f aca="false">IF(AND(食数記録!$A438=プレビュー!$C$3,食数記録!$B438="昼",食数記録!$F438="男性入所",食数記録!$D438="欠食"),1,0)</f>
        <v>0</v>
      </c>
      <c r="E438" s="0" t="str">
        <f aca="false">IF(D438=1,SUM($D$2:D438),"")</f>
        <v/>
      </c>
      <c r="F438" s="0" t="n">
        <f aca="false">IF(AND(食数記録!$A438=プレビュー!$C$3,食数記録!$B438="夕",食数記録!$F438="男性入所",食数記録!$D438="欠食"),1,0)</f>
        <v>0</v>
      </c>
      <c r="G438" s="0" t="str">
        <f aca="false">IF(F438=1,SUM($F$2:F438),"")</f>
        <v/>
      </c>
      <c r="H438" s="0" t="n">
        <f aca="false">IF(AND(食数記録!$A438=プレビュー!$C$3,食数記録!$B438="朝",食数記録!$F438="女性入所",食数記録!$D438="欠食"),1,0)</f>
        <v>0</v>
      </c>
      <c r="I438" s="0" t="str">
        <f aca="false">IF(H438=1,SUM($H$2:H438),"")</f>
        <v/>
      </c>
      <c r="J438" s="0" t="n">
        <f aca="false">IF(AND(食数記録!$A438=プレビュー!$C$3,食数記録!$B438="昼",食数記録!$F438="女性入所",食数記録!$D438="欠食"),1,0)</f>
        <v>0</v>
      </c>
      <c r="K438" s="0" t="str">
        <f aca="false">IF(J438=1,SUM($J$2:J438),"")</f>
        <v/>
      </c>
      <c r="L438" s="0" t="n">
        <f aca="false">IF(AND(食数記録!$A438=プレビュー!$C$3,食数記録!$B438="夕",食数記録!$F438="女性入所",食数記録!$D438="欠食"),1,0)</f>
        <v>0</v>
      </c>
      <c r="M438" s="0" t="str">
        <f aca="false">IF(L438=1,SUM($L$2:L438),"")</f>
        <v/>
      </c>
      <c r="N438" s="0" t="n">
        <f aca="false">IF(AND(食数記録!$A438=プレビュー!$C$3,食数記録!$B438="朝",食数記録!$F438="男性GH",食数記録!$D438="臨時喫食"),1,0)</f>
        <v>0</v>
      </c>
      <c r="O438" s="0" t="str">
        <f aca="false">IF(N438=1,SUM($N$2:N438),"")</f>
        <v/>
      </c>
      <c r="P438" s="0" t="n">
        <f aca="false">IF(AND(食数記録!$A438=プレビュー!$C$3,食数記録!$B438="昼",食数記録!$F438="男性GH",食数記録!$D438="臨時喫食"),1,0)</f>
        <v>0</v>
      </c>
      <c r="Q438" s="0" t="str">
        <f aca="false">IF(P438=1,SUM($P$2:P438),"")</f>
        <v/>
      </c>
      <c r="R438" s="0" t="n">
        <f aca="false">IF(AND(食数記録!$A438=プレビュー!$C$3,食数記録!$B438="夕",食数記録!$F438="男性GH",食数記録!$D438="臨時喫食"),1,0)</f>
        <v>0</v>
      </c>
      <c r="S438" s="0" t="str">
        <f aca="false">IF(R438=1,SUM($R$2:R438),"")</f>
        <v/>
      </c>
      <c r="T438" s="0" t="n">
        <f aca="false">IF(AND(食数記録!$A438=プレビュー!$C$3,食数記録!$B438="朝",食数記録!$F438="女性GH",食数記録!$D438="臨時喫食"),1,0)</f>
        <v>0</v>
      </c>
      <c r="U438" s="0" t="str">
        <f aca="false">IF(T438=1,SUM($T$2:T438),"")</f>
        <v/>
      </c>
      <c r="V438" s="0" t="n">
        <f aca="false">IF(AND(食数記録!$A438=プレビュー!$C$3,食数記録!$B438="昼",食数記録!$F438="女性GH",食数記録!$D438="臨時喫食"),1,0)</f>
        <v>0</v>
      </c>
      <c r="W438" s="0" t="str">
        <f aca="false">IF(V438=1,SUM($V$2:V438),"")</f>
        <v/>
      </c>
      <c r="X438" s="0" t="n">
        <f aca="false">IF(AND(食数記録!$A438=プレビュー!$C$3,食数記録!$B438="夕",食数記録!$F438="女性GH",食数記録!$D438="臨時喫食"),1,0)</f>
        <v>0</v>
      </c>
      <c r="Y438" s="0" t="str">
        <f aca="false">IF(X438=1,SUM($X$2:X438),"")</f>
        <v/>
      </c>
    </row>
    <row r="439" customFormat="false" ht="15" hidden="false" customHeight="false" outlineLevel="0" collapsed="false">
      <c r="B439" s="0" t="n">
        <f aca="false">IF(AND(食数記録!$A439=プレビュー!$C$3,食数記録!$B439="朝",食数記録!$F439="男性入所",食数記録!$D439="欠食"),1,0)</f>
        <v>0</v>
      </c>
      <c r="C439" s="0" t="str">
        <f aca="false">IF(B439=1,SUM($B$2:B439),"")</f>
        <v/>
      </c>
      <c r="D439" s="0" t="n">
        <f aca="false">IF(AND(食数記録!$A439=プレビュー!$C$3,食数記録!$B439="昼",食数記録!$F439="男性入所",食数記録!$D439="欠食"),1,0)</f>
        <v>0</v>
      </c>
      <c r="E439" s="0" t="str">
        <f aca="false">IF(D439=1,SUM($D$2:D439),"")</f>
        <v/>
      </c>
      <c r="F439" s="0" t="n">
        <f aca="false">IF(AND(食数記録!$A439=プレビュー!$C$3,食数記録!$B439="夕",食数記録!$F439="男性入所",食数記録!$D439="欠食"),1,0)</f>
        <v>0</v>
      </c>
      <c r="G439" s="0" t="str">
        <f aca="false">IF(F439=1,SUM($F$2:F439),"")</f>
        <v/>
      </c>
      <c r="H439" s="0" t="n">
        <f aca="false">IF(AND(食数記録!$A439=プレビュー!$C$3,食数記録!$B439="朝",食数記録!$F439="女性入所",食数記録!$D439="欠食"),1,0)</f>
        <v>0</v>
      </c>
      <c r="I439" s="0" t="str">
        <f aca="false">IF(H439=1,SUM($H$2:H439),"")</f>
        <v/>
      </c>
      <c r="J439" s="0" t="n">
        <f aca="false">IF(AND(食数記録!$A439=プレビュー!$C$3,食数記録!$B439="昼",食数記録!$F439="女性入所",食数記録!$D439="欠食"),1,0)</f>
        <v>0</v>
      </c>
      <c r="K439" s="0" t="str">
        <f aca="false">IF(J439=1,SUM($J$2:J439),"")</f>
        <v/>
      </c>
      <c r="L439" s="0" t="n">
        <f aca="false">IF(AND(食数記録!$A439=プレビュー!$C$3,食数記録!$B439="夕",食数記録!$F439="女性入所",食数記録!$D439="欠食"),1,0)</f>
        <v>0</v>
      </c>
      <c r="M439" s="0" t="str">
        <f aca="false">IF(L439=1,SUM($L$2:L439),"")</f>
        <v/>
      </c>
      <c r="N439" s="0" t="n">
        <f aca="false">IF(AND(食数記録!$A439=プレビュー!$C$3,食数記録!$B439="朝",食数記録!$F439="男性GH",食数記録!$D439="臨時喫食"),1,0)</f>
        <v>0</v>
      </c>
      <c r="O439" s="0" t="str">
        <f aca="false">IF(N439=1,SUM($N$2:N439),"")</f>
        <v/>
      </c>
      <c r="P439" s="0" t="n">
        <f aca="false">IF(AND(食数記録!$A439=プレビュー!$C$3,食数記録!$B439="昼",食数記録!$F439="男性GH",食数記録!$D439="臨時喫食"),1,0)</f>
        <v>0</v>
      </c>
      <c r="Q439" s="0" t="str">
        <f aca="false">IF(P439=1,SUM($P$2:P439),"")</f>
        <v/>
      </c>
      <c r="R439" s="0" t="n">
        <f aca="false">IF(AND(食数記録!$A439=プレビュー!$C$3,食数記録!$B439="夕",食数記録!$F439="男性GH",食数記録!$D439="臨時喫食"),1,0)</f>
        <v>0</v>
      </c>
      <c r="S439" s="0" t="str">
        <f aca="false">IF(R439=1,SUM($R$2:R439),"")</f>
        <v/>
      </c>
      <c r="T439" s="0" t="n">
        <f aca="false">IF(AND(食数記録!$A439=プレビュー!$C$3,食数記録!$B439="朝",食数記録!$F439="女性GH",食数記録!$D439="臨時喫食"),1,0)</f>
        <v>0</v>
      </c>
      <c r="U439" s="0" t="str">
        <f aca="false">IF(T439=1,SUM($T$2:T439),"")</f>
        <v/>
      </c>
      <c r="V439" s="0" t="n">
        <f aca="false">IF(AND(食数記録!$A439=プレビュー!$C$3,食数記録!$B439="昼",食数記録!$F439="女性GH",食数記録!$D439="臨時喫食"),1,0)</f>
        <v>0</v>
      </c>
      <c r="W439" s="0" t="str">
        <f aca="false">IF(V439=1,SUM($V$2:V439),"")</f>
        <v/>
      </c>
      <c r="X439" s="0" t="n">
        <f aca="false">IF(AND(食数記録!$A439=プレビュー!$C$3,食数記録!$B439="夕",食数記録!$F439="女性GH",食数記録!$D439="臨時喫食"),1,0)</f>
        <v>0</v>
      </c>
      <c r="Y439" s="0" t="str">
        <f aca="false">IF(X439=1,SUM($X$2:X439),"")</f>
        <v/>
      </c>
    </row>
    <row r="440" customFormat="false" ht="15" hidden="false" customHeight="false" outlineLevel="0" collapsed="false">
      <c r="B440" s="0" t="n">
        <f aca="false">IF(AND(食数記録!$A440=プレビュー!$C$3,食数記録!$B440="朝",食数記録!$F440="男性入所",食数記録!$D440="欠食"),1,0)</f>
        <v>0</v>
      </c>
      <c r="C440" s="0" t="str">
        <f aca="false">IF(B440=1,SUM($B$2:B440),"")</f>
        <v/>
      </c>
      <c r="D440" s="0" t="n">
        <f aca="false">IF(AND(食数記録!$A440=プレビュー!$C$3,食数記録!$B440="昼",食数記録!$F440="男性入所",食数記録!$D440="欠食"),1,0)</f>
        <v>0</v>
      </c>
      <c r="E440" s="0" t="str">
        <f aca="false">IF(D440=1,SUM($D$2:D440),"")</f>
        <v/>
      </c>
      <c r="F440" s="0" t="n">
        <f aca="false">IF(AND(食数記録!$A440=プレビュー!$C$3,食数記録!$B440="夕",食数記録!$F440="男性入所",食数記録!$D440="欠食"),1,0)</f>
        <v>0</v>
      </c>
      <c r="G440" s="0" t="str">
        <f aca="false">IF(F440=1,SUM($F$2:F440),"")</f>
        <v/>
      </c>
      <c r="H440" s="0" t="n">
        <f aca="false">IF(AND(食数記録!$A440=プレビュー!$C$3,食数記録!$B440="朝",食数記録!$F440="女性入所",食数記録!$D440="欠食"),1,0)</f>
        <v>0</v>
      </c>
      <c r="I440" s="0" t="str">
        <f aca="false">IF(H440=1,SUM($H$2:H440),"")</f>
        <v/>
      </c>
      <c r="J440" s="0" t="n">
        <f aca="false">IF(AND(食数記録!$A440=プレビュー!$C$3,食数記録!$B440="昼",食数記録!$F440="女性入所",食数記録!$D440="欠食"),1,0)</f>
        <v>0</v>
      </c>
      <c r="K440" s="0" t="str">
        <f aca="false">IF(J440=1,SUM($J$2:J440),"")</f>
        <v/>
      </c>
      <c r="L440" s="0" t="n">
        <f aca="false">IF(AND(食数記録!$A440=プレビュー!$C$3,食数記録!$B440="夕",食数記録!$F440="女性入所",食数記録!$D440="欠食"),1,0)</f>
        <v>0</v>
      </c>
      <c r="M440" s="0" t="str">
        <f aca="false">IF(L440=1,SUM($L$2:L440),"")</f>
        <v/>
      </c>
      <c r="N440" s="0" t="n">
        <f aca="false">IF(AND(食数記録!$A440=プレビュー!$C$3,食数記録!$B440="朝",食数記録!$F440="男性GH",食数記録!$D440="臨時喫食"),1,0)</f>
        <v>0</v>
      </c>
      <c r="O440" s="0" t="str">
        <f aca="false">IF(N440=1,SUM($N$2:N440),"")</f>
        <v/>
      </c>
      <c r="P440" s="0" t="n">
        <f aca="false">IF(AND(食数記録!$A440=プレビュー!$C$3,食数記録!$B440="昼",食数記録!$F440="男性GH",食数記録!$D440="臨時喫食"),1,0)</f>
        <v>0</v>
      </c>
      <c r="Q440" s="0" t="str">
        <f aca="false">IF(P440=1,SUM($P$2:P440),"")</f>
        <v/>
      </c>
      <c r="R440" s="0" t="n">
        <f aca="false">IF(AND(食数記録!$A440=プレビュー!$C$3,食数記録!$B440="夕",食数記録!$F440="男性GH",食数記録!$D440="臨時喫食"),1,0)</f>
        <v>0</v>
      </c>
      <c r="S440" s="0" t="str">
        <f aca="false">IF(R440=1,SUM($R$2:R440),"")</f>
        <v/>
      </c>
      <c r="T440" s="0" t="n">
        <f aca="false">IF(AND(食数記録!$A440=プレビュー!$C$3,食数記録!$B440="朝",食数記録!$F440="女性GH",食数記録!$D440="臨時喫食"),1,0)</f>
        <v>0</v>
      </c>
      <c r="U440" s="0" t="str">
        <f aca="false">IF(T440=1,SUM($T$2:T440),"")</f>
        <v/>
      </c>
      <c r="V440" s="0" t="n">
        <f aca="false">IF(AND(食数記録!$A440=プレビュー!$C$3,食数記録!$B440="昼",食数記録!$F440="女性GH",食数記録!$D440="臨時喫食"),1,0)</f>
        <v>0</v>
      </c>
      <c r="W440" s="0" t="str">
        <f aca="false">IF(V440=1,SUM($V$2:V440),"")</f>
        <v/>
      </c>
      <c r="X440" s="0" t="n">
        <f aca="false">IF(AND(食数記録!$A440=プレビュー!$C$3,食数記録!$B440="夕",食数記録!$F440="女性GH",食数記録!$D440="臨時喫食"),1,0)</f>
        <v>0</v>
      </c>
      <c r="Y440" s="0" t="str">
        <f aca="false">IF(X440=1,SUM($X$2:X440),"")</f>
        <v/>
      </c>
    </row>
    <row r="441" customFormat="false" ht="15" hidden="false" customHeight="false" outlineLevel="0" collapsed="false">
      <c r="B441" s="0" t="n">
        <f aca="false">IF(AND(食数記録!$A441=プレビュー!$C$3,食数記録!$B441="朝",食数記録!$F441="男性入所",食数記録!$D441="欠食"),1,0)</f>
        <v>0</v>
      </c>
      <c r="C441" s="0" t="str">
        <f aca="false">IF(B441=1,SUM($B$2:B441),"")</f>
        <v/>
      </c>
      <c r="D441" s="0" t="n">
        <f aca="false">IF(AND(食数記録!$A441=プレビュー!$C$3,食数記録!$B441="昼",食数記録!$F441="男性入所",食数記録!$D441="欠食"),1,0)</f>
        <v>0</v>
      </c>
      <c r="E441" s="0" t="str">
        <f aca="false">IF(D441=1,SUM($D$2:D441),"")</f>
        <v/>
      </c>
      <c r="F441" s="0" t="n">
        <f aca="false">IF(AND(食数記録!$A441=プレビュー!$C$3,食数記録!$B441="夕",食数記録!$F441="男性入所",食数記録!$D441="欠食"),1,0)</f>
        <v>0</v>
      </c>
      <c r="G441" s="0" t="str">
        <f aca="false">IF(F441=1,SUM($F$2:F441),"")</f>
        <v/>
      </c>
      <c r="H441" s="0" t="n">
        <f aca="false">IF(AND(食数記録!$A441=プレビュー!$C$3,食数記録!$B441="朝",食数記録!$F441="女性入所",食数記録!$D441="欠食"),1,0)</f>
        <v>0</v>
      </c>
      <c r="I441" s="0" t="str">
        <f aca="false">IF(H441=1,SUM($H$2:H441),"")</f>
        <v/>
      </c>
      <c r="J441" s="0" t="n">
        <f aca="false">IF(AND(食数記録!$A441=プレビュー!$C$3,食数記録!$B441="昼",食数記録!$F441="女性入所",食数記録!$D441="欠食"),1,0)</f>
        <v>0</v>
      </c>
      <c r="K441" s="0" t="str">
        <f aca="false">IF(J441=1,SUM($J$2:J441),"")</f>
        <v/>
      </c>
      <c r="L441" s="0" t="n">
        <f aca="false">IF(AND(食数記録!$A441=プレビュー!$C$3,食数記録!$B441="夕",食数記録!$F441="女性入所",食数記録!$D441="欠食"),1,0)</f>
        <v>0</v>
      </c>
      <c r="M441" s="0" t="str">
        <f aca="false">IF(L441=1,SUM($L$2:L441),"")</f>
        <v/>
      </c>
      <c r="N441" s="0" t="n">
        <f aca="false">IF(AND(食数記録!$A441=プレビュー!$C$3,食数記録!$B441="朝",食数記録!$F441="男性GH",食数記録!$D441="臨時喫食"),1,0)</f>
        <v>0</v>
      </c>
      <c r="O441" s="0" t="str">
        <f aca="false">IF(N441=1,SUM($N$2:N441),"")</f>
        <v/>
      </c>
      <c r="P441" s="0" t="n">
        <f aca="false">IF(AND(食数記録!$A441=プレビュー!$C$3,食数記録!$B441="昼",食数記録!$F441="男性GH",食数記録!$D441="臨時喫食"),1,0)</f>
        <v>0</v>
      </c>
      <c r="Q441" s="0" t="str">
        <f aca="false">IF(P441=1,SUM($P$2:P441),"")</f>
        <v/>
      </c>
      <c r="R441" s="0" t="n">
        <f aca="false">IF(AND(食数記録!$A441=プレビュー!$C$3,食数記録!$B441="夕",食数記録!$F441="男性GH",食数記録!$D441="臨時喫食"),1,0)</f>
        <v>0</v>
      </c>
      <c r="S441" s="0" t="str">
        <f aca="false">IF(R441=1,SUM($R$2:R441),"")</f>
        <v/>
      </c>
      <c r="T441" s="0" t="n">
        <f aca="false">IF(AND(食数記録!$A441=プレビュー!$C$3,食数記録!$B441="朝",食数記録!$F441="女性GH",食数記録!$D441="臨時喫食"),1,0)</f>
        <v>0</v>
      </c>
      <c r="U441" s="0" t="str">
        <f aca="false">IF(T441=1,SUM($T$2:T441),"")</f>
        <v/>
      </c>
      <c r="V441" s="0" t="n">
        <f aca="false">IF(AND(食数記録!$A441=プレビュー!$C$3,食数記録!$B441="昼",食数記録!$F441="女性GH",食数記録!$D441="臨時喫食"),1,0)</f>
        <v>0</v>
      </c>
      <c r="W441" s="0" t="str">
        <f aca="false">IF(V441=1,SUM($V$2:V441),"")</f>
        <v/>
      </c>
      <c r="X441" s="0" t="n">
        <f aca="false">IF(AND(食数記録!$A441=プレビュー!$C$3,食数記録!$B441="夕",食数記録!$F441="女性GH",食数記録!$D441="臨時喫食"),1,0)</f>
        <v>0</v>
      </c>
      <c r="Y441" s="0" t="str">
        <f aca="false">IF(X441=1,SUM($X$2:X441),"")</f>
        <v/>
      </c>
    </row>
    <row r="442" customFormat="false" ht="15" hidden="false" customHeight="false" outlineLevel="0" collapsed="false">
      <c r="B442" s="0" t="n">
        <f aca="false">IF(AND(食数記録!$A442=プレビュー!$C$3,食数記録!$B442="朝",食数記録!$F442="男性入所",食数記録!$D442="欠食"),1,0)</f>
        <v>0</v>
      </c>
      <c r="C442" s="0" t="str">
        <f aca="false">IF(B442=1,SUM($B$2:B442),"")</f>
        <v/>
      </c>
      <c r="D442" s="0" t="n">
        <f aca="false">IF(AND(食数記録!$A442=プレビュー!$C$3,食数記録!$B442="昼",食数記録!$F442="男性入所",食数記録!$D442="欠食"),1,0)</f>
        <v>0</v>
      </c>
      <c r="E442" s="0" t="str">
        <f aca="false">IF(D442=1,SUM($D$2:D442),"")</f>
        <v/>
      </c>
      <c r="F442" s="0" t="n">
        <f aca="false">IF(AND(食数記録!$A442=プレビュー!$C$3,食数記録!$B442="夕",食数記録!$F442="男性入所",食数記録!$D442="欠食"),1,0)</f>
        <v>0</v>
      </c>
      <c r="G442" s="0" t="str">
        <f aca="false">IF(F442=1,SUM($F$2:F442),"")</f>
        <v/>
      </c>
      <c r="H442" s="0" t="n">
        <f aca="false">IF(AND(食数記録!$A442=プレビュー!$C$3,食数記録!$B442="朝",食数記録!$F442="女性入所",食数記録!$D442="欠食"),1,0)</f>
        <v>0</v>
      </c>
      <c r="I442" s="0" t="str">
        <f aca="false">IF(H442=1,SUM($H$2:H442),"")</f>
        <v/>
      </c>
      <c r="J442" s="0" t="n">
        <f aca="false">IF(AND(食数記録!$A442=プレビュー!$C$3,食数記録!$B442="昼",食数記録!$F442="女性入所",食数記録!$D442="欠食"),1,0)</f>
        <v>0</v>
      </c>
      <c r="K442" s="0" t="str">
        <f aca="false">IF(J442=1,SUM($J$2:J442),"")</f>
        <v/>
      </c>
      <c r="L442" s="0" t="n">
        <f aca="false">IF(AND(食数記録!$A442=プレビュー!$C$3,食数記録!$B442="夕",食数記録!$F442="女性入所",食数記録!$D442="欠食"),1,0)</f>
        <v>0</v>
      </c>
      <c r="M442" s="0" t="str">
        <f aca="false">IF(L442=1,SUM($L$2:L442),"")</f>
        <v/>
      </c>
      <c r="N442" s="0" t="n">
        <f aca="false">IF(AND(食数記録!$A442=プレビュー!$C$3,食数記録!$B442="朝",食数記録!$F442="男性GH",食数記録!$D442="臨時喫食"),1,0)</f>
        <v>0</v>
      </c>
      <c r="O442" s="0" t="str">
        <f aca="false">IF(N442=1,SUM($N$2:N442),"")</f>
        <v/>
      </c>
      <c r="P442" s="0" t="n">
        <f aca="false">IF(AND(食数記録!$A442=プレビュー!$C$3,食数記録!$B442="昼",食数記録!$F442="男性GH",食数記録!$D442="臨時喫食"),1,0)</f>
        <v>0</v>
      </c>
      <c r="Q442" s="0" t="str">
        <f aca="false">IF(P442=1,SUM($P$2:P442),"")</f>
        <v/>
      </c>
      <c r="R442" s="0" t="n">
        <f aca="false">IF(AND(食数記録!$A442=プレビュー!$C$3,食数記録!$B442="夕",食数記録!$F442="男性GH",食数記録!$D442="臨時喫食"),1,0)</f>
        <v>0</v>
      </c>
      <c r="S442" s="0" t="str">
        <f aca="false">IF(R442=1,SUM($R$2:R442),"")</f>
        <v/>
      </c>
      <c r="T442" s="0" t="n">
        <f aca="false">IF(AND(食数記録!$A442=プレビュー!$C$3,食数記録!$B442="朝",食数記録!$F442="女性GH",食数記録!$D442="臨時喫食"),1,0)</f>
        <v>0</v>
      </c>
      <c r="U442" s="0" t="str">
        <f aca="false">IF(T442=1,SUM($T$2:T442),"")</f>
        <v/>
      </c>
      <c r="V442" s="0" t="n">
        <f aca="false">IF(AND(食数記録!$A442=プレビュー!$C$3,食数記録!$B442="昼",食数記録!$F442="女性GH",食数記録!$D442="臨時喫食"),1,0)</f>
        <v>0</v>
      </c>
      <c r="W442" s="0" t="str">
        <f aca="false">IF(V442=1,SUM($V$2:V442),"")</f>
        <v/>
      </c>
      <c r="X442" s="0" t="n">
        <f aca="false">IF(AND(食数記録!$A442=プレビュー!$C$3,食数記録!$B442="夕",食数記録!$F442="女性GH",食数記録!$D442="臨時喫食"),1,0)</f>
        <v>0</v>
      </c>
      <c r="Y442" s="0" t="str">
        <f aca="false">IF(X442=1,SUM($X$2:X442),"")</f>
        <v/>
      </c>
    </row>
    <row r="443" customFormat="false" ht="15" hidden="false" customHeight="false" outlineLevel="0" collapsed="false">
      <c r="B443" s="0" t="n">
        <f aca="false">IF(AND(食数記録!$A443=プレビュー!$C$3,食数記録!$B443="朝",食数記録!$F443="男性入所",食数記録!$D443="欠食"),1,0)</f>
        <v>0</v>
      </c>
      <c r="C443" s="0" t="str">
        <f aca="false">IF(B443=1,SUM($B$2:B443),"")</f>
        <v/>
      </c>
      <c r="D443" s="0" t="n">
        <f aca="false">IF(AND(食数記録!$A443=プレビュー!$C$3,食数記録!$B443="昼",食数記録!$F443="男性入所",食数記録!$D443="欠食"),1,0)</f>
        <v>0</v>
      </c>
      <c r="E443" s="0" t="str">
        <f aca="false">IF(D443=1,SUM($D$2:D443),"")</f>
        <v/>
      </c>
      <c r="F443" s="0" t="n">
        <f aca="false">IF(AND(食数記録!$A443=プレビュー!$C$3,食数記録!$B443="夕",食数記録!$F443="男性入所",食数記録!$D443="欠食"),1,0)</f>
        <v>0</v>
      </c>
      <c r="G443" s="0" t="str">
        <f aca="false">IF(F443=1,SUM($F$2:F443),"")</f>
        <v/>
      </c>
      <c r="H443" s="0" t="n">
        <f aca="false">IF(AND(食数記録!$A443=プレビュー!$C$3,食数記録!$B443="朝",食数記録!$F443="女性入所",食数記録!$D443="欠食"),1,0)</f>
        <v>0</v>
      </c>
      <c r="I443" s="0" t="str">
        <f aca="false">IF(H443=1,SUM($H$2:H443),"")</f>
        <v/>
      </c>
      <c r="J443" s="0" t="n">
        <f aca="false">IF(AND(食数記録!$A443=プレビュー!$C$3,食数記録!$B443="昼",食数記録!$F443="女性入所",食数記録!$D443="欠食"),1,0)</f>
        <v>0</v>
      </c>
      <c r="K443" s="0" t="str">
        <f aca="false">IF(J443=1,SUM($J$2:J443),"")</f>
        <v/>
      </c>
      <c r="L443" s="0" t="n">
        <f aca="false">IF(AND(食数記録!$A443=プレビュー!$C$3,食数記録!$B443="夕",食数記録!$F443="女性入所",食数記録!$D443="欠食"),1,0)</f>
        <v>0</v>
      </c>
      <c r="M443" s="0" t="str">
        <f aca="false">IF(L443=1,SUM($L$2:L443),"")</f>
        <v/>
      </c>
      <c r="N443" s="0" t="n">
        <f aca="false">IF(AND(食数記録!$A443=プレビュー!$C$3,食数記録!$B443="朝",食数記録!$F443="男性GH",食数記録!$D443="臨時喫食"),1,0)</f>
        <v>0</v>
      </c>
      <c r="O443" s="0" t="str">
        <f aca="false">IF(N443=1,SUM($N$2:N443),"")</f>
        <v/>
      </c>
      <c r="P443" s="0" t="n">
        <f aca="false">IF(AND(食数記録!$A443=プレビュー!$C$3,食数記録!$B443="昼",食数記録!$F443="男性GH",食数記録!$D443="臨時喫食"),1,0)</f>
        <v>0</v>
      </c>
      <c r="Q443" s="0" t="str">
        <f aca="false">IF(P443=1,SUM($P$2:P443),"")</f>
        <v/>
      </c>
      <c r="R443" s="0" t="n">
        <f aca="false">IF(AND(食数記録!$A443=プレビュー!$C$3,食数記録!$B443="夕",食数記録!$F443="男性GH",食数記録!$D443="臨時喫食"),1,0)</f>
        <v>0</v>
      </c>
      <c r="S443" s="0" t="str">
        <f aca="false">IF(R443=1,SUM($R$2:R443),"")</f>
        <v/>
      </c>
      <c r="T443" s="0" t="n">
        <f aca="false">IF(AND(食数記録!$A443=プレビュー!$C$3,食数記録!$B443="朝",食数記録!$F443="女性GH",食数記録!$D443="臨時喫食"),1,0)</f>
        <v>0</v>
      </c>
      <c r="U443" s="0" t="str">
        <f aca="false">IF(T443=1,SUM($T$2:T443),"")</f>
        <v/>
      </c>
      <c r="V443" s="0" t="n">
        <f aca="false">IF(AND(食数記録!$A443=プレビュー!$C$3,食数記録!$B443="昼",食数記録!$F443="女性GH",食数記録!$D443="臨時喫食"),1,0)</f>
        <v>0</v>
      </c>
      <c r="W443" s="0" t="str">
        <f aca="false">IF(V443=1,SUM($V$2:V443),"")</f>
        <v/>
      </c>
      <c r="X443" s="0" t="n">
        <f aca="false">IF(AND(食数記録!$A443=プレビュー!$C$3,食数記録!$B443="夕",食数記録!$F443="女性GH",食数記録!$D443="臨時喫食"),1,0)</f>
        <v>0</v>
      </c>
      <c r="Y443" s="0" t="str">
        <f aca="false">IF(X443=1,SUM($X$2:X443),"")</f>
        <v/>
      </c>
    </row>
    <row r="444" customFormat="false" ht="15" hidden="false" customHeight="false" outlineLevel="0" collapsed="false">
      <c r="B444" s="0" t="n">
        <f aca="false">IF(AND(食数記録!$A444=プレビュー!$C$3,食数記録!$B444="朝",食数記録!$F444="男性入所",食数記録!$D444="欠食"),1,0)</f>
        <v>0</v>
      </c>
      <c r="C444" s="0" t="str">
        <f aca="false">IF(B444=1,SUM($B$2:B444),"")</f>
        <v/>
      </c>
      <c r="D444" s="0" t="n">
        <f aca="false">IF(AND(食数記録!$A444=プレビュー!$C$3,食数記録!$B444="昼",食数記録!$F444="男性入所",食数記録!$D444="欠食"),1,0)</f>
        <v>0</v>
      </c>
      <c r="E444" s="0" t="str">
        <f aca="false">IF(D444=1,SUM($D$2:D444),"")</f>
        <v/>
      </c>
      <c r="F444" s="0" t="n">
        <f aca="false">IF(AND(食数記録!$A444=プレビュー!$C$3,食数記録!$B444="夕",食数記録!$F444="男性入所",食数記録!$D444="欠食"),1,0)</f>
        <v>0</v>
      </c>
      <c r="G444" s="0" t="str">
        <f aca="false">IF(F444=1,SUM($F$2:F444),"")</f>
        <v/>
      </c>
      <c r="H444" s="0" t="n">
        <f aca="false">IF(AND(食数記録!$A444=プレビュー!$C$3,食数記録!$B444="朝",食数記録!$F444="女性入所",食数記録!$D444="欠食"),1,0)</f>
        <v>0</v>
      </c>
      <c r="I444" s="0" t="str">
        <f aca="false">IF(H444=1,SUM($H$2:H444),"")</f>
        <v/>
      </c>
      <c r="J444" s="0" t="n">
        <f aca="false">IF(AND(食数記録!$A444=プレビュー!$C$3,食数記録!$B444="昼",食数記録!$F444="女性入所",食数記録!$D444="欠食"),1,0)</f>
        <v>0</v>
      </c>
      <c r="K444" s="0" t="str">
        <f aca="false">IF(J444=1,SUM($J$2:J444),"")</f>
        <v/>
      </c>
      <c r="L444" s="0" t="n">
        <f aca="false">IF(AND(食数記録!$A444=プレビュー!$C$3,食数記録!$B444="夕",食数記録!$F444="女性入所",食数記録!$D444="欠食"),1,0)</f>
        <v>0</v>
      </c>
      <c r="M444" s="0" t="str">
        <f aca="false">IF(L444=1,SUM($L$2:L444),"")</f>
        <v/>
      </c>
      <c r="N444" s="0" t="n">
        <f aca="false">IF(AND(食数記録!$A444=プレビュー!$C$3,食数記録!$B444="朝",食数記録!$F444="男性GH",食数記録!$D444="臨時喫食"),1,0)</f>
        <v>0</v>
      </c>
      <c r="O444" s="0" t="str">
        <f aca="false">IF(N444=1,SUM($N$2:N444),"")</f>
        <v/>
      </c>
      <c r="P444" s="0" t="n">
        <f aca="false">IF(AND(食数記録!$A444=プレビュー!$C$3,食数記録!$B444="昼",食数記録!$F444="男性GH",食数記録!$D444="臨時喫食"),1,0)</f>
        <v>0</v>
      </c>
      <c r="Q444" s="0" t="str">
        <f aca="false">IF(P444=1,SUM($P$2:P444),"")</f>
        <v/>
      </c>
      <c r="R444" s="0" t="n">
        <f aca="false">IF(AND(食数記録!$A444=プレビュー!$C$3,食数記録!$B444="夕",食数記録!$F444="男性GH",食数記録!$D444="臨時喫食"),1,0)</f>
        <v>0</v>
      </c>
      <c r="S444" s="0" t="str">
        <f aca="false">IF(R444=1,SUM($R$2:R444),"")</f>
        <v/>
      </c>
      <c r="T444" s="0" t="n">
        <f aca="false">IF(AND(食数記録!$A444=プレビュー!$C$3,食数記録!$B444="朝",食数記録!$F444="女性GH",食数記録!$D444="臨時喫食"),1,0)</f>
        <v>0</v>
      </c>
      <c r="U444" s="0" t="str">
        <f aca="false">IF(T444=1,SUM($T$2:T444),"")</f>
        <v/>
      </c>
      <c r="V444" s="0" t="n">
        <f aca="false">IF(AND(食数記録!$A444=プレビュー!$C$3,食数記録!$B444="昼",食数記録!$F444="女性GH",食数記録!$D444="臨時喫食"),1,0)</f>
        <v>0</v>
      </c>
      <c r="W444" s="0" t="str">
        <f aca="false">IF(V444=1,SUM($V$2:V444),"")</f>
        <v/>
      </c>
      <c r="X444" s="0" t="n">
        <f aca="false">IF(AND(食数記録!$A444=プレビュー!$C$3,食数記録!$B444="夕",食数記録!$F444="女性GH",食数記録!$D444="臨時喫食"),1,0)</f>
        <v>0</v>
      </c>
      <c r="Y444" s="0" t="str">
        <f aca="false">IF(X444=1,SUM($X$2:X444),"")</f>
        <v/>
      </c>
    </row>
    <row r="445" customFormat="false" ht="15" hidden="false" customHeight="false" outlineLevel="0" collapsed="false">
      <c r="B445" s="0" t="n">
        <f aca="false">IF(AND(食数記録!$A445=プレビュー!$C$3,食数記録!$B445="朝",食数記録!$F445="男性入所",食数記録!$D445="欠食"),1,0)</f>
        <v>0</v>
      </c>
      <c r="C445" s="0" t="str">
        <f aca="false">IF(B445=1,SUM($B$2:B445),"")</f>
        <v/>
      </c>
      <c r="D445" s="0" t="n">
        <f aca="false">IF(AND(食数記録!$A445=プレビュー!$C$3,食数記録!$B445="昼",食数記録!$F445="男性入所",食数記録!$D445="欠食"),1,0)</f>
        <v>0</v>
      </c>
      <c r="E445" s="0" t="str">
        <f aca="false">IF(D445=1,SUM($D$2:D445),"")</f>
        <v/>
      </c>
      <c r="F445" s="0" t="n">
        <f aca="false">IF(AND(食数記録!$A445=プレビュー!$C$3,食数記録!$B445="夕",食数記録!$F445="男性入所",食数記録!$D445="欠食"),1,0)</f>
        <v>0</v>
      </c>
      <c r="G445" s="0" t="str">
        <f aca="false">IF(F445=1,SUM($F$2:F445),"")</f>
        <v/>
      </c>
      <c r="H445" s="0" t="n">
        <f aca="false">IF(AND(食数記録!$A445=プレビュー!$C$3,食数記録!$B445="朝",食数記録!$F445="女性入所",食数記録!$D445="欠食"),1,0)</f>
        <v>0</v>
      </c>
      <c r="I445" s="0" t="str">
        <f aca="false">IF(H445=1,SUM($H$2:H445),"")</f>
        <v/>
      </c>
      <c r="J445" s="0" t="n">
        <f aca="false">IF(AND(食数記録!$A445=プレビュー!$C$3,食数記録!$B445="昼",食数記録!$F445="女性入所",食数記録!$D445="欠食"),1,0)</f>
        <v>0</v>
      </c>
      <c r="K445" s="0" t="str">
        <f aca="false">IF(J445=1,SUM($J$2:J445),"")</f>
        <v/>
      </c>
      <c r="L445" s="0" t="n">
        <f aca="false">IF(AND(食数記録!$A445=プレビュー!$C$3,食数記録!$B445="夕",食数記録!$F445="女性入所",食数記録!$D445="欠食"),1,0)</f>
        <v>0</v>
      </c>
      <c r="M445" s="0" t="str">
        <f aca="false">IF(L445=1,SUM($L$2:L445),"")</f>
        <v/>
      </c>
      <c r="N445" s="0" t="n">
        <f aca="false">IF(AND(食数記録!$A445=プレビュー!$C$3,食数記録!$B445="朝",食数記録!$F445="男性GH",食数記録!$D445="臨時喫食"),1,0)</f>
        <v>0</v>
      </c>
      <c r="O445" s="0" t="str">
        <f aca="false">IF(N445=1,SUM($N$2:N445),"")</f>
        <v/>
      </c>
      <c r="P445" s="0" t="n">
        <f aca="false">IF(AND(食数記録!$A445=プレビュー!$C$3,食数記録!$B445="昼",食数記録!$F445="男性GH",食数記録!$D445="臨時喫食"),1,0)</f>
        <v>0</v>
      </c>
      <c r="Q445" s="0" t="str">
        <f aca="false">IF(P445=1,SUM($P$2:P445),"")</f>
        <v/>
      </c>
      <c r="R445" s="0" t="n">
        <f aca="false">IF(AND(食数記録!$A445=プレビュー!$C$3,食数記録!$B445="夕",食数記録!$F445="男性GH",食数記録!$D445="臨時喫食"),1,0)</f>
        <v>0</v>
      </c>
      <c r="S445" s="0" t="str">
        <f aca="false">IF(R445=1,SUM($R$2:R445),"")</f>
        <v/>
      </c>
      <c r="T445" s="0" t="n">
        <f aca="false">IF(AND(食数記録!$A445=プレビュー!$C$3,食数記録!$B445="朝",食数記録!$F445="女性GH",食数記録!$D445="臨時喫食"),1,0)</f>
        <v>0</v>
      </c>
      <c r="U445" s="0" t="str">
        <f aca="false">IF(T445=1,SUM($T$2:T445),"")</f>
        <v/>
      </c>
      <c r="V445" s="0" t="n">
        <f aca="false">IF(AND(食数記録!$A445=プレビュー!$C$3,食数記録!$B445="昼",食数記録!$F445="女性GH",食数記録!$D445="臨時喫食"),1,0)</f>
        <v>0</v>
      </c>
      <c r="W445" s="0" t="str">
        <f aca="false">IF(V445=1,SUM($V$2:V445),"")</f>
        <v/>
      </c>
      <c r="X445" s="0" t="n">
        <f aca="false">IF(AND(食数記録!$A445=プレビュー!$C$3,食数記録!$B445="夕",食数記録!$F445="女性GH",食数記録!$D445="臨時喫食"),1,0)</f>
        <v>0</v>
      </c>
      <c r="Y445" s="0" t="str">
        <f aca="false">IF(X445=1,SUM($X$2:X445),"")</f>
        <v/>
      </c>
    </row>
    <row r="446" customFormat="false" ht="15" hidden="false" customHeight="false" outlineLevel="0" collapsed="false">
      <c r="B446" s="0" t="n">
        <f aca="false">IF(AND(食数記録!$A446=プレビュー!$C$3,食数記録!$B446="朝",食数記録!$F446="男性入所",食数記録!$D446="欠食"),1,0)</f>
        <v>0</v>
      </c>
      <c r="C446" s="0" t="str">
        <f aca="false">IF(B446=1,SUM($B$2:B446),"")</f>
        <v/>
      </c>
      <c r="D446" s="0" t="n">
        <f aca="false">IF(AND(食数記録!$A446=プレビュー!$C$3,食数記録!$B446="昼",食数記録!$F446="男性入所",食数記録!$D446="欠食"),1,0)</f>
        <v>0</v>
      </c>
      <c r="E446" s="0" t="str">
        <f aca="false">IF(D446=1,SUM($D$2:D446),"")</f>
        <v/>
      </c>
      <c r="F446" s="0" t="n">
        <f aca="false">IF(AND(食数記録!$A446=プレビュー!$C$3,食数記録!$B446="夕",食数記録!$F446="男性入所",食数記録!$D446="欠食"),1,0)</f>
        <v>0</v>
      </c>
      <c r="G446" s="0" t="str">
        <f aca="false">IF(F446=1,SUM($F$2:F446),"")</f>
        <v/>
      </c>
      <c r="H446" s="0" t="n">
        <f aca="false">IF(AND(食数記録!$A446=プレビュー!$C$3,食数記録!$B446="朝",食数記録!$F446="女性入所",食数記録!$D446="欠食"),1,0)</f>
        <v>0</v>
      </c>
      <c r="I446" s="0" t="str">
        <f aca="false">IF(H446=1,SUM($H$2:H446),"")</f>
        <v/>
      </c>
      <c r="J446" s="0" t="n">
        <f aca="false">IF(AND(食数記録!$A446=プレビュー!$C$3,食数記録!$B446="昼",食数記録!$F446="女性入所",食数記録!$D446="欠食"),1,0)</f>
        <v>0</v>
      </c>
      <c r="K446" s="0" t="str">
        <f aca="false">IF(J446=1,SUM($J$2:J446),"")</f>
        <v/>
      </c>
      <c r="L446" s="0" t="n">
        <f aca="false">IF(AND(食数記録!$A446=プレビュー!$C$3,食数記録!$B446="夕",食数記録!$F446="女性入所",食数記録!$D446="欠食"),1,0)</f>
        <v>0</v>
      </c>
      <c r="M446" s="0" t="str">
        <f aca="false">IF(L446=1,SUM($L$2:L446),"")</f>
        <v/>
      </c>
      <c r="N446" s="0" t="n">
        <f aca="false">IF(AND(食数記録!$A446=プレビュー!$C$3,食数記録!$B446="朝",食数記録!$F446="男性GH",食数記録!$D446="臨時喫食"),1,0)</f>
        <v>0</v>
      </c>
      <c r="O446" s="0" t="str">
        <f aca="false">IF(N446=1,SUM($N$2:N446),"")</f>
        <v/>
      </c>
      <c r="P446" s="0" t="n">
        <f aca="false">IF(AND(食数記録!$A446=プレビュー!$C$3,食数記録!$B446="昼",食数記録!$F446="男性GH",食数記録!$D446="臨時喫食"),1,0)</f>
        <v>0</v>
      </c>
      <c r="Q446" s="0" t="str">
        <f aca="false">IF(P446=1,SUM($P$2:P446),"")</f>
        <v/>
      </c>
      <c r="R446" s="0" t="n">
        <f aca="false">IF(AND(食数記録!$A446=プレビュー!$C$3,食数記録!$B446="夕",食数記録!$F446="男性GH",食数記録!$D446="臨時喫食"),1,0)</f>
        <v>0</v>
      </c>
      <c r="S446" s="0" t="str">
        <f aca="false">IF(R446=1,SUM($R$2:R446),"")</f>
        <v/>
      </c>
      <c r="T446" s="0" t="n">
        <f aca="false">IF(AND(食数記録!$A446=プレビュー!$C$3,食数記録!$B446="朝",食数記録!$F446="女性GH",食数記録!$D446="臨時喫食"),1,0)</f>
        <v>0</v>
      </c>
      <c r="U446" s="0" t="str">
        <f aca="false">IF(T446=1,SUM($T$2:T446),"")</f>
        <v/>
      </c>
      <c r="V446" s="0" t="n">
        <f aca="false">IF(AND(食数記録!$A446=プレビュー!$C$3,食数記録!$B446="昼",食数記録!$F446="女性GH",食数記録!$D446="臨時喫食"),1,0)</f>
        <v>0</v>
      </c>
      <c r="W446" s="0" t="str">
        <f aca="false">IF(V446=1,SUM($V$2:V446),"")</f>
        <v/>
      </c>
      <c r="X446" s="0" t="n">
        <f aca="false">IF(AND(食数記録!$A446=プレビュー!$C$3,食数記録!$B446="夕",食数記録!$F446="女性GH",食数記録!$D446="臨時喫食"),1,0)</f>
        <v>0</v>
      </c>
      <c r="Y446" s="0" t="str">
        <f aca="false">IF(X446=1,SUM($X$2:X446),"")</f>
        <v/>
      </c>
    </row>
    <row r="447" customFormat="false" ht="15" hidden="false" customHeight="false" outlineLevel="0" collapsed="false">
      <c r="B447" s="0" t="n">
        <f aca="false">IF(AND(食数記録!$A447=プレビュー!$C$3,食数記録!$B447="朝",食数記録!$F447="男性入所",食数記録!$D447="欠食"),1,0)</f>
        <v>0</v>
      </c>
      <c r="C447" s="0" t="str">
        <f aca="false">IF(B447=1,SUM($B$2:B447),"")</f>
        <v/>
      </c>
      <c r="D447" s="0" t="n">
        <f aca="false">IF(AND(食数記録!$A447=プレビュー!$C$3,食数記録!$B447="昼",食数記録!$F447="男性入所",食数記録!$D447="欠食"),1,0)</f>
        <v>0</v>
      </c>
      <c r="E447" s="0" t="str">
        <f aca="false">IF(D447=1,SUM($D$2:D447),"")</f>
        <v/>
      </c>
      <c r="F447" s="0" t="n">
        <f aca="false">IF(AND(食数記録!$A447=プレビュー!$C$3,食数記録!$B447="夕",食数記録!$F447="男性入所",食数記録!$D447="欠食"),1,0)</f>
        <v>0</v>
      </c>
      <c r="G447" s="0" t="str">
        <f aca="false">IF(F447=1,SUM($F$2:F447),"")</f>
        <v/>
      </c>
      <c r="H447" s="0" t="n">
        <f aca="false">IF(AND(食数記録!$A447=プレビュー!$C$3,食数記録!$B447="朝",食数記録!$F447="女性入所",食数記録!$D447="欠食"),1,0)</f>
        <v>0</v>
      </c>
      <c r="I447" s="0" t="str">
        <f aca="false">IF(H447=1,SUM($H$2:H447),"")</f>
        <v/>
      </c>
      <c r="J447" s="0" t="n">
        <f aca="false">IF(AND(食数記録!$A447=プレビュー!$C$3,食数記録!$B447="昼",食数記録!$F447="女性入所",食数記録!$D447="欠食"),1,0)</f>
        <v>0</v>
      </c>
      <c r="K447" s="0" t="str">
        <f aca="false">IF(J447=1,SUM($J$2:J447),"")</f>
        <v/>
      </c>
      <c r="L447" s="0" t="n">
        <f aca="false">IF(AND(食数記録!$A447=プレビュー!$C$3,食数記録!$B447="夕",食数記録!$F447="女性入所",食数記録!$D447="欠食"),1,0)</f>
        <v>0</v>
      </c>
      <c r="M447" s="0" t="str">
        <f aca="false">IF(L447=1,SUM($L$2:L447),"")</f>
        <v/>
      </c>
      <c r="N447" s="0" t="n">
        <f aca="false">IF(AND(食数記録!$A447=プレビュー!$C$3,食数記録!$B447="朝",食数記録!$F447="男性GH",食数記録!$D447="臨時喫食"),1,0)</f>
        <v>0</v>
      </c>
      <c r="O447" s="0" t="str">
        <f aca="false">IF(N447=1,SUM($N$2:N447),"")</f>
        <v/>
      </c>
      <c r="P447" s="0" t="n">
        <f aca="false">IF(AND(食数記録!$A447=プレビュー!$C$3,食数記録!$B447="昼",食数記録!$F447="男性GH",食数記録!$D447="臨時喫食"),1,0)</f>
        <v>0</v>
      </c>
      <c r="Q447" s="0" t="str">
        <f aca="false">IF(P447=1,SUM($P$2:P447),"")</f>
        <v/>
      </c>
      <c r="R447" s="0" t="n">
        <f aca="false">IF(AND(食数記録!$A447=プレビュー!$C$3,食数記録!$B447="夕",食数記録!$F447="男性GH",食数記録!$D447="臨時喫食"),1,0)</f>
        <v>0</v>
      </c>
      <c r="S447" s="0" t="str">
        <f aca="false">IF(R447=1,SUM($R$2:R447),"")</f>
        <v/>
      </c>
      <c r="T447" s="0" t="n">
        <f aca="false">IF(AND(食数記録!$A447=プレビュー!$C$3,食数記録!$B447="朝",食数記録!$F447="女性GH",食数記録!$D447="臨時喫食"),1,0)</f>
        <v>0</v>
      </c>
      <c r="U447" s="0" t="str">
        <f aca="false">IF(T447=1,SUM($T$2:T447),"")</f>
        <v/>
      </c>
      <c r="V447" s="0" t="n">
        <f aca="false">IF(AND(食数記録!$A447=プレビュー!$C$3,食数記録!$B447="昼",食数記録!$F447="女性GH",食数記録!$D447="臨時喫食"),1,0)</f>
        <v>0</v>
      </c>
      <c r="W447" s="0" t="str">
        <f aca="false">IF(V447=1,SUM($V$2:V447),"")</f>
        <v/>
      </c>
      <c r="X447" s="0" t="n">
        <f aca="false">IF(AND(食数記録!$A447=プレビュー!$C$3,食数記録!$B447="夕",食数記録!$F447="女性GH",食数記録!$D447="臨時喫食"),1,0)</f>
        <v>0</v>
      </c>
      <c r="Y447" s="0" t="str">
        <f aca="false">IF(X447=1,SUM($X$2:X447),"")</f>
        <v/>
      </c>
    </row>
    <row r="448" customFormat="false" ht="15" hidden="false" customHeight="false" outlineLevel="0" collapsed="false">
      <c r="B448" s="0" t="n">
        <f aca="false">IF(AND(食数記録!$A448=プレビュー!$C$3,食数記録!$B448="朝",食数記録!$F448="男性入所",食数記録!$D448="欠食"),1,0)</f>
        <v>0</v>
      </c>
      <c r="C448" s="0" t="str">
        <f aca="false">IF(B448=1,SUM($B$2:B448),"")</f>
        <v/>
      </c>
      <c r="D448" s="0" t="n">
        <f aca="false">IF(AND(食数記録!$A448=プレビュー!$C$3,食数記録!$B448="昼",食数記録!$F448="男性入所",食数記録!$D448="欠食"),1,0)</f>
        <v>0</v>
      </c>
      <c r="E448" s="0" t="str">
        <f aca="false">IF(D448=1,SUM($D$2:D448),"")</f>
        <v/>
      </c>
      <c r="F448" s="0" t="n">
        <f aca="false">IF(AND(食数記録!$A448=プレビュー!$C$3,食数記録!$B448="夕",食数記録!$F448="男性入所",食数記録!$D448="欠食"),1,0)</f>
        <v>0</v>
      </c>
      <c r="G448" s="0" t="str">
        <f aca="false">IF(F448=1,SUM($F$2:F448),"")</f>
        <v/>
      </c>
      <c r="H448" s="0" t="n">
        <f aca="false">IF(AND(食数記録!$A448=プレビュー!$C$3,食数記録!$B448="朝",食数記録!$F448="女性入所",食数記録!$D448="欠食"),1,0)</f>
        <v>0</v>
      </c>
      <c r="I448" s="0" t="str">
        <f aca="false">IF(H448=1,SUM($H$2:H448),"")</f>
        <v/>
      </c>
      <c r="J448" s="0" t="n">
        <f aca="false">IF(AND(食数記録!$A448=プレビュー!$C$3,食数記録!$B448="昼",食数記録!$F448="女性入所",食数記録!$D448="欠食"),1,0)</f>
        <v>0</v>
      </c>
      <c r="K448" s="0" t="str">
        <f aca="false">IF(J448=1,SUM($J$2:J448),"")</f>
        <v/>
      </c>
      <c r="L448" s="0" t="n">
        <f aca="false">IF(AND(食数記録!$A448=プレビュー!$C$3,食数記録!$B448="夕",食数記録!$F448="女性入所",食数記録!$D448="欠食"),1,0)</f>
        <v>0</v>
      </c>
      <c r="M448" s="0" t="str">
        <f aca="false">IF(L448=1,SUM($L$2:L448),"")</f>
        <v/>
      </c>
      <c r="N448" s="0" t="n">
        <f aca="false">IF(AND(食数記録!$A448=プレビュー!$C$3,食数記録!$B448="朝",食数記録!$F448="男性GH",食数記録!$D448="臨時喫食"),1,0)</f>
        <v>0</v>
      </c>
      <c r="O448" s="0" t="str">
        <f aca="false">IF(N448=1,SUM($N$2:N448),"")</f>
        <v/>
      </c>
      <c r="P448" s="0" t="n">
        <f aca="false">IF(AND(食数記録!$A448=プレビュー!$C$3,食数記録!$B448="昼",食数記録!$F448="男性GH",食数記録!$D448="臨時喫食"),1,0)</f>
        <v>0</v>
      </c>
      <c r="Q448" s="0" t="str">
        <f aca="false">IF(P448=1,SUM($P$2:P448),"")</f>
        <v/>
      </c>
      <c r="R448" s="0" t="n">
        <f aca="false">IF(AND(食数記録!$A448=プレビュー!$C$3,食数記録!$B448="夕",食数記録!$F448="男性GH",食数記録!$D448="臨時喫食"),1,0)</f>
        <v>0</v>
      </c>
      <c r="S448" s="0" t="str">
        <f aca="false">IF(R448=1,SUM($R$2:R448),"")</f>
        <v/>
      </c>
      <c r="T448" s="0" t="n">
        <f aca="false">IF(AND(食数記録!$A448=プレビュー!$C$3,食数記録!$B448="朝",食数記録!$F448="女性GH",食数記録!$D448="臨時喫食"),1,0)</f>
        <v>0</v>
      </c>
      <c r="U448" s="0" t="str">
        <f aca="false">IF(T448=1,SUM($T$2:T448),"")</f>
        <v/>
      </c>
      <c r="V448" s="0" t="n">
        <f aca="false">IF(AND(食数記録!$A448=プレビュー!$C$3,食数記録!$B448="昼",食数記録!$F448="女性GH",食数記録!$D448="臨時喫食"),1,0)</f>
        <v>0</v>
      </c>
      <c r="W448" s="0" t="str">
        <f aca="false">IF(V448=1,SUM($V$2:V448),"")</f>
        <v/>
      </c>
      <c r="X448" s="0" t="n">
        <f aca="false">IF(AND(食数記録!$A448=プレビュー!$C$3,食数記録!$B448="夕",食数記録!$F448="女性GH",食数記録!$D448="臨時喫食"),1,0)</f>
        <v>0</v>
      </c>
      <c r="Y448" s="0" t="str">
        <f aca="false">IF(X448=1,SUM($X$2:X448),"")</f>
        <v/>
      </c>
    </row>
    <row r="449" customFormat="false" ht="15" hidden="false" customHeight="false" outlineLevel="0" collapsed="false">
      <c r="B449" s="0" t="n">
        <f aca="false">IF(AND(食数記録!$A449=プレビュー!$C$3,食数記録!$B449="朝",食数記録!$F449="男性入所",食数記録!$D449="欠食"),1,0)</f>
        <v>0</v>
      </c>
      <c r="C449" s="0" t="str">
        <f aca="false">IF(B449=1,SUM($B$2:B449),"")</f>
        <v/>
      </c>
      <c r="D449" s="0" t="n">
        <f aca="false">IF(AND(食数記録!$A449=プレビュー!$C$3,食数記録!$B449="昼",食数記録!$F449="男性入所",食数記録!$D449="欠食"),1,0)</f>
        <v>0</v>
      </c>
      <c r="E449" s="0" t="str">
        <f aca="false">IF(D449=1,SUM($D$2:D449),"")</f>
        <v/>
      </c>
      <c r="F449" s="0" t="n">
        <f aca="false">IF(AND(食数記録!$A449=プレビュー!$C$3,食数記録!$B449="夕",食数記録!$F449="男性入所",食数記録!$D449="欠食"),1,0)</f>
        <v>0</v>
      </c>
      <c r="G449" s="0" t="str">
        <f aca="false">IF(F449=1,SUM($F$2:F449),"")</f>
        <v/>
      </c>
      <c r="H449" s="0" t="n">
        <f aca="false">IF(AND(食数記録!$A449=プレビュー!$C$3,食数記録!$B449="朝",食数記録!$F449="女性入所",食数記録!$D449="欠食"),1,0)</f>
        <v>0</v>
      </c>
      <c r="I449" s="0" t="str">
        <f aca="false">IF(H449=1,SUM($H$2:H449),"")</f>
        <v/>
      </c>
      <c r="J449" s="0" t="n">
        <f aca="false">IF(AND(食数記録!$A449=プレビュー!$C$3,食数記録!$B449="昼",食数記録!$F449="女性入所",食数記録!$D449="欠食"),1,0)</f>
        <v>0</v>
      </c>
      <c r="K449" s="0" t="str">
        <f aca="false">IF(J449=1,SUM($J$2:J449),"")</f>
        <v/>
      </c>
      <c r="L449" s="0" t="n">
        <f aca="false">IF(AND(食数記録!$A449=プレビュー!$C$3,食数記録!$B449="夕",食数記録!$F449="女性入所",食数記録!$D449="欠食"),1,0)</f>
        <v>0</v>
      </c>
      <c r="M449" s="0" t="str">
        <f aca="false">IF(L449=1,SUM($L$2:L449),"")</f>
        <v/>
      </c>
      <c r="N449" s="0" t="n">
        <f aca="false">IF(AND(食数記録!$A449=プレビュー!$C$3,食数記録!$B449="朝",食数記録!$F449="男性GH",食数記録!$D449="臨時喫食"),1,0)</f>
        <v>0</v>
      </c>
      <c r="O449" s="0" t="str">
        <f aca="false">IF(N449=1,SUM($N$2:N449),"")</f>
        <v/>
      </c>
      <c r="P449" s="0" t="n">
        <f aca="false">IF(AND(食数記録!$A449=プレビュー!$C$3,食数記録!$B449="昼",食数記録!$F449="男性GH",食数記録!$D449="臨時喫食"),1,0)</f>
        <v>0</v>
      </c>
      <c r="Q449" s="0" t="str">
        <f aca="false">IF(P449=1,SUM($P$2:P449),"")</f>
        <v/>
      </c>
      <c r="R449" s="0" t="n">
        <f aca="false">IF(AND(食数記録!$A449=プレビュー!$C$3,食数記録!$B449="夕",食数記録!$F449="男性GH",食数記録!$D449="臨時喫食"),1,0)</f>
        <v>0</v>
      </c>
      <c r="S449" s="0" t="str">
        <f aca="false">IF(R449=1,SUM($R$2:R449),"")</f>
        <v/>
      </c>
      <c r="T449" s="0" t="n">
        <f aca="false">IF(AND(食数記録!$A449=プレビュー!$C$3,食数記録!$B449="朝",食数記録!$F449="女性GH",食数記録!$D449="臨時喫食"),1,0)</f>
        <v>0</v>
      </c>
      <c r="U449" s="0" t="str">
        <f aca="false">IF(T449=1,SUM($T$2:T449),"")</f>
        <v/>
      </c>
      <c r="V449" s="0" t="n">
        <f aca="false">IF(AND(食数記録!$A449=プレビュー!$C$3,食数記録!$B449="昼",食数記録!$F449="女性GH",食数記録!$D449="臨時喫食"),1,0)</f>
        <v>0</v>
      </c>
      <c r="W449" s="0" t="str">
        <f aca="false">IF(V449=1,SUM($V$2:V449),"")</f>
        <v/>
      </c>
      <c r="X449" s="0" t="n">
        <f aca="false">IF(AND(食数記録!$A449=プレビュー!$C$3,食数記録!$B449="夕",食数記録!$F449="女性GH",食数記録!$D449="臨時喫食"),1,0)</f>
        <v>0</v>
      </c>
      <c r="Y449" s="0" t="str">
        <f aca="false">IF(X449=1,SUM($X$2:X449),"")</f>
        <v/>
      </c>
    </row>
    <row r="450" customFormat="false" ht="15" hidden="false" customHeight="false" outlineLevel="0" collapsed="false">
      <c r="B450" s="0" t="n">
        <f aca="false">IF(AND(食数記録!$A450=プレビュー!$C$3,食数記録!$B450="朝",食数記録!$F450="男性入所",食数記録!$D450="欠食"),1,0)</f>
        <v>0</v>
      </c>
      <c r="C450" s="0" t="str">
        <f aca="false">IF(B450=1,SUM($B$2:B450),"")</f>
        <v/>
      </c>
      <c r="D450" s="0" t="n">
        <f aca="false">IF(AND(食数記録!$A450=プレビュー!$C$3,食数記録!$B450="昼",食数記録!$F450="男性入所",食数記録!$D450="欠食"),1,0)</f>
        <v>0</v>
      </c>
      <c r="E450" s="0" t="str">
        <f aca="false">IF(D450=1,SUM($D$2:D450),"")</f>
        <v/>
      </c>
      <c r="F450" s="0" t="n">
        <f aca="false">IF(AND(食数記録!$A450=プレビュー!$C$3,食数記録!$B450="夕",食数記録!$F450="男性入所",食数記録!$D450="欠食"),1,0)</f>
        <v>0</v>
      </c>
      <c r="G450" s="0" t="str">
        <f aca="false">IF(F450=1,SUM($F$2:F450),"")</f>
        <v/>
      </c>
      <c r="H450" s="0" t="n">
        <f aca="false">IF(AND(食数記録!$A450=プレビュー!$C$3,食数記録!$B450="朝",食数記録!$F450="女性入所",食数記録!$D450="欠食"),1,0)</f>
        <v>0</v>
      </c>
      <c r="I450" s="0" t="str">
        <f aca="false">IF(H450=1,SUM($H$2:H450),"")</f>
        <v/>
      </c>
      <c r="J450" s="0" t="n">
        <f aca="false">IF(AND(食数記録!$A450=プレビュー!$C$3,食数記録!$B450="昼",食数記録!$F450="女性入所",食数記録!$D450="欠食"),1,0)</f>
        <v>0</v>
      </c>
      <c r="K450" s="0" t="str">
        <f aca="false">IF(J450=1,SUM($J$2:J450),"")</f>
        <v/>
      </c>
      <c r="L450" s="0" t="n">
        <f aca="false">IF(AND(食数記録!$A450=プレビュー!$C$3,食数記録!$B450="夕",食数記録!$F450="女性入所",食数記録!$D450="欠食"),1,0)</f>
        <v>0</v>
      </c>
      <c r="M450" s="0" t="str">
        <f aca="false">IF(L450=1,SUM($L$2:L450),"")</f>
        <v/>
      </c>
      <c r="N450" s="0" t="n">
        <f aca="false">IF(AND(食数記録!$A450=プレビュー!$C$3,食数記録!$B450="朝",食数記録!$F450="男性GH",食数記録!$D450="臨時喫食"),1,0)</f>
        <v>0</v>
      </c>
      <c r="O450" s="0" t="str">
        <f aca="false">IF(N450=1,SUM($N$2:N450),"")</f>
        <v/>
      </c>
      <c r="P450" s="0" t="n">
        <f aca="false">IF(AND(食数記録!$A450=プレビュー!$C$3,食数記録!$B450="昼",食数記録!$F450="男性GH",食数記録!$D450="臨時喫食"),1,0)</f>
        <v>0</v>
      </c>
      <c r="Q450" s="0" t="str">
        <f aca="false">IF(P450=1,SUM($P$2:P450),"")</f>
        <v/>
      </c>
      <c r="R450" s="0" t="n">
        <f aca="false">IF(AND(食数記録!$A450=プレビュー!$C$3,食数記録!$B450="夕",食数記録!$F450="男性GH",食数記録!$D450="臨時喫食"),1,0)</f>
        <v>0</v>
      </c>
      <c r="S450" s="0" t="str">
        <f aca="false">IF(R450=1,SUM($R$2:R450),"")</f>
        <v/>
      </c>
      <c r="T450" s="0" t="n">
        <f aca="false">IF(AND(食数記録!$A450=プレビュー!$C$3,食数記録!$B450="朝",食数記録!$F450="女性GH",食数記録!$D450="臨時喫食"),1,0)</f>
        <v>0</v>
      </c>
      <c r="U450" s="0" t="str">
        <f aca="false">IF(T450=1,SUM($T$2:T450),"")</f>
        <v/>
      </c>
      <c r="V450" s="0" t="n">
        <f aca="false">IF(AND(食数記録!$A450=プレビュー!$C$3,食数記録!$B450="昼",食数記録!$F450="女性GH",食数記録!$D450="臨時喫食"),1,0)</f>
        <v>0</v>
      </c>
      <c r="W450" s="0" t="str">
        <f aca="false">IF(V450=1,SUM($V$2:V450),"")</f>
        <v/>
      </c>
      <c r="X450" s="0" t="n">
        <f aca="false">IF(AND(食数記録!$A450=プレビュー!$C$3,食数記録!$B450="夕",食数記録!$F450="女性GH",食数記録!$D450="臨時喫食"),1,0)</f>
        <v>0</v>
      </c>
      <c r="Y450" s="0" t="str">
        <f aca="false">IF(X450=1,SUM($X$2:X450),"")</f>
        <v/>
      </c>
    </row>
    <row r="451" customFormat="false" ht="15" hidden="false" customHeight="false" outlineLevel="0" collapsed="false">
      <c r="B451" s="0" t="n">
        <f aca="false">IF(AND(食数記録!$A451=プレビュー!$C$3,食数記録!$B451="朝",食数記録!$F451="男性入所",食数記録!$D451="欠食"),1,0)</f>
        <v>0</v>
      </c>
      <c r="C451" s="0" t="str">
        <f aca="false">IF(B451=1,SUM($B$2:B451),"")</f>
        <v/>
      </c>
      <c r="D451" s="0" t="n">
        <f aca="false">IF(AND(食数記録!$A451=プレビュー!$C$3,食数記録!$B451="昼",食数記録!$F451="男性入所",食数記録!$D451="欠食"),1,0)</f>
        <v>0</v>
      </c>
      <c r="E451" s="0" t="str">
        <f aca="false">IF(D451=1,SUM($D$2:D451),"")</f>
        <v/>
      </c>
      <c r="F451" s="0" t="n">
        <f aca="false">IF(AND(食数記録!$A451=プレビュー!$C$3,食数記録!$B451="夕",食数記録!$F451="男性入所",食数記録!$D451="欠食"),1,0)</f>
        <v>0</v>
      </c>
      <c r="G451" s="0" t="str">
        <f aca="false">IF(F451=1,SUM($F$2:F451),"")</f>
        <v/>
      </c>
      <c r="H451" s="0" t="n">
        <f aca="false">IF(AND(食数記録!$A451=プレビュー!$C$3,食数記録!$B451="朝",食数記録!$F451="女性入所",食数記録!$D451="欠食"),1,0)</f>
        <v>0</v>
      </c>
      <c r="I451" s="0" t="str">
        <f aca="false">IF(H451=1,SUM($H$2:H451),"")</f>
        <v/>
      </c>
      <c r="J451" s="0" t="n">
        <f aca="false">IF(AND(食数記録!$A451=プレビュー!$C$3,食数記録!$B451="昼",食数記録!$F451="女性入所",食数記録!$D451="欠食"),1,0)</f>
        <v>0</v>
      </c>
      <c r="K451" s="0" t="str">
        <f aca="false">IF(J451=1,SUM($J$2:J451),"")</f>
        <v/>
      </c>
      <c r="L451" s="0" t="n">
        <f aca="false">IF(AND(食数記録!$A451=プレビュー!$C$3,食数記録!$B451="夕",食数記録!$F451="女性入所",食数記録!$D451="欠食"),1,0)</f>
        <v>0</v>
      </c>
      <c r="M451" s="0" t="str">
        <f aca="false">IF(L451=1,SUM($L$2:L451),"")</f>
        <v/>
      </c>
      <c r="N451" s="0" t="n">
        <f aca="false">IF(AND(食数記録!$A451=プレビュー!$C$3,食数記録!$B451="朝",食数記録!$F451="男性GH",食数記録!$D451="臨時喫食"),1,0)</f>
        <v>0</v>
      </c>
      <c r="O451" s="0" t="str">
        <f aca="false">IF(N451=1,SUM($N$2:N451),"")</f>
        <v/>
      </c>
      <c r="P451" s="0" t="n">
        <f aca="false">IF(AND(食数記録!$A451=プレビュー!$C$3,食数記録!$B451="昼",食数記録!$F451="男性GH",食数記録!$D451="臨時喫食"),1,0)</f>
        <v>0</v>
      </c>
      <c r="Q451" s="0" t="str">
        <f aca="false">IF(P451=1,SUM($P$2:P451),"")</f>
        <v/>
      </c>
      <c r="R451" s="0" t="n">
        <f aca="false">IF(AND(食数記録!$A451=プレビュー!$C$3,食数記録!$B451="夕",食数記録!$F451="男性GH",食数記録!$D451="臨時喫食"),1,0)</f>
        <v>0</v>
      </c>
      <c r="S451" s="0" t="str">
        <f aca="false">IF(R451=1,SUM($R$2:R451),"")</f>
        <v/>
      </c>
      <c r="T451" s="0" t="n">
        <f aca="false">IF(AND(食数記録!$A451=プレビュー!$C$3,食数記録!$B451="朝",食数記録!$F451="女性GH",食数記録!$D451="臨時喫食"),1,0)</f>
        <v>0</v>
      </c>
      <c r="U451" s="0" t="str">
        <f aca="false">IF(T451=1,SUM($T$2:T451),"")</f>
        <v/>
      </c>
      <c r="V451" s="0" t="n">
        <f aca="false">IF(AND(食数記録!$A451=プレビュー!$C$3,食数記録!$B451="昼",食数記録!$F451="女性GH",食数記録!$D451="臨時喫食"),1,0)</f>
        <v>0</v>
      </c>
      <c r="W451" s="0" t="str">
        <f aca="false">IF(V451=1,SUM($V$2:V451),"")</f>
        <v/>
      </c>
      <c r="X451" s="0" t="n">
        <f aca="false">IF(AND(食数記録!$A451=プレビュー!$C$3,食数記録!$B451="夕",食数記録!$F451="女性GH",食数記録!$D451="臨時喫食"),1,0)</f>
        <v>0</v>
      </c>
      <c r="Y451" s="0" t="str">
        <f aca="false">IF(X451=1,SUM($X$2:X451),"")</f>
        <v/>
      </c>
    </row>
    <row r="452" customFormat="false" ht="15" hidden="false" customHeight="false" outlineLevel="0" collapsed="false">
      <c r="B452" s="0" t="n">
        <f aca="false">IF(AND(食数記録!$A452=プレビュー!$C$3,食数記録!$B452="朝",食数記録!$F452="男性入所",食数記録!$D452="欠食"),1,0)</f>
        <v>0</v>
      </c>
      <c r="C452" s="0" t="str">
        <f aca="false">IF(B452=1,SUM($B$2:B452),"")</f>
        <v/>
      </c>
      <c r="D452" s="0" t="n">
        <f aca="false">IF(AND(食数記録!$A452=プレビュー!$C$3,食数記録!$B452="昼",食数記録!$F452="男性入所",食数記録!$D452="欠食"),1,0)</f>
        <v>0</v>
      </c>
      <c r="E452" s="0" t="str">
        <f aca="false">IF(D452=1,SUM($D$2:D452),"")</f>
        <v/>
      </c>
      <c r="F452" s="0" t="n">
        <f aca="false">IF(AND(食数記録!$A452=プレビュー!$C$3,食数記録!$B452="夕",食数記録!$F452="男性入所",食数記録!$D452="欠食"),1,0)</f>
        <v>0</v>
      </c>
      <c r="G452" s="0" t="str">
        <f aca="false">IF(F452=1,SUM($F$2:F452),"")</f>
        <v/>
      </c>
      <c r="H452" s="0" t="n">
        <f aca="false">IF(AND(食数記録!$A452=プレビュー!$C$3,食数記録!$B452="朝",食数記録!$F452="女性入所",食数記録!$D452="欠食"),1,0)</f>
        <v>0</v>
      </c>
      <c r="I452" s="0" t="str">
        <f aca="false">IF(H452=1,SUM($H$2:H452),"")</f>
        <v/>
      </c>
      <c r="J452" s="0" t="n">
        <f aca="false">IF(AND(食数記録!$A452=プレビュー!$C$3,食数記録!$B452="昼",食数記録!$F452="女性入所",食数記録!$D452="欠食"),1,0)</f>
        <v>0</v>
      </c>
      <c r="K452" s="0" t="str">
        <f aca="false">IF(J452=1,SUM($J$2:J452),"")</f>
        <v/>
      </c>
      <c r="L452" s="0" t="n">
        <f aca="false">IF(AND(食数記録!$A452=プレビュー!$C$3,食数記録!$B452="夕",食数記録!$F452="女性入所",食数記録!$D452="欠食"),1,0)</f>
        <v>0</v>
      </c>
      <c r="M452" s="0" t="str">
        <f aca="false">IF(L452=1,SUM($L$2:L452),"")</f>
        <v/>
      </c>
      <c r="N452" s="0" t="n">
        <f aca="false">IF(AND(食数記録!$A452=プレビュー!$C$3,食数記録!$B452="朝",食数記録!$F452="男性GH",食数記録!$D452="臨時喫食"),1,0)</f>
        <v>0</v>
      </c>
      <c r="O452" s="0" t="str">
        <f aca="false">IF(N452=1,SUM($N$2:N452),"")</f>
        <v/>
      </c>
      <c r="P452" s="0" t="n">
        <f aca="false">IF(AND(食数記録!$A452=プレビュー!$C$3,食数記録!$B452="昼",食数記録!$F452="男性GH",食数記録!$D452="臨時喫食"),1,0)</f>
        <v>0</v>
      </c>
      <c r="Q452" s="0" t="str">
        <f aca="false">IF(P452=1,SUM($P$2:P452),"")</f>
        <v/>
      </c>
      <c r="R452" s="0" t="n">
        <f aca="false">IF(AND(食数記録!$A452=プレビュー!$C$3,食数記録!$B452="夕",食数記録!$F452="男性GH",食数記録!$D452="臨時喫食"),1,0)</f>
        <v>0</v>
      </c>
      <c r="S452" s="0" t="str">
        <f aca="false">IF(R452=1,SUM($R$2:R452),"")</f>
        <v/>
      </c>
      <c r="T452" s="0" t="n">
        <f aca="false">IF(AND(食数記録!$A452=プレビュー!$C$3,食数記録!$B452="朝",食数記録!$F452="女性GH",食数記録!$D452="臨時喫食"),1,0)</f>
        <v>0</v>
      </c>
      <c r="U452" s="0" t="str">
        <f aca="false">IF(T452=1,SUM($T$2:T452),"")</f>
        <v/>
      </c>
      <c r="V452" s="0" t="n">
        <f aca="false">IF(AND(食数記録!$A452=プレビュー!$C$3,食数記録!$B452="昼",食数記録!$F452="女性GH",食数記録!$D452="臨時喫食"),1,0)</f>
        <v>0</v>
      </c>
      <c r="W452" s="0" t="str">
        <f aca="false">IF(V452=1,SUM($V$2:V452),"")</f>
        <v/>
      </c>
      <c r="X452" s="0" t="n">
        <f aca="false">IF(AND(食数記録!$A452=プレビュー!$C$3,食数記録!$B452="夕",食数記録!$F452="女性GH",食数記録!$D452="臨時喫食"),1,0)</f>
        <v>0</v>
      </c>
      <c r="Y452" s="0" t="str">
        <f aca="false">IF(X452=1,SUM($X$2:X452),"")</f>
        <v/>
      </c>
    </row>
    <row r="453" customFormat="false" ht="15" hidden="false" customHeight="false" outlineLevel="0" collapsed="false">
      <c r="B453" s="0" t="n">
        <f aca="false">IF(AND(食数記録!$A453=プレビュー!$C$3,食数記録!$B453="朝",食数記録!$F453="男性入所",食数記録!$D453="欠食"),1,0)</f>
        <v>0</v>
      </c>
      <c r="C453" s="0" t="str">
        <f aca="false">IF(B453=1,SUM($B$2:B453),"")</f>
        <v/>
      </c>
      <c r="D453" s="0" t="n">
        <f aca="false">IF(AND(食数記録!$A453=プレビュー!$C$3,食数記録!$B453="昼",食数記録!$F453="男性入所",食数記録!$D453="欠食"),1,0)</f>
        <v>0</v>
      </c>
      <c r="E453" s="0" t="str">
        <f aca="false">IF(D453=1,SUM($D$2:D453),"")</f>
        <v/>
      </c>
      <c r="F453" s="0" t="n">
        <f aca="false">IF(AND(食数記録!$A453=プレビュー!$C$3,食数記録!$B453="夕",食数記録!$F453="男性入所",食数記録!$D453="欠食"),1,0)</f>
        <v>0</v>
      </c>
      <c r="G453" s="0" t="str">
        <f aca="false">IF(F453=1,SUM($F$2:F453),"")</f>
        <v/>
      </c>
      <c r="H453" s="0" t="n">
        <f aca="false">IF(AND(食数記録!$A453=プレビュー!$C$3,食数記録!$B453="朝",食数記録!$F453="女性入所",食数記録!$D453="欠食"),1,0)</f>
        <v>0</v>
      </c>
      <c r="I453" s="0" t="str">
        <f aca="false">IF(H453=1,SUM($H$2:H453),"")</f>
        <v/>
      </c>
      <c r="J453" s="0" t="n">
        <f aca="false">IF(AND(食数記録!$A453=プレビュー!$C$3,食数記録!$B453="昼",食数記録!$F453="女性入所",食数記録!$D453="欠食"),1,0)</f>
        <v>0</v>
      </c>
      <c r="K453" s="0" t="str">
        <f aca="false">IF(J453=1,SUM($J$2:J453),"")</f>
        <v/>
      </c>
      <c r="L453" s="0" t="n">
        <f aca="false">IF(AND(食数記録!$A453=プレビュー!$C$3,食数記録!$B453="夕",食数記録!$F453="女性入所",食数記録!$D453="欠食"),1,0)</f>
        <v>0</v>
      </c>
      <c r="M453" s="0" t="str">
        <f aca="false">IF(L453=1,SUM($L$2:L453),"")</f>
        <v/>
      </c>
      <c r="N453" s="0" t="n">
        <f aca="false">IF(AND(食数記録!$A453=プレビュー!$C$3,食数記録!$B453="朝",食数記録!$F453="男性GH",食数記録!$D453="臨時喫食"),1,0)</f>
        <v>0</v>
      </c>
      <c r="O453" s="0" t="str">
        <f aca="false">IF(N453=1,SUM($N$2:N453),"")</f>
        <v/>
      </c>
      <c r="P453" s="0" t="n">
        <f aca="false">IF(AND(食数記録!$A453=プレビュー!$C$3,食数記録!$B453="昼",食数記録!$F453="男性GH",食数記録!$D453="臨時喫食"),1,0)</f>
        <v>0</v>
      </c>
      <c r="Q453" s="0" t="str">
        <f aca="false">IF(P453=1,SUM($P$2:P453),"")</f>
        <v/>
      </c>
      <c r="R453" s="0" t="n">
        <f aca="false">IF(AND(食数記録!$A453=プレビュー!$C$3,食数記録!$B453="夕",食数記録!$F453="男性GH",食数記録!$D453="臨時喫食"),1,0)</f>
        <v>0</v>
      </c>
      <c r="S453" s="0" t="str">
        <f aca="false">IF(R453=1,SUM($R$2:R453),"")</f>
        <v/>
      </c>
      <c r="T453" s="0" t="n">
        <f aca="false">IF(AND(食数記録!$A453=プレビュー!$C$3,食数記録!$B453="朝",食数記録!$F453="女性GH",食数記録!$D453="臨時喫食"),1,0)</f>
        <v>0</v>
      </c>
      <c r="U453" s="0" t="str">
        <f aca="false">IF(T453=1,SUM($T$2:T453),"")</f>
        <v/>
      </c>
      <c r="V453" s="0" t="n">
        <f aca="false">IF(AND(食数記録!$A453=プレビュー!$C$3,食数記録!$B453="昼",食数記録!$F453="女性GH",食数記録!$D453="臨時喫食"),1,0)</f>
        <v>0</v>
      </c>
      <c r="W453" s="0" t="str">
        <f aca="false">IF(V453=1,SUM($V$2:V453),"")</f>
        <v/>
      </c>
      <c r="X453" s="0" t="n">
        <f aca="false">IF(AND(食数記録!$A453=プレビュー!$C$3,食数記録!$B453="夕",食数記録!$F453="女性GH",食数記録!$D453="臨時喫食"),1,0)</f>
        <v>0</v>
      </c>
      <c r="Y453" s="0" t="str">
        <f aca="false">IF(X453=1,SUM($X$2:X453),"")</f>
        <v/>
      </c>
    </row>
    <row r="454" customFormat="false" ht="15" hidden="false" customHeight="false" outlineLevel="0" collapsed="false">
      <c r="B454" s="0" t="n">
        <f aca="false">IF(AND(食数記録!$A454=プレビュー!$C$3,食数記録!$B454="朝",食数記録!$F454="男性入所",食数記録!$D454="欠食"),1,0)</f>
        <v>0</v>
      </c>
      <c r="C454" s="0" t="str">
        <f aca="false">IF(B454=1,SUM($B$2:B454),"")</f>
        <v/>
      </c>
      <c r="D454" s="0" t="n">
        <f aca="false">IF(AND(食数記録!$A454=プレビュー!$C$3,食数記録!$B454="昼",食数記録!$F454="男性入所",食数記録!$D454="欠食"),1,0)</f>
        <v>0</v>
      </c>
      <c r="E454" s="0" t="str">
        <f aca="false">IF(D454=1,SUM($D$2:D454),"")</f>
        <v/>
      </c>
      <c r="F454" s="0" t="n">
        <f aca="false">IF(AND(食数記録!$A454=プレビュー!$C$3,食数記録!$B454="夕",食数記録!$F454="男性入所",食数記録!$D454="欠食"),1,0)</f>
        <v>0</v>
      </c>
      <c r="G454" s="0" t="str">
        <f aca="false">IF(F454=1,SUM($F$2:F454),"")</f>
        <v/>
      </c>
      <c r="H454" s="0" t="n">
        <f aca="false">IF(AND(食数記録!$A454=プレビュー!$C$3,食数記録!$B454="朝",食数記録!$F454="女性入所",食数記録!$D454="欠食"),1,0)</f>
        <v>0</v>
      </c>
      <c r="I454" s="0" t="str">
        <f aca="false">IF(H454=1,SUM($H$2:H454),"")</f>
        <v/>
      </c>
      <c r="J454" s="0" t="n">
        <f aca="false">IF(AND(食数記録!$A454=プレビュー!$C$3,食数記録!$B454="昼",食数記録!$F454="女性入所",食数記録!$D454="欠食"),1,0)</f>
        <v>0</v>
      </c>
      <c r="K454" s="0" t="str">
        <f aca="false">IF(J454=1,SUM($J$2:J454),"")</f>
        <v/>
      </c>
      <c r="L454" s="0" t="n">
        <f aca="false">IF(AND(食数記録!$A454=プレビュー!$C$3,食数記録!$B454="夕",食数記録!$F454="女性入所",食数記録!$D454="欠食"),1,0)</f>
        <v>0</v>
      </c>
      <c r="M454" s="0" t="str">
        <f aca="false">IF(L454=1,SUM($L$2:L454),"")</f>
        <v/>
      </c>
      <c r="N454" s="0" t="n">
        <f aca="false">IF(AND(食数記録!$A454=プレビュー!$C$3,食数記録!$B454="朝",食数記録!$F454="男性GH",食数記録!$D454="臨時喫食"),1,0)</f>
        <v>0</v>
      </c>
      <c r="O454" s="0" t="str">
        <f aca="false">IF(N454=1,SUM($N$2:N454),"")</f>
        <v/>
      </c>
      <c r="P454" s="0" t="n">
        <f aca="false">IF(AND(食数記録!$A454=プレビュー!$C$3,食数記録!$B454="昼",食数記録!$F454="男性GH",食数記録!$D454="臨時喫食"),1,0)</f>
        <v>0</v>
      </c>
      <c r="Q454" s="0" t="str">
        <f aca="false">IF(P454=1,SUM($P$2:P454),"")</f>
        <v/>
      </c>
      <c r="R454" s="0" t="n">
        <f aca="false">IF(AND(食数記録!$A454=プレビュー!$C$3,食数記録!$B454="夕",食数記録!$F454="男性GH",食数記録!$D454="臨時喫食"),1,0)</f>
        <v>0</v>
      </c>
      <c r="S454" s="0" t="str">
        <f aca="false">IF(R454=1,SUM($R$2:R454),"")</f>
        <v/>
      </c>
      <c r="T454" s="0" t="n">
        <f aca="false">IF(AND(食数記録!$A454=プレビュー!$C$3,食数記録!$B454="朝",食数記録!$F454="女性GH",食数記録!$D454="臨時喫食"),1,0)</f>
        <v>0</v>
      </c>
      <c r="U454" s="0" t="str">
        <f aca="false">IF(T454=1,SUM($T$2:T454),"")</f>
        <v/>
      </c>
      <c r="V454" s="0" t="n">
        <f aca="false">IF(AND(食数記録!$A454=プレビュー!$C$3,食数記録!$B454="昼",食数記録!$F454="女性GH",食数記録!$D454="臨時喫食"),1,0)</f>
        <v>0</v>
      </c>
      <c r="W454" s="0" t="str">
        <f aca="false">IF(V454=1,SUM($V$2:V454),"")</f>
        <v/>
      </c>
      <c r="X454" s="0" t="n">
        <f aca="false">IF(AND(食数記録!$A454=プレビュー!$C$3,食数記録!$B454="夕",食数記録!$F454="女性GH",食数記録!$D454="臨時喫食"),1,0)</f>
        <v>0</v>
      </c>
      <c r="Y454" s="0" t="str">
        <f aca="false">IF(X454=1,SUM($X$2:X454),"")</f>
        <v/>
      </c>
    </row>
    <row r="455" customFormat="false" ht="15" hidden="false" customHeight="false" outlineLevel="0" collapsed="false">
      <c r="B455" s="0" t="n">
        <f aca="false">IF(AND(食数記録!$A455=プレビュー!$C$3,食数記録!$B455="朝",食数記録!$F455="男性入所",食数記録!$D455="欠食"),1,0)</f>
        <v>0</v>
      </c>
      <c r="C455" s="0" t="str">
        <f aca="false">IF(B455=1,SUM($B$2:B455),"")</f>
        <v/>
      </c>
      <c r="D455" s="0" t="n">
        <f aca="false">IF(AND(食数記録!$A455=プレビュー!$C$3,食数記録!$B455="昼",食数記録!$F455="男性入所",食数記録!$D455="欠食"),1,0)</f>
        <v>0</v>
      </c>
      <c r="E455" s="0" t="str">
        <f aca="false">IF(D455=1,SUM($D$2:D455),"")</f>
        <v/>
      </c>
      <c r="F455" s="0" t="n">
        <f aca="false">IF(AND(食数記録!$A455=プレビュー!$C$3,食数記録!$B455="夕",食数記録!$F455="男性入所",食数記録!$D455="欠食"),1,0)</f>
        <v>0</v>
      </c>
      <c r="G455" s="0" t="str">
        <f aca="false">IF(F455=1,SUM($F$2:F455),"")</f>
        <v/>
      </c>
      <c r="H455" s="0" t="n">
        <f aca="false">IF(AND(食数記録!$A455=プレビュー!$C$3,食数記録!$B455="朝",食数記録!$F455="女性入所",食数記録!$D455="欠食"),1,0)</f>
        <v>0</v>
      </c>
      <c r="I455" s="0" t="str">
        <f aca="false">IF(H455=1,SUM($H$2:H455),"")</f>
        <v/>
      </c>
      <c r="J455" s="0" t="n">
        <f aca="false">IF(AND(食数記録!$A455=プレビュー!$C$3,食数記録!$B455="昼",食数記録!$F455="女性入所",食数記録!$D455="欠食"),1,0)</f>
        <v>0</v>
      </c>
      <c r="K455" s="0" t="str">
        <f aca="false">IF(J455=1,SUM($J$2:J455),"")</f>
        <v/>
      </c>
      <c r="L455" s="0" t="n">
        <f aca="false">IF(AND(食数記録!$A455=プレビュー!$C$3,食数記録!$B455="夕",食数記録!$F455="女性入所",食数記録!$D455="欠食"),1,0)</f>
        <v>0</v>
      </c>
      <c r="M455" s="0" t="str">
        <f aca="false">IF(L455=1,SUM($L$2:L455),"")</f>
        <v/>
      </c>
      <c r="N455" s="0" t="n">
        <f aca="false">IF(AND(食数記録!$A455=プレビュー!$C$3,食数記録!$B455="朝",食数記録!$F455="男性GH",食数記録!$D455="臨時喫食"),1,0)</f>
        <v>0</v>
      </c>
      <c r="O455" s="0" t="str">
        <f aca="false">IF(N455=1,SUM($N$2:N455),"")</f>
        <v/>
      </c>
      <c r="P455" s="0" t="n">
        <f aca="false">IF(AND(食数記録!$A455=プレビュー!$C$3,食数記録!$B455="昼",食数記録!$F455="男性GH",食数記録!$D455="臨時喫食"),1,0)</f>
        <v>0</v>
      </c>
      <c r="Q455" s="0" t="str">
        <f aca="false">IF(P455=1,SUM($P$2:P455),"")</f>
        <v/>
      </c>
      <c r="R455" s="0" t="n">
        <f aca="false">IF(AND(食数記録!$A455=プレビュー!$C$3,食数記録!$B455="夕",食数記録!$F455="男性GH",食数記録!$D455="臨時喫食"),1,0)</f>
        <v>0</v>
      </c>
      <c r="S455" s="0" t="str">
        <f aca="false">IF(R455=1,SUM($R$2:R455),"")</f>
        <v/>
      </c>
      <c r="T455" s="0" t="n">
        <f aca="false">IF(AND(食数記録!$A455=プレビュー!$C$3,食数記録!$B455="朝",食数記録!$F455="女性GH",食数記録!$D455="臨時喫食"),1,0)</f>
        <v>0</v>
      </c>
      <c r="U455" s="0" t="str">
        <f aca="false">IF(T455=1,SUM($T$2:T455),"")</f>
        <v/>
      </c>
      <c r="V455" s="0" t="n">
        <f aca="false">IF(AND(食数記録!$A455=プレビュー!$C$3,食数記録!$B455="昼",食数記録!$F455="女性GH",食数記録!$D455="臨時喫食"),1,0)</f>
        <v>0</v>
      </c>
      <c r="W455" s="0" t="str">
        <f aca="false">IF(V455=1,SUM($V$2:V455),"")</f>
        <v/>
      </c>
      <c r="X455" s="0" t="n">
        <f aca="false">IF(AND(食数記録!$A455=プレビュー!$C$3,食数記録!$B455="夕",食数記録!$F455="女性GH",食数記録!$D455="臨時喫食"),1,0)</f>
        <v>0</v>
      </c>
      <c r="Y455" s="0" t="str">
        <f aca="false">IF(X455=1,SUM($X$2:X455),"")</f>
        <v/>
      </c>
    </row>
    <row r="456" customFormat="false" ht="15" hidden="false" customHeight="false" outlineLevel="0" collapsed="false">
      <c r="B456" s="0" t="n">
        <f aca="false">IF(AND(食数記録!$A456=プレビュー!$C$3,食数記録!$B456="朝",食数記録!$F456="男性入所",食数記録!$D456="欠食"),1,0)</f>
        <v>0</v>
      </c>
      <c r="C456" s="0" t="str">
        <f aca="false">IF(B456=1,SUM($B$2:B456),"")</f>
        <v/>
      </c>
      <c r="D456" s="0" t="n">
        <f aca="false">IF(AND(食数記録!$A456=プレビュー!$C$3,食数記録!$B456="昼",食数記録!$F456="男性入所",食数記録!$D456="欠食"),1,0)</f>
        <v>0</v>
      </c>
      <c r="E456" s="0" t="str">
        <f aca="false">IF(D456=1,SUM($D$2:D456),"")</f>
        <v/>
      </c>
      <c r="F456" s="0" t="n">
        <f aca="false">IF(AND(食数記録!$A456=プレビュー!$C$3,食数記録!$B456="夕",食数記録!$F456="男性入所",食数記録!$D456="欠食"),1,0)</f>
        <v>0</v>
      </c>
      <c r="G456" s="0" t="str">
        <f aca="false">IF(F456=1,SUM($F$2:F456),"")</f>
        <v/>
      </c>
      <c r="H456" s="0" t="n">
        <f aca="false">IF(AND(食数記録!$A456=プレビュー!$C$3,食数記録!$B456="朝",食数記録!$F456="女性入所",食数記録!$D456="欠食"),1,0)</f>
        <v>0</v>
      </c>
      <c r="I456" s="0" t="str">
        <f aca="false">IF(H456=1,SUM($H$2:H456),"")</f>
        <v/>
      </c>
      <c r="J456" s="0" t="n">
        <f aca="false">IF(AND(食数記録!$A456=プレビュー!$C$3,食数記録!$B456="昼",食数記録!$F456="女性入所",食数記録!$D456="欠食"),1,0)</f>
        <v>0</v>
      </c>
      <c r="K456" s="0" t="str">
        <f aca="false">IF(J456=1,SUM($J$2:J456),"")</f>
        <v/>
      </c>
      <c r="L456" s="0" t="n">
        <f aca="false">IF(AND(食数記録!$A456=プレビュー!$C$3,食数記録!$B456="夕",食数記録!$F456="女性入所",食数記録!$D456="欠食"),1,0)</f>
        <v>0</v>
      </c>
      <c r="M456" s="0" t="str">
        <f aca="false">IF(L456=1,SUM($L$2:L456),"")</f>
        <v/>
      </c>
      <c r="N456" s="0" t="n">
        <f aca="false">IF(AND(食数記録!$A456=プレビュー!$C$3,食数記録!$B456="朝",食数記録!$F456="男性GH",食数記録!$D456="臨時喫食"),1,0)</f>
        <v>0</v>
      </c>
      <c r="O456" s="0" t="str">
        <f aca="false">IF(N456=1,SUM($N$2:N456),"")</f>
        <v/>
      </c>
      <c r="P456" s="0" t="n">
        <f aca="false">IF(AND(食数記録!$A456=プレビュー!$C$3,食数記録!$B456="昼",食数記録!$F456="男性GH",食数記録!$D456="臨時喫食"),1,0)</f>
        <v>0</v>
      </c>
      <c r="Q456" s="0" t="str">
        <f aca="false">IF(P456=1,SUM($P$2:P456),"")</f>
        <v/>
      </c>
      <c r="R456" s="0" t="n">
        <f aca="false">IF(AND(食数記録!$A456=プレビュー!$C$3,食数記録!$B456="夕",食数記録!$F456="男性GH",食数記録!$D456="臨時喫食"),1,0)</f>
        <v>0</v>
      </c>
      <c r="S456" s="0" t="str">
        <f aca="false">IF(R456=1,SUM($R$2:R456),"")</f>
        <v/>
      </c>
      <c r="T456" s="0" t="n">
        <f aca="false">IF(AND(食数記録!$A456=プレビュー!$C$3,食数記録!$B456="朝",食数記録!$F456="女性GH",食数記録!$D456="臨時喫食"),1,0)</f>
        <v>0</v>
      </c>
      <c r="U456" s="0" t="str">
        <f aca="false">IF(T456=1,SUM($T$2:T456),"")</f>
        <v/>
      </c>
      <c r="V456" s="0" t="n">
        <f aca="false">IF(AND(食数記録!$A456=プレビュー!$C$3,食数記録!$B456="昼",食数記録!$F456="女性GH",食数記録!$D456="臨時喫食"),1,0)</f>
        <v>0</v>
      </c>
      <c r="W456" s="0" t="str">
        <f aca="false">IF(V456=1,SUM($V$2:V456),"")</f>
        <v/>
      </c>
      <c r="X456" s="0" t="n">
        <f aca="false">IF(AND(食数記録!$A456=プレビュー!$C$3,食数記録!$B456="夕",食数記録!$F456="女性GH",食数記録!$D456="臨時喫食"),1,0)</f>
        <v>0</v>
      </c>
      <c r="Y456" s="0" t="str">
        <f aca="false">IF(X456=1,SUM($X$2:X456),"")</f>
        <v/>
      </c>
    </row>
    <row r="457" customFormat="false" ht="15" hidden="false" customHeight="false" outlineLevel="0" collapsed="false">
      <c r="B457" s="0" t="n">
        <f aca="false">IF(AND(食数記録!$A457=プレビュー!$C$3,食数記録!$B457="朝",食数記録!$F457="男性入所",食数記録!$D457="欠食"),1,0)</f>
        <v>0</v>
      </c>
      <c r="C457" s="0" t="str">
        <f aca="false">IF(B457=1,SUM($B$2:B457),"")</f>
        <v/>
      </c>
      <c r="D457" s="0" t="n">
        <f aca="false">IF(AND(食数記録!$A457=プレビュー!$C$3,食数記録!$B457="昼",食数記録!$F457="男性入所",食数記録!$D457="欠食"),1,0)</f>
        <v>0</v>
      </c>
      <c r="E457" s="0" t="str">
        <f aca="false">IF(D457=1,SUM($D$2:D457),"")</f>
        <v/>
      </c>
      <c r="F457" s="0" t="n">
        <f aca="false">IF(AND(食数記録!$A457=プレビュー!$C$3,食数記録!$B457="夕",食数記録!$F457="男性入所",食数記録!$D457="欠食"),1,0)</f>
        <v>0</v>
      </c>
      <c r="G457" s="0" t="str">
        <f aca="false">IF(F457=1,SUM($F$2:F457),"")</f>
        <v/>
      </c>
      <c r="H457" s="0" t="n">
        <f aca="false">IF(AND(食数記録!$A457=プレビュー!$C$3,食数記録!$B457="朝",食数記録!$F457="女性入所",食数記録!$D457="欠食"),1,0)</f>
        <v>0</v>
      </c>
      <c r="I457" s="0" t="str">
        <f aca="false">IF(H457=1,SUM($H$2:H457),"")</f>
        <v/>
      </c>
      <c r="J457" s="0" t="n">
        <f aca="false">IF(AND(食数記録!$A457=プレビュー!$C$3,食数記録!$B457="昼",食数記録!$F457="女性入所",食数記録!$D457="欠食"),1,0)</f>
        <v>0</v>
      </c>
      <c r="K457" s="0" t="str">
        <f aca="false">IF(J457=1,SUM($J$2:J457),"")</f>
        <v/>
      </c>
      <c r="L457" s="0" t="n">
        <f aca="false">IF(AND(食数記録!$A457=プレビュー!$C$3,食数記録!$B457="夕",食数記録!$F457="女性入所",食数記録!$D457="欠食"),1,0)</f>
        <v>0</v>
      </c>
      <c r="M457" s="0" t="str">
        <f aca="false">IF(L457=1,SUM($L$2:L457),"")</f>
        <v/>
      </c>
      <c r="N457" s="0" t="n">
        <f aca="false">IF(AND(食数記録!$A457=プレビュー!$C$3,食数記録!$B457="朝",食数記録!$F457="男性GH",食数記録!$D457="臨時喫食"),1,0)</f>
        <v>0</v>
      </c>
      <c r="O457" s="0" t="str">
        <f aca="false">IF(N457=1,SUM($N$2:N457),"")</f>
        <v/>
      </c>
      <c r="P457" s="0" t="n">
        <f aca="false">IF(AND(食数記録!$A457=プレビュー!$C$3,食数記録!$B457="昼",食数記録!$F457="男性GH",食数記録!$D457="臨時喫食"),1,0)</f>
        <v>0</v>
      </c>
      <c r="Q457" s="0" t="str">
        <f aca="false">IF(P457=1,SUM($P$2:P457),"")</f>
        <v/>
      </c>
      <c r="R457" s="0" t="n">
        <f aca="false">IF(AND(食数記録!$A457=プレビュー!$C$3,食数記録!$B457="夕",食数記録!$F457="男性GH",食数記録!$D457="臨時喫食"),1,0)</f>
        <v>0</v>
      </c>
      <c r="S457" s="0" t="str">
        <f aca="false">IF(R457=1,SUM($R$2:R457),"")</f>
        <v/>
      </c>
      <c r="T457" s="0" t="n">
        <f aca="false">IF(AND(食数記録!$A457=プレビュー!$C$3,食数記録!$B457="朝",食数記録!$F457="女性GH",食数記録!$D457="臨時喫食"),1,0)</f>
        <v>0</v>
      </c>
      <c r="U457" s="0" t="str">
        <f aca="false">IF(T457=1,SUM($T$2:T457),"")</f>
        <v/>
      </c>
      <c r="V457" s="0" t="n">
        <f aca="false">IF(AND(食数記録!$A457=プレビュー!$C$3,食数記録!$B457="昼",食数記録!$F457="女性GH",食数記録!$D457="臨時喫食"),1,0)</f>
        <v>0</v>
      </c>
      <c r="W457" s="0" t="str">
        <f aca="false">IF(V457=1,SUM($V$2:V457),"")</f>
        <v/>
      </c>
      <c r="X457" s="0" t="n">
        <f aca="false">IF(AND(食数記録!$A457=プレビュー!$C$3,食数記録!$B457="夕",食数記録!$F457="女性GH",食数記録!$D457="臨時喫食"),1,0)</f>
        <v>0</v>
      </c>
      <c r="Y457" s="0" t="str">
        <f aca="false">IF(X457=1,SUM($X$2:X457),"")</f>
        <v/>
      </c>
    </row>
    <row r="458" customFormat="false" ht="15" hidden="false" customHeight="false" outlineLevel="0" collapsed="false">
      <c r="B458" s="0" t="n">
        <f aca="false">IF(AND(食数記録!$A458=プレビュー!$C$3,食数記録!$B458="朝",食数記録!$F458="男性入所",食数記録!$D458="欠食"),1,0)</f>
        <v>0</v>
      </c>
      <c r="C458" s="0" t="str">
        <f aca="false">IF(B458=1,SUM($B$2:B458),"")</f>
        <v/>
      </c>
      <c r="D458" s="0" t="n">
        <f aca="false">IF(AND(食数記録!$A458=プレビュー!$C$3,食数記録!$B458="昼",食数記録!$F458="男性入所",食数記録!$D458="欠食"),1,0)</f>
        <v>0</v>
      </c>
      <c r="E458" s="0" t="str">
        <f aca="false">IF(D458=1,SUM($D$2:D458),"")</f>
        <v/>
      </c>
      <c r="F458" s="0" t="n">
        <f aca="false">IF(AND(食数記録!$A458=プレビュー!$C$3,食数記録!$B458="夕",食数記録!$F458="男性入所",食数記録!$D458="欠食"),1,0)</f>
        <v>0</v>
      </c>
      <c r="G458" s="0" t="str">
        <f aca="false">IF(F458=1,SUM($F$2:F458),"")</f>
        <v/>
      </c>
      <c r="H458" s="0" t="n">
        <f aca="false">IF(AND(食数記録!$A458=プレビュー!$C$3,食数記録!$B458="朝",食数記録!$F458="女性入所",食数記録!$D458="欠食"),1,0)</f>
        <v>0</v>
      </c>
      <c r="I458" s="0" t="str">
        <f aca="false">IF(H458=1,SUM($H$2:H458),"")</f>
        <v/>
      </c>
      <c r="J458" s="0" t="n">
        <f aca="false">IF(AND(食数記録!$A458=プレビュー!$C$3,食数記録!$B458="昼",食数記録!$F458="女性入所",食数記録!$D458="欠食"),1,0)</f>
        <v>0</v>
      </c>
      <c r="K458" s="0" t="str">
        <f aca="false">IF(J458=1,SUM($J$2:J458),"")</f>
        <v/>
      </c>
      <c r="L458" s="0" t="n">
        <f aca="false">IF(AND(食数記録!$A458=プレビュー!$C$3,食数記録!$B458="夕",食数記録!$F458="女性入所",食数記録!$D458="欠食"),1,0)</f>
        <v>0</v>
      </c>
      <c r="M458" s="0" t="str">
        <f aca="false">IF(L458=1,SUM($L$2:L458),"")</f>
        <v/>
      </c>
      <c r="N458" s="0" t="n">
        <f aca="false">IF(AND(食数記録!$A458=プレビュー!$C$3,食数記録!$B458="朝",食数記録!$F458="男性GH",食数記録!$D458="臨時喫食"),1,0)</f>
        <v>0</v>
      </c>
      <c r="O458" s="0" t="str">
        <f aca="false">IF(N458=1,SUM($N$2:N458),"")</f>
        <v/>
      </c>
      <c r="P458" s="0" t="n">
        <f aca="false">IF(AND(食数記録!$A458=プレビュー!$C$3,食数記録!$B458="昼",食数記録!$F458="男性GH",食数記録!$D458="臨時喫食"),1,0)</f>
        <v>0</v>
      </c>
      <c r="Q458" s="0" t="str">
        <f aca="false">IF(P458=1,SUM($P$2:P458),"")</f>
        <v/>
      </c>
      <c r="R458" s="0" t="n">
        <f aca="false">IF(AND(食数記録!$A458=プレビュー!$C$3,食数記録!$B458="夕",食数記録!$F458="男性GH",食数記録!$D458="臨時喫食"),1,0)</f>
        <v>0</v>
      </c>
      <c r="S458" s="0" t="str">
        <f aca="false">IF(R458=1,SUM($R$2:R458),"")</f>
        <v/>
      </c>
      <c r="T458" s="0" t="n">
        <f aca="false">IF(AND(食数記録!$A458=プレビュー!$C$3,食数記録!$B458="朝",食数記録!$F458="女性GH",食数記録!$D458="臨時喫食"),1,0)</f>
        <v>0</v>
      </c>
      <c r="U458" s="0" t="str">
        <f aca="false">IF(T458=1,SUM($T$2:T458),"")</f>
        <v/>
      </c>
      <c r="V458" s="0" t="n">
        <f aca="false">IF(AND(食数記録!$A458=プレビュー!$C$3,食数記録!$B458="昼",食数記録!$F458="女性GH",食数記録!$D458="臨時喫食"),1,0)</f>
        <v>0</v>
      </c>
      <c r="W458" s="0" t="str">
        <f aca="false">IF(V458=1,SUM($V$2:V458),"")</f>
        <v/>
      </c>
      <c r="X458" s="0" t="n">
        <f aca="false">IF(AND(食数記録!$A458=プレビュー!$C$3,食数記録!$B458="夕",食数記録!$F458="女性GH",食数記録!$D458="臨時喫食"),1,0)</f>
        <v>0</v>
      </c>
      <c r="Y458" s="0" t="str">
        <f aca="false">IF(X458=1,SUM($X$2:X458),"")</f>
        <v/>
      </c>
    </row>
    <row r="459" customFormat="false" ht="15" hidden="false" customHeight="false" outlineLevel="0" collapsed="false">
      <c r="B459" s="0" t="n">
        <f aca="false">IF(AND(食数記録!$A459=プレビュー!$C$3,食数記録!$B459="朝",食数記録!$F459="男性入所",食数記録!$D459="欠食"),1,0)</f>
        <v>0</v>
      </c>
      <c r="C459" s="0" t="str">
        <f aca="false">IF(B459=1,SUM($B$2:B459),"")</f>
        <v/>
      </c>
      <c r="D459" s="0" t="n">
        <f aca="false">IF(AND(食数記録!$A459=プレビュー!$C$3,食数記録!$B459="昼",食数記録!$F459="男性入所",食数記録!$D459="欠食"),1,0)</f>
        <v>0</v>
      </c>
      <c r="E459" s="0" t="str">
        <f aca="false">IF(D459=1,SUM($D$2:D459),"")</f>
        <v/>
      </c>
      <c r="F459" s="0" t="n">
        <f aca="false">IF(AND(食数記録!$A459=プレビュー!$C$3,食数記録!$B459="夕",食数記録!$F459="男性入所",食数記録!$D459="欠食"),1,0)</f>
        <v>0</v>
      </c>
      <c r="G459" s="0" t="str">
        <f aca="false">IF(F459=1,SUM($F$2:F459),"")</f>
        <v/>
      </c>
      <c r="H459" s="0" t="n">
        <f aca="false">IF(AND(食数記録!$A459=プレビュー!$C$3,食数記録!$B459="朝",食数記録!$F459="女性入所",食数記録!$D459="欠食"),1,0)</f>
        <v>0</v>
      </c>
      <c r="I459" s="0" t="str">
        <f aca="false">IF(H459=1,SUM($H$2:H459),"")</f>
        <v/>
      </c>
      <c r="J459" s="0" t="n">
        <f aca="false">IF(AND(食数記録!$A459=プレビュー!$C$3,食数記録!$B459="昼",食数記録!$F459="女性入所",食数記録!$D459="欠食"),1,0)</f>
        <v>0</v>
      </c>
      <c r="K459" s="0" t="str">
        <f aca="false">IF(J459=1,SUM($J$2:J459),"")</f>
        <v/>
      </c>
      <c r="L459" s="0" t="n">
        <f aca="false">IF(AND(食数記録!$A459=プレビュー!$C$3,食数記録!$B459="夕",食数記録!$F459="女性入所",食数記録!$D459="欠食"),1,0)</f>
        <v>0</v>
      </c>
      <c r="M459" s="0" t="str">
        <f aca="false">IF(L459=1,SUM($L$2:L459),"")</f>
        <v/>
      </c>
      <c r="N459" s="0" t="n">
        <f aca="false">IF(AND(食数記録!$A459=プレビュー!$C$3,食数記録!$B459="朝",食数記録!$F459="男性GH",食数記録!$D459="臨時喫食"),1,0)</f>
        <v>0</v>
      </c>
      <c r="O459" s="0" t="str">
        <f aca="false">IF(N459=1,SUM($N$2:N459),"")</f>
        <v/>
      </c>
      <c r="P459" s="0" t="n">
        <f aca="false">IF(AND(食数記録!$A459=プレビュー!$C$3,食数記録!$B459="昼",食数記録!$F459="男性GH",食数記録!$D459="臨時喫食"),1,0)</f>
        <v>0</v>
      </c>
      <c r="Q459" s="0" t="str">
        <f aca="false">IF(P459=1,SUM($P$2:P459),"")</f>
        <v/>
      </c>
      <c r="R459" s="0" t="n">
        <f aca="false">IF(AND(食数記録!$A459=プレビュー!$C$3,食数記録!$B459="夕",食数記録!$F459="男性GH",食数記録!$D459="臨時喫食"),1,0)</f>
        <v>0</v>
      </c>
      <c r="S459" s="0" t="str">
        <f aca="false">IF(R459=1,SUM($R$2:R459),"")</f>
        <v/>
      </c>
      <c r="T459" s="0" t="n">
        <f aca="false">IF(AND(食数記録!$A459=プレビュー!$C$3,食数記録!$B459="朝",食数記録!$F459="女性GH",食数記録!$D459="臨時喫食"),1,0)</f>
        <v>0</v>
      </c>
      <c r="U459" s="0" t="str">
        <f aca="false">IF(T459=1,SUM($T$2:T459),"")</f>
        <v/>
      </c>
      <c r="V459" s="0" t="n">
        <f aca="false">IF(AND(食数記録!$A459=プレビュー!$C$3,食数記録!$B459="昼",食数記録!$F459="女性GH",食数記録!$D459="臨時喫食"),1,0)</f>
        <v>0</v>
      </c>
      <c r="W459" s="0" t="str">
        <f aca="false">IF(V459=1,SUM($V$2:V459),"")</f>
        <v/>
      </c>
      <c r="X459" s="0" t="n">
        <f aca="false">IF(AND(食数記録!$A459=プレビュー!$C$3,食数記録!$B459="夕",食数記録!$F459="女性GH",食数記録!$D459="臨時喫食"),1,0)</f>
        <v>0</v>
      </c>
      <c r="Y459" s="0" t="str">
        <f aca="false">IF(X459=1,SUM($X$2:X459),"")</f>
        <v/>
      </c>
    </row>
    <row r="460" customFormat="false" ht="15" hidden="false" customHeight="false" outlineLevel="0" collapsed="false">
      <c r="B460" s="0" t="n">
        <f aca="false">IF(AND(食数記録!$A460=プレビュー!$C$3,食数記録!$B460="朝",食数記録!$F460="男性入所",食数記録!$D460="欠食"),1,0)</f>
        <v>0</v>
      </c>
      <c r="C460" s="0" t="str">
        <f aca="false">IF(B460=1,SUM($B$2:B460),"")</f>
        <v/>
      </c>
      <c r="D460" s="0" t="n">
        <f aca="false">IF(AND(食数記録!$A460=プレビュー!$C$3,食数記録!$B460="昼",食数記録!$F460="男性入所",食数記録!$D460="欠食"),1,0)</f>
        <v>0</v>
      </c>
      <c r="E460" s="0" t="str">
        <f aca="false">IF(D460=1,SUM($D$2:D460),"")</f>
        <v/>
      </c>
      <c r="F460" s="0" t="n">
        <f aca="false">IF(AND(食数記録!$A460=プレビュー!$C$3,食数記録!$B460="夕",食数記録!$F460="男性入所",食数記録!$D460="欠食"),1,0)</f>
        <v>0</v>
      </c>
      <c r="G460" s="0" t="str">
        <f aca="false">IF(F460=1,SUM($F$2:F460),"")</f>
        <v/>
      </c>
      <c r="H460" s="0" t="n">
        <f aca="false">IF(AND(食数記録!$A460=プレビュー!$C$3,食数記録!$B460="朝",食数記録!$F460="女性入所",食数記録!$D460="欠食"),1,0)</f>
        <v>0</v>
      </c>
      <c r="I460" s="0" t="str">
        <f aca="false">IF(H460=1,SUM($H$2:H460),"")</f>
        <v/>
      </c>
      <c r="J460" s="0" t="n">
        <f aca="false">IF(AND(食数記録!$A460=プレビュー!$C$3,食数記録!$B460="昼",食数記録!$F460="女性入所",食数記録!$D460="欠食"),1,0)</f>
        <v>0</v>
      </c>
      <c r="K460" s="0" t="str">
        <f aca="false">IF(J460=1,SUM($J$2:J460),"")</f>
        <v/>
      </c>
      <c r="L460" s="0" t="n">
        <f aca="false">IF(AND(食数記録!$A460=プレビュー!$C$3,食数記録!$B460="夕",食数記録!$F460="女性入所",食数記録!$D460="欠食"),1,0)</f>
        <v>0</v>
      </c>
      <c r="M460" s="0" t="str">
        <f aca="false">IF(L460=1,SUM($L$2:L460),"")</f>
        <v/>
      </c>
      <c r="N460" s="0" t="n">
        <f aca="false">IF(AND(食数記録!$A460=プレビュー!$C$3,食数記録!$B460="朝",食数記録!$F460="男性GH",食数記録!$D460="臨時喫食"),1,0)</f>
        <v>0</v>
      </c>
      <c r="O460" s="0" t="str">
        <f aca="false">IF(N460=1,SUM($N$2:N460),"")</f>
        <v/>
      </c>
      <c r="P460" s="0" t="n">
        <f aca="false">IF(AND(食数記録!$A460=プレビュー!$C$3,食数記録!$B460="昼",食数記録!$F460="男性GH",食数記録!$D460="臨時喫食"),1,0)</f>
        <v>0</v>
      </c>
      <c r="Q460" s="0" t="str">
        <f aca="false">IF(P460=1,SUM($P$2:P460),"")</f>
        <v/>
      </c>
      <c r="R460" s="0" t="n">
        <f aca="false">IF(AND(食数記録!$A460=プレビュー!$C$3,食数記録!$B460="夕",食数記録!$F460="男性GH",食数記録!$D460="臨時喫食"),1,0)</f>
        <v>0</v>
      </c>
      <c r="S460" s="0" t="str">
        <f aca="false">IF(R460=1,SUM($R$2:R460),"")</f>
        <v/>
      </c>
      <c r="T460" s="0" t="n">
        <f aca="false">IF(AND(食数記録!$A460=プレビュー!$C$3,食数記録!$B460="朝",食数記録!$F460="女性GH",食数記録!$D460="臨時喫食"),1,0)</f>
        <v>0</v>
      </c>
      <c r="U460" s="0" t="str">
        <f aca="false">IF(T460=1,SUM($T$2:T460),"")</f>
        <v/>
      </c>
      <c r="V460" s="0" t="n">
        <f aca="false">IF(AND(食数記録!$A460=プレビュー!$C$3,食数記録!$B460="昼",食数記録!$F460="女性GH",食数記録!$D460="臨時喫食"),1,0)</f>
        <v>0</v>
      </c>
      <c r="W460" s="0" t="str">
        <f aca="false">IF(V460=1,SUM($V$2:V460),"")</f>
        <v/>
      </c>
      <c r="X460" s="0" t="n">
        <f aca="false">IF(AND(食数記録!$A460=プレビュー!$C$3,食数記録!$B460="夕",食数記録!$F460="女性GH",食数記録!$D460="臨時喫食"),1,0)</f>
        <v>0</v>
      </c>
      <c r="Y460" s="0" t="str">
        <f aca="false">IF(X460=1,SUM($X$2:X460),"")</f>
        <v/>
      </c>
    </row>
    <row r="461" customFormat="false" ht="15" hidden="false" customHeight="false" outlineLevel="0" collapsed="false">
      <c r="B461" s="0" t="n">
        <f aca="false">IF(AND(食数記録!$A461=プレビュー!$C$3,食数記録!$B461="朝",食数記録!$F461="男性入所",食数記録!$D461="欠食"),1,0)</f>
        <v>0</v>
      </c>
      <c r="C461" s="0" t="str">
        <f aca="false">IF(B461=1,SUM($B$2:B461),"")</f>
        <v/>
      </c>
      <c r="D461" s="0" t="n">
        <f aca="false">IF(AND(食数記録!$A461=プレビュー!$C$3,食数記録!$B461="昼",食数記録!$F461="男性入所",食数記録!$D461="欠食"),1,0)</f>
        <v>0</v>
      </c>
      <c r="E461" s="0" t="str">
        <f aca="false">IF(D461=1,SUM($D$2:D461),"")</f>
        <v/>
      </c>
      <c r="F461" s="0" t="n">
        <f aca="false">IF(AND(食数記録!$A461=プレビュー!$C$3,食数記録!$B461="夕",食数記録!$F461="男性入所",食数記録!$D461="欠食"),1,0)</f>
        <v>0</v>
      </c>
      <c r="G461" s="0" t="str">
        <f aca="false">IF(F461=1,SUM($F$2:F461),"")</f>
        <v/>
      </c>
      <c r="H461" s="0" t="n">
        <f aca="false">IF(AND(食数記録!$A461=プレビュー!$C$3,食数記録!$B461="朝",食数記録!$F461="女性入所",食数記録!$D461="欠食"),1,0)</f>
        <v>0</v>
      </c>
      <c r="I461" s="0" t="str">
        <f aca="false">IF(H461=1,SUM($H$2:H461),"")</f>
        <v/>
      </c>
      <c r="J461" s="0" t="n">
        <f aca="false">IF(AND(食数記録!$A461=プレビュー!$C$3,食数記録!$B461="昼",食数記録!$F461="女性入所",食数記録!$D461="欠食"),1,0)</f>
        <v>0</v>
      </c>
      <c r="K461" s="0" t="str">
        <f aca="false">IF(J461=1,SUM($J$2:J461),"")</f>
        <v/>
      </c>
      <c r="L461" s="0" t="n">
        <f aca="false">IF(AND(食数記録!$A461=プレビュー!$C$3,食数記録!$B461="夕",食数記録!$F461="女性入所",食数記録!$D461="欠食"),1,0)</f>
        <v>0</v>
      </c>
      <c r="M461" s="0" t="str">
        <f aca="false">IF(L461=1,SUM($L$2:L461),"")</f>
        <v/>
      </c>
      <c r="N461" s="0" t="n">
        <f aca="false">IF(AND(食数記録!$A461=プレビュー!$C$3,食数記録!$B461="朝",食数記録!$F461="男性GH",食数記録!$D461="臨時喫食"),1,0)</f>
        <v>0</v>
      </c>
      <c r="O461" s="0" t="str">
        <f aca="false">IF(N461=1,SUM($N$2:N461),"")</f>
        <v/>
      </c>
      <c r="P461" s="0" t="n">
        <f aca="false">IF(AND(食数記録!$A461=プレビュー!$C$3,食数記録!$B461="昼",食数記録!$F461="男性GH",食数記録!$D461="臨時喫食"),1,0)</f>
        <v>0</v>
      </c>
      <c r="Q461" s="0" t="str">
        <f aca="false">IF(P461=1,SUM($P$2:P461),"")</f>
        <v/>
      </c>
      <c r="R461" s="0" t="n">
        <f aca="false">IF(AND(食数記録!$A461=プレビュー!$C$3,食数記録!$B461="夕",食数記録!$F461="男性GH",食数記録!$D461="臨時喫食"),1,0)</f>
        <v>0</v>
      </c>
      <c r="S461" s="0" t="str">
        <f aca="false">IF(R461=1,SUM($R$2:R461),"")</f>
        <v/>
      </c>
      <c r="T461" s="0" t="n">
        <f aca="false">IF(AND(食数記録!$A461=プレビュー!$C$3,食数記録!$B461="朝",食数記録!$F461="女性GH",食数記録!$D461="臨時喫食"),1,0)</f>
        <v>0</v>
      </c>
      <c r="U461" s="0" t="str">
        <f aca="false">IF(T461=1,SUM($T$2:T461),"")</f>
        <v/>
      </c>
      <c r="V461" s="0" t="n">
        <f aca="false">IF(AND(食数記録!$A461=プレビュー!$C$3,食数記録!$B461="昼",食数記録!$F461="女性GH",食数記録!$D461="臨時喫食"),1,0)</f>
        <v>0</v>
      </c>
      <c r="W461" s="0" t="str">
        <f aca="false">IF(V461=1,SUM($V$2:V461),"")</f>
        <v/>
      </c>
      <c r="X461" s="0" t="n">
        <f aca="false">IF(AND(食数記録!$A461=プレビュー!$C$3,食数記録!$B461="夕",食数記録!$F461="女性GH",食数記録!$D461="臨時喫食"),1,0)</f>
        <v>0</v>
      </c>
      <c r="Y461" s="0" t="str">
        <f aca="false">IF(X461=1,SUM($X$2:X461),"")</f>
        <v/>
      </c>
    </row>
    <row r="462" customFormat="false" ht="15" hidden="false" customHeight="false" outlineLevel="0" collapsed="false">
      <c r="B462" s="0" t="n">
        <f aca="false">IF(AND(食数記録!$A462=プレビュー!$C$3,食数記録!$B462="朝",食数記録!$F462="男性入所",食数記録!$D462="欠食"),1,0)</f>
        <v>0</v>
      </c>
      <c r="C462" s="0" t="str">
        <f aca="false">IF(B462=1,SUM($B$2:B462),"")</f>
        <v/>
      </c>
      <c r="D462" s="0" t="n">
        <f aca="false">IF(AND(食数記録!$A462=プレビュー!$C$3,食数記録!$B462="昼",食数記録!$F462="男性入所",食数記録!$D462="欠食"),1,0)</f>
        <v>0</v>
      </c>
      <c r="E462" s="0" t="str">
        <f aca="false">IF(D462=1,SUM($D$2:D462),"")</f>
        <v/>
      </c>
      <c r="F462" s="0" t="n">
        <f aca="false">IF(AND(食数記録!$A462=プレビュー!$C$3,食数記録!$B462="夕",食数記録!$F462="男性入所",食数記録!$D462="欠食"),1,0)</f>
        <v>0</v>
      </c>
      <c r="G462" s="0" t="str">
        <f aca="false">IF(F462=1,SUM($F$2:F462),"")</f>
        <v/>
      </c>
      <c r="H462" s="0" t="n">
        <f aca="false">IF(AND(食数記録!$A462=プレビュー!$C$3,食数記録!$B462="朝",食数記録!$F462="女性入所",食数記録!$D462="欠食"),1,0)</f>
        <v>0</v>
      </c>
      <c r="I462" s="0" t="str">
        <f aca="false">IF(H462=1,SUM($H$2:H462),"")</f>
        <v/>
      </c>
      <c r="J462" s="0" t="n">
        <f aca="false">IF(AND(食数記録!$A462=プレビュー!$C$3,食数記録!$B462="昼",食数記録!$F462="女性入所",食数記録!$D462="欠食"),1,0)</f>
        <v>0</v>
      </c>
      <c r="K462" s="0" t="str">
        <f aca="false">IF(J462=1,SUM($J$2:J462),"")</f>
        <v/>
      </c>
      <c r="L462" s="0" t="n">
        <f aca="false">IF(AND(食数記録!$A462=プレビュー!$C$3,食数記録!$B462="夕",食数記録!$F462="女性入所",食数記録!$D462="欠食"),1,0)</f>
        <v>0</v>
      </c>
      <c r="M462" s="0" t="str">
        <f aca="false">IF(L462=1,SUM($L$2:L462),"")</f>
        <v/>
      </c>
      <c r="N462" s="0" t="n">
        <f aca="false">IF(AND(食数記録!$A462=プレビュー!$C$3,食数記録!$B462="朝",食数記録!$F462="男性GH",食数記録!$D462="臨時喫食"),1,0)</f>
        <v>0</v>
      </c>
      <c r="O462" s="0" t="str">
        <f aca="false">IF(N462=1,SUM($N$2:N462),"")</f>
        <v/>
      </c>
      <c r="P462" s="0" t="n">
        <f aca="false">IF(AND(食数記録!$A462=プレビュー!$C$3,食数記録!$B462="昼",食数記録!$F462="男性GH",食数記録!$D462="臨時喫食"),1,0)</f>
        <v>0</v>
      </c>
      <c r="Q462" s="0" t="str">
        <f aca="false">IF(P462=1,SUM($P$2:P462),"")</f>
        <v/>
      </c>
      <c r="R462" s="0" t="n">
        <f aca="false">IF(AND(食数記録!$A462=プレビュー!$C$3,食数記録!$B462="夕",食数記録!$F462="男性GH",食数記録!$D462="臨時喫食"),1,0)</f>
        <v>0</v>
      </c>
      <c r="S462" s="0" t="str">
        <f aca="false">IF(R462=1,SUM($R$2:R462),"")</f>
        <v/>
      </c>
      <c r="T462" s="0" t="n">
        <f aca="false">IF(AND(食数記録!$A462=プレビュー!$C$3,食数記録!$B462="朝",食数記録!$F462="女性GH",食数記録!$D462="臨時喫食"),1,0)</f>
        <v>0</v>
      </c>
      <c r="U462" s="0" t="str">
        <f aca="false">IF(T462=1,SUM($T$2:T462),"")</f>
        <v/>
      </c>
      <c r="V462" s="0" t="n">
        <f aca="false">IF(AND(食数記録!$A462=プレビュー!$C$3,食数記録!$B462="昼",食数記録!$F462="女性GH",食数記録!$D462="臨時喫食"),1,0)</f>
        <v>0</v>
      </c>
      <c r="W462" s="0" t="str">
        <f aca="false">IF(V462=1,SUM($V$2:V462),"")</f>
        <v/>
      </c>
      <c r="X462" s="0" t="n">
        <f aca="false">IF(AND(食数記録!$A462=プレビュー!$C$3,食数記録!$B462="夕",食数記録!$F462="女性GH",食数記録!$D462="臨時喫食"),1,0)</f>
        <v>0</v>
      </c>
      <c r="Y462" s="0" t="str">
        <f aca="false">IF(X462=1,SUM($X$2:X462),"")</f>
        <v/>
      </c>
    </row>
    <row r="463" customFormat="false" ht="15" hidden="false" customHeight="false" outlineLevel="0" collapsed="false">
      <c r="B463" s="0" t="n">
        <f aca="false">IF(AND(食数記録!$A463=プレビュー!$C$3,食数記録!$B463="朝",食数記録!$F463="男性入所",食数記録!$D463="欠食"),1,0)</f>
        <v>0</v>
      </c>
      <c r="C463" s="0" t="str">
        <f aca="false">IF(B463=1,SUM($B$2:B463),"")</f>
        <v/>
      </c>
      <c r="D463" s="0" t="n">
        <f aca="false">IF(AND(食数記録!$A463=プレビュー!$C$3,食数記録!$B463="昼",食数記録!$F463="男性入所",食数記録!$D463="欠食"),1,0)</f>
        <v>0</v>
      </c>
      <c r="E463" s="0" t="str">
        <f aca="false">IF(D463=1,SUM($D$2:D463),"")</f>
        <v/>
      </c>
      <c r="F463" s="0" t="n">
        <f aca="false">IF(AND(食数記録!$A463=プレビュー!$C$3,食数記録!$B463="夕",食数記録!$F463="男性入所",食数記録!$D463="欠食"),1,0)</f>
        <v>0</v>
      </c>
      <c r="G463" s="0" t="str">
        <f aca="false">IF(F463=1,SUM($F$2:F463),"")</f>
        <v/>
      </c>
      <c r="H463" s="0" t="n">
        <f aca="false">IF(AND(食数記録!$A463=プレビュー!$C$3,食数記録!$B463="朝",食数記録!$F463="女性入所",食数記録!$D463="欠食"),1,0)</f>
        <v>0</v>
      </c>
      <c r="I463" s="0" t="str">
        <f aca="false">IF(H463=1,SUM($H$2:H463),"")</f>
        <v/>
      </c>
      <c r="J463" s="0" t="n">
        <f aca="false">IF(AND(食数記録!$A463=プレビュー!$C$3,食数記録!$B463="昼",食数記録!$F463="女性入所",食数記録!$D463="欠食"),1,0)</f>
        <v>0</v>
      </c>
      <c r="K463" s="0" t="str">
        <f aca="false">IF(J463=1,SUM($J$2:J463),"")</f>
        <v/>
      </c>
      <c r="L463" s="0" t="n">
        <f aca="false">IF(AND(食数記録!$A463=プレビュー!$C$3,食数記録!$B463="夕",食数記録!$F463="女性入所",食数記録!$D463="欠食"),1,0)</f>
        <v>0</v>
      </c>
      <c r="M463" s="0" t="str">
        <f aca="false">IF(L463=1,SUM($L$2:L463),"")</f>
        <v/>
      </c>
      <c r="N463" s="0" t="n">
        <f aca="false">IF(AND(食数記録!$A463=プレビュー!$C$3,食数記録!$B463="朝",食数記録!$F463="男性GH",食数記録!$D463="臨時喫食"),1,0)</f>
        <v>0</v>
      </c>
      <c r="O463" s="0" t="str">
        <f aca="false">IF(N463=1,SUM($N$2:N463),"")</f>
        <v/>
      </c>
      <c r="P463" s="0" t="n">
        <f aca="false">IF(AND(食数記録!$A463=プレビュー!$C$3,食数記録!$B463="昼",食数記録!$F463="男性GH",食数記録!$D463="臨時喫食"),1,0)</f>
        <v>0</v>
      </c>
      <c r="Q463" s="0" t="str">
        <f aca="false">IF(P463=1,SUM($P$2:P463),"")</f>
        <v/>
      </c>
      <c r="R463" s="0" t="n">
        <f aca="false">IF(AND(食数記録!$A463=プレビュー!$C$3,食数記録!$B463="夕",食数記録!$F463="男性GH",食数記録!$D463="臨時喫食"),1,0)</f>
        <v>0</v>
      </c>
      <c r="S463" s="0" t="str">
        <f aca="false">IF(R463=1,SUM($R$2:R463),"")</f>
        <v/>
      </c>
      <c r="T463" s="0" t="n">
        <f aca="false">IF(AND(食数記録!$A463=プレビュー!$C$3,食数記録!$B463="朝",食数記録!$F463="女性GH",食数記録!$D463="臨時喫食"),1,0)</f>
        <v>0</v>
      </c>
      <c r="U463" s="0" t="str">
        <f aca="false">IF(T463=1,SUM($T$2:T463),"")</f>
        <v/>
      </c>
      <c r="V463" s="0" t="n">
        <f aca="false">IF(AND(食数記録!$A463=プレビュー!$C$3,食数記録!$B463="昼",食数記録!$F463="女性GH",食数記録!$D463="臨時喫食"),1,0)</f>
        <v>0</v>
      </c>
      <c r="W463" s="0" t="str">
        <f aca="false">IF(V463=1,SUM($V$2:V463),"")</f>
        <v/>
      </c>
      <c r="X463" s="0" t="n">
        <f aca="false">IF(AND(食数記録!$A463=プレビュー!$C$3,食数記録!$B463="夕",食数記録!$F463="女性GH",食数記録!$D463="臨時喫食"),1,0)</f>
        <v>0</v>
      </c>
      <c r="Y463" s="0" t="str">
        <f aca="false">IF(X463=1,SUM($X$2:X463),"")</f>
        <v/>
      </c>
    </row>
    <row r="464" customFormat="false" ht="15" hidden="false" customHeight="false" outlineLevel="0" collapsed="false">
      <c r="B464" s="0" t="n">
        <f aca="false">IF(AND(食数記録!$A464=プレビュー!$C$3,食数記録!$B464="朝",食数記録!$F464="男性入所",食数記録!$D464="欠食"),1,0)</f>
        <v>0</v>
      </c>
      <c r="C464" s="0" t="str">
        <f aca="false">IF(B464=1,SUM($B$2:B464),"")</f>
        <v/>
      </c>
      <c r="D464" s="0" t="n">
        <f aca="false">IF(AND(食数記録!$A464=プレビュー!$C$3,食数記録!$B464="昼",食数記録!$F464="男性入所",食数記録!$D464="欠食"),1,0)</f>
        <v>0</v>
      </c>
      <c r="E464" s="0" t="str">
        <f aca="false">IF(D464=1,SUM($D$2:D464),"")</f>
        <v/>
      </c>
      <c r="F464" s="0" t="n">
        <f aca="false">IF(AND(食数記録!$A464=プレビュー!$C$3,食数記録!$B464="夕",食数記録!$F464="男性入所",食数記録!$D464="欠食"),1,0)</f>
        <v>0</v>
      </c>
      <c r="G464" s="0" t="str">
        <f aca="false">IF(F464=1,SUM($F$2:F464),"")</f>
        <v/>
      </c>
      <c r="H464" s="0" t="n">
        <f aca="false">IF(AND(食数記録!$A464=プレビュー!$C$3,食数記録!$B464="朝",食数記録!$F464="女性入所",食数記録!$D464="欠食"),1,0)</f>
        <v>0</v>
      </c>
      <c r="I464" s="0" t="str">
        <f aca="false">IF(H464=1,SUM($H$2:H464),"")</f>
        <v/>
      </c>
      <c r="J464" s="0" t="n">
        <f aca="false">IF(AND(食数記録!$A464=プレビュー!$C$3,食数記録!$B464="昼",食数記録!$F464="女性入所",食数記録!$D464="欠食"),1,0)</f>
        <v>0</v>
      </c>
      <c r="K464" s="0" t="str">
        <f aca="false">IF(J464=1,SUM($J$2:J464),"")</f>
        <v/>
      </c>
      <c r="L464" s="0" t="n">
        <f aca="false">IF(AND(食数記録!$A464=プレビュー!$C$3,食数記録!$B464="夕",食数記録!$F464="女性入所",食数記録!$D464="欠食"),1,0)</f>
        <v>0</v>
      </c>
      <c r="M464" s="0" t="str">
        <f aca="false">IF(L464=1,SUM($L$2:L464),"")</f>
        <v/>
      </c>
      <c r="N464" s="0" t="n">
        <f aca="false">IF(AND(食数記録!$A464=プレビュー!$C$3,食数記録!$B464="朝",食数記録!$F464="男性GH",食数記録!$D464="臨時喫食"),1,0)</f>
        <v>0</v>
      </c>
      <c r="O464" s="0" t="str">
        <f aca="false">IF(N464=1,SUM($N$2:N464),"")</f>
        <v/>
      </c>
      <c r="P464" s="0" t="n">
        <f aca="false">IF(AND(食数記録!$A464=プレビュー!$C$3,食数記録!$B464="昼",食数記録!$F464="男性GH",食数記録!$D464="臨時喫食"),1,0)</f>
        <v>0</v>
      </c>
      <c r="Q464" s="0" t="str">
        <f aca="false">IF(P464=1,SUM($P$2:P464),"")</f>
        <v/>
      </c>
      <c r="R464" s="0" t="n">
        <f aca="false">IF(AND(食数記録!$A464=プレビュー!$C$3,食数記録!$B464="夕",食数記録!$F464="男性GH",食数記録!$D464="臨時喫食"),1,0)</f>
        <v>0</v>
      </c>
      <c r="S464" s="0" t="str">
        <f aca="false">IF(R464=1,SUM($R$2:R464),"")</f>
        <v/>
      </c>
      <c r="T464" s="0" t="n">
        <f aca="false">IF(AND(食数記録!$A464=プレビュー!$C$3,食数記録!$B464="朝",食数記録!$F464="女性GH",食数記録!$D464="臨時喫食"),1,0)</f>
        <v>0</v>
      </c>
      <c r="U464" s="0" t="str">
        <f aca="false">IF(T464=1,SUM($T$2:T464),"")</f>
        <v/>
      </c>
      <c r="V464" s="0" t="n">
        <f aca="false">IF(AND(食数記録!$A464=プレビュー!$C$3,食数記録!$B464="昼",食数記録!$F464="女性GH",食数記録!$D464="臨時喫食"),1,0)</f>
        <v>0</v>
      </c>
      <c r="W464" s="0" t="str">
        <f aca="false">IF(V464=1,SUM($V$2:V464),"")</f>
        <v/>
      </c>
      <c r="X464" s="0" t="n">
        <f aca="false">IF(AND(食数記録!$A464=プレビュー!$C$3,食数記録!$B464="夕",食数記録!$F464="女性GH",食数記録!$D464="臨時喫食"),1,0)</f>
        <v>0</v>
      </c>
      <c r="Y464" s="0" t="str">
        <f aca="false">IF(X464=1,SUM($X$2:X464),"")</f>
        <v/>
      </c>
    </row>
    <row r="465" customFormat="false" ht="15" hidden="false" customHeight="false" outlineLevel="0" collapsed="false">
      <c r="B465" s="0" t="n">
        <f aca="false">IF(AND(食数記録!$A465=プレビュー!$C$3,食数記録!$B465="朝",食数記録!$F465="男性入所",食数記録!$D465="欠食"),1,0)</f>
        <v>0</v>
      </c>
      <c r="C465" s="0" t="str">
        <f aca="false">IF(B465=1,SUM($B$2:B465),"")</f>
        <v/>
      </c>
      <c r="D465" s="0" t="n">
        <f aca="false">IF(AND(食数記録!$A465=プレビュー!$C$3,食数記録!$B465="昼",食数記録!$F465="男性入所",食数記録!$D465="欠食"),1,0)</f>
        <v>0</v>
      </c>
      <c r="E465" s="0" t="str">
        <f aca="false">IF(D465=1,SUM($D$2:D465),"")</f>
        <v/>
      </c>
      <c r="F465" s="0" t="n">
        <f aca="false">IF(AND(食数記録!$A465=プレビュー!$C$3,食数記録!$B465="夕",食数記録!$F465="男性入所",食数記録!$D465="欠食"),1,0)</f>
        <v>0</v>
      </c>
      <c r="G465" s="0" t="str">
        <f aca="false">IF(F465=1,SUM($F$2:F465),"")</f>
        <v/>
      </c>
      <c r="H465" s="0" t="n">
        <f aca="false">IF(AND(食数記録!$A465=プレビュー!$C$3,食数記録!$B465="朝",食数記録!$F465="女性入所",食数記録!$D465="欠食"),1,0)</f>
        <v>0</v>
      </c>
      <c r="I465" s="0" t="str">
        <f aca="false">IF(H465=1,SUM($H$2:H465),"")</f>
        <v/>
      </c>
      <c r="J465" s="0" t="n">
        <f aca="false">IF(AND(食数記録!$A465=プレビュー!$C$3,食数記録!$B465="昼",食数記録!$F465="女性入所",食数記録!$D465="欠食"),1,0)</f>
        <v>0</v>
      </c>
      <c r="K465" s="0" t="str">
        <f aca="false">IF(J465=1,SUM($J$2:J465),"")</f>
        <v/>
      </c>
      <c r="L465" s="0" t="n">
        <f aca="false">IF(AND(食数記録!$A465=プレビュー!$C$3,食数記録!$B465="夕",食数記録!$F465="女性入所",食数記録!$D465="欠食"),1,0)</f>
        <v>0</v>
      </c>
      <c r="M465" s="0" t="str">
        <f aca="false">IF(L465=1,SUM($L$2:L465),"")</f>
        <v/>
      </c>
      <c r="N465" s="0" t="n">
        <f aca="false">IF(AND(食数記録!$A465=プレビュー!$C$3,食数記録!$B465="朝",食数記録!$F465="男性GH",食数記録!$D465="臨時喫食"),1,0)</f>
        <v>0</v>
      </c>
      <c r="O465" s="0" t="str">
        <f aca="false">IF(N465=1,SUM($N$2:N465),"")</f>
        <v/>
      </c>
      <c r="P465" s="0" t="n">
        <f aca="false">IF(AND(食数記録!$A465=プレビュー!$C$3,食数記録!$B465="昼",食数記録!$F465="男性GH",食数記録!$D465="臨時喫食"),1,0)</f>
        <v>0</v>
      </c>
      <c r="Q465" s="0" t="str">
        <f aca="false">IF(P465=1,SUM($P$2:P465),"")</f>
        <v/>
      </c>
      <c r="R465" s="0" t="n">
        <f aca="false">IF(AND(食数記録!$A465=プレビュー!$C$3,食数記録!$B465="夕",食数記録!$F465="男性GH",食数記録!$D465="臨時喫食"),1,0)</f>
        <v>0</v>
      </c>
      <c r="S465" s="0" t="str">
        <f aca="false">IF(R465=1,SUM($R$2:R465),"")</f>
        <v/>
      </c>
      <c r="T465" s="0" t="n">
        <f aca="false">IF(AND(食数記録!$A465=プレビュー!$C$3,食数記録!$B465="朝",食数記録!$F465="女性GH",食数記録!$D465="臨時喫食"),1,0)</f>
        <v>0</v>
      </c>
      <c r="U465" s="0" t="str">
        <f aca="false">IF(T465=1,SUM($T$2:T465),"")</f>
        <v/>
      </c>
      <c r="V465" s="0" t="n">
        <f aca="false">IF(AND(食数記録!$A465=プレビュー!$C$3,食数記録!$B465="昼",食数記録!$F465="女性GH",食数記録!$D465="臨時喫食"),1,0)</f>
        <v>0</v>
      </c>
      <c r="W465" s="0" t="str">
        <f aca="false">IF(V465=1,SUM($V$2:V465),"")</f>
        <v/>
      </c>
      <c r="X465" s="0" t="n">
        <f aca="false">IF(AND(食数記録!$A465=プレビュー!$C$3,食数記録!$B465="夕",食数記録!$F465="女性GH",食数記録!$D465="臨時喫食"),1,0)</f>
        <v>0</v>
      </c>
      <c r="Y465" s="0" t="str">
        <f aca="false">IF(X465=1,SUM($X$2:X465),"")</f>
        <v/>
      </c>
    </row>
    <row r="466" customFormat="false" ht="15" hidden="false" customHeight="false" outlineLevel="0" collapsed="false">
      <c r="B466" s="0" t="n">
        <f aca="false">IF(AND(食数記録!$A466=プレビュー!$C$3,食数記録!$B466="朝",食数記録!$F466="男性入所",食数記録!$D466="欠食"),1,0)</f>
        <v>0</v>
      </c>
      <c r="C466" s="0" t="str">
        <f aca="false">IF(B466=1,SUM($B$2:B466),"")</f>
        <v/>
      </c>
      <c r="D466" s="0" t="n">
        <f aca="false">IF(AND(食数記録!$A466=プレビュー!$C$3,食数記録!$B466="昼",食数記録!$F466="男性入所",食数記録!$D466="欠食"),1,0)</f>
        <v>0</v>
      </c>
      <c r="E466" s="0" t="str">
        <f aca="false">IF(D466=1,SUM($D$2:D466),"")</f>
        <v/>
      </c>
      <c r="F466" s="0" t="n">
        <f aca="false">IF(AND(食数記録!$A466=プレビュー!$C$3,食数記録!$B466="夕",食数記録!$F466="男性入所",食数記録!$D466="欠食"),1,0)</f>
        <v>0</v>
      </c>
      <c r="G466" s="0" t="str">
        <f aca="false">IF(F466=1,SUM($F$2:F466),"")</f>
        <v/>
      </c>
      <c r="H466" s="0" t="n">
        <f aca="false">IF(AND(食数記録!$A466=プレビュー!$C$3,食数記録!$B466="朝",食数記録!$F466="女性入所",食数記録!$D466="欠食"),1,0)</f>
        <v>0</v>
      </c>
      <c r="I466" s="0" t="str">
        <f aca="false">IF(H466=1,SUM($H$2:H466),"")</f>
        <v/>
      </c>
      <c r="J466" s="0" t="n">
        <f aca="false">IF(AND(食数記録!$A466=プレビュー!$C$3,食数記録!$B466="昼",食数記録!$F466="女性入所",食数記録!$D466="欠食"),1,0)</f>
        <v>0</v>
      </c>
      <c r="K466" s="0" t="str">
        <f aca="false">IF(J466=1,SUM($J$2:J466),"")</f>
        <v/>
      </c>
      <c r="L466" s="0" t="n">
        <f aca="false">IF(AND(食数記録!$A466=プレビュー!$C$3,食数記録!$B466="夕",食数記録!$F466="女性入所",食数記録!$D466="欠食"),1,0)</f>
        <v>0</v>
      </c>
      <c r="M466" s="0" t="str">
        <f aca="false">IF(L466=1,SUM($L$2:L466),"")</f>
        <v/>
      </c>
      <c r="N466" s="0" t="n">
        <f aca="false">IF(AND(食数記録!$A466=プレビュー!$C$3,食数記録!$B466="朝",食数記録!$F466="男性GH",食数記録!$D466="臨時喫食"),1,0)</f>
        <v>0</v>
      </c>
      <c r="O466" s="0" t="str">
        <f aca="false">IF(N466=1,SUM($N$2:N466),"")</f>
        <v/>
      </c>
      <c r="P466" s="0" t="n">
        <f aca="false">IF(AND(食数記録!$A466=プレビュー!$C$3,食数記録!$B466="昼",食数記録!$F466="男性GH",食数記録!$D466="臨時喫食"),1,0)</f>
        <v>0</v>
      </c>
      <c r="Q466" s="0" t="str">
        <f aca="false">IF(P466=1,SUM($P$2:P466),"")</f>
        <v/>
      </c>
      <c r="R466" s="0" t="n">
        <f aca="false">IF(AND(食数記録!$A466=プレビュー!$C$3,食数記録!$B466="夕",食数記録!$F466="男性GH",食数記録!$D466="臨時喫食"),1,0)</f>
        <v>0</v>
      </c>
      <c r="S466" s="0" t="str">
        <f aca="false">IF(R466=1,SUM($R$2:R466),"")</f>
        <v/>
      </c>
      <c r="T466" s="0" t="n">
        <f aca="false">IF(AND(食数記録!$A466=プレビュー!$C$3,食数記録!$B466="朝",食数記録!$F466="女性GH",食数記録!$D466="臨時喫食"),1,0)</f>
        <v>0</v>
      </c>
      <c r="U466" s="0" t="str">
        <f aca="false">IF(T466=1,SUM($T$2:T466),"")</f>
        <v/>
      </c>
      <c r="V466" s="0" t="n">
        <f aca="false">IF(AND(食数記録!$A466=プレビュー!$C$3,食数記録!$B466="昼",食数記録!$F466="女性GH",食数記録!$D466="臨時喫食"),1,0)</f>
        <v>0</v>
      </c>
      <c r="W466" s="0" t="str">
        <f aca="false">IF(V466=1,SUM($V$2:V466),"")</f>
        <v/>
      </c>
      <c r="X466" s="0" t="n">
        <f aca="false">IF(AND(食数記録!$A466=プレビュー!$C$3,食数記録!$B466="夕",食数記録!$F466="女性GH",食数記録!$D466="臨時喫食"),1,0)</f>
        <v>0</v>
      </c>
      <c r="Y466" s="0" t="str">
        <f aca="false">IF(X466=1,SUM($X$2:X466),"")</f>
        <v/>
      </c>
    </row>
    <row r="467" customFormat="false" ht="15" hidden="false" customHeight="false" outlineLevel="0" collapsed="false">
      <c r="B467" s="0" t="n">
        <f aca="false">IF(AND(食数記録!$A467=プレビュー!$C$3,食数記録!$B467="朝",食数記録!$F467="男性入所",食数記録!$D467="欠食"),1,0)</f>
        <v>0</v>
      </c>
      <c r="C467" s="0" t="str">
        <f aca="false">IF(B467=1,SUM($B$2:B467),"")</f>
        <v/>
      </c>
      <c r="D467" s="0" t="n">
        <f aca="false">IF(AND(食数記録!$A467=プレビュー!$C$3,食数記録!$B467="昼",食数記録!$F467="男性入所",食数記録!$D467="欠食"),1,0)</f>
        <v>0</v>
      </c>
      <c r="E467" s="0" t="str">
        <f aca="false">IF(D467=1,SUM($D$2:D467),"")</f>
        <v/>
      </c>
      <c r="F467" s="0" t="n">
        <f aca="false">IF(AND(食数記録!$A467=プレビュー!$C$3,食数記録!$B467="夕",食数記録!$F467="男性入所",食数記録!$D467="欠食"),1,0)</f>
        <v>0</v>
      </c>
      <c r="G467" s="0" t="str">
        <f aca="false">IF(F467=1,SUM($F$2:F467),"")</f>
        <v/>
      </c>
      <c r="H467" s="0" t="n">
        <f aca="false">IF(AND(食数記録!$A467=プレビュー!$C$3,食数記録!$B467="朝",食数記録!$F467="女性入所",食数記録!$D467="欠食"),1,0)</f>
        <v>0</v>
      </c>
      <c r="I467" s="0" t="str">
        <f aca="false">IF(H467=1,SUM($H$2:H467),"")</f>
        <v/>
      </c>
      <c r="J467" s="0" t="n">
        <f aca="false">IF(AND(食数記録!$A467=プレビュー!$C$3,食数記録!$B467="昼",食数記録!$F467="女性入所",食数記録!$D467="欠食"),1,0)</f>
        <v>0</v>
      </c>
      <c r="K467" s="0" t="str">
        <f aca="false">IF(J467=1,SUM($J$2:J467),"")</f>
        <v/>
      </c>
      <c r="L467" s="0" t="n">
        <f aca="false">IF(AND(食数記録!$A467=プレビュー!$C$3,食数記録!$B467="夕",食数記録!$F467="女性入所",食数記録!$D467="欠食"),1,0)</f>
        <v>0</v>
      </c>
      <c r="M467" s="0" t="str">
        <f aca="false">IF(L467=1,SUM($L$2:L467),"")</f>
        <v/>
      </c>
      <c r="N467" s="0" t="n">
        <f aca="false">IF(AND(食数記録!$A467=プレビュー!$C$3,食数記録!$B467="朝",食数記録!$F467="男性GH",食数記録!$D467="臨時喫食"),1,0)</f>
        <v>0</v>
      </c>
      <c r="O467" s="0" t="str">
        <f aca="false">IF(N467=1,SUM($N$2:N467),"")</f>
        <v/>
      </c>
      <c r="P467" s="0" t="n">
        <f aca="false">IF(AND(食数記録!$A467=プレビュー!$C$3,食数記録!$B467="昼",食数記録!$F467="男性GH",食数記録!$D467="臨時喫食"),1,0)</f>
        <v>0</v>
      </c>
      <c r="Q467" s="0" t="str">
        <f aca="false">IF(P467=1,SUM($P$2:P467),"")</f>
        <v/>
      </c>
      <c r="R467" s="0" t="n">
        <f aca="false">IF(AND(食数記録!$A467=プレビュー!$C$3,食数記録!$B467="夕",食数記録!$F467="男性GH",食数記録!$D467="臨時喫食"),1,0)</f>
        <v>0</v>
      </c>
      <c r="S467" s="0" t="str">
        <f aca="false">IF(R467=1,SUM($R$2:R467),"")</f>
        <v/>
      </c>
      <c r="T467" s="0" t="n">
        <f aca="false">IF(AND(食数記録!$A467=プレビュー!$C$3,食数記録!$B467="朝",食数記録!$F467="女性GH",食数記録!$D467="臨時喫食"),1,0)</f>
        <v>0</v>
      </c>
      <c r="U467" s="0" t="str">
        <f aca="false">IF(T467=1,SUM($T$2:T467),"")</f>
        <v/>
      </c>
      <c r="V467" s="0" t="n">
        <f aca="false">IF(AND(食数記録!$A467=プレビュー!$C$3,食数記録!$B467="昼",食数記録!$F467="女性GH",食数記録!$D467="臨時喫食"),1,0)</f>
        <v>0</v>
      </c>
      <c r="W467" s="0" t="str">
        <f aca="false">IF(V467=1,SUM($V$2:V467),"")</f>
        <v/>
      </c>
      <c r="X467" s="0" t="n">
        <f aca="false">IF(AND(食数記録!$A467=プレビュー!$C$3,食数記録!$B467="夕",食数記録!$F467="女性GH",食数記録!$D467="臨時喫食"),1,0)</f>
        <v>0</v>
      </c>
      <c r="Y467" s="0" t="str">
        <f aca="false">IF(X467=1,SUM($X$2:X467),"")</f>
        <v/>
      </c>
    </row>
    <row r="468" customFormat="false" ht="15" hidden="false" customHeight="false" outlineLevel="0" collapsed="false">
      <c r="B468" s="0" t="n">
        <f aca="false">IF(AND(食数記録!$A468=プレビュー!$C$3,食数記録!$B468="朝",食数記録!$F468="男性入所",食数記録!$D468="欠食"),1,0)</f>
        <v>0</v>
      </c>
      <c r="C468" s="0" t="str">
        <f aca="false">IF(B468=1,SUM($B$2:B468),"")</f>
        <v/>
      </c>
      <c r="D468" s="0" t="n">
        <f aca="false">IF(AND(食数記録!$A468=プレビュー!$C$3,食数記録!$B468="昼",食数記録!$F468="男性入所",食数記録!$D468="欠食"),1,0)</f>
        <v>0</v>
      </c>
      <c r="E468" s="0" t="str">
        <f aca="false">IF(D468=1,SUM($D$2:D468),"")</f>
        <v/>
      </c>
      <c r="F468" s="0" t="n">
        <f aca="false">IF(AND(食数記録!$A468=プレビュー!$C$3,食数記録!$B468="夕",食数記録!$F468="男性入所",食数記録!$D468="欠食"),1,0)</f>
        <v>0</v>
      </c>
      <c r="G468" s="0" t="str">
        <f aca="false">IF(F468=1,SUM($F$2:F468),"")</f>
        <v/>
      </c>
      <c r="H468" s="0" t="n">
        <f aca="false">IF(AND(食数記録!$A468=プレビュー!$C$3,食数記録!$B468="朝",食数記録!$F468="女性入所",食数記録!$D468="欠食"),1,0)</f>
        <v>0</v>
      </c>
      <c r="I468" s="0" t="str">
        <f aca="false">IF(H468=1,SUM($H$2:H468),"")</f>
        <v/>
      </c>
      <c r="J468" s="0" t="n">
        <f aca="false">IF(AND(食数記録!$A468=プレビュー!$C$3,食数記録!$B468="昼",食数記録!$F468="女性入所",食数記録!$D468="欠食"),1,0)</f>
        <v>0</v>
      </c>
      <c r="K468" s="0" t="str">
        <f aca="false">IF(J468=1,SUM($J$2:J468),"")</f>
        <v/>
      </c>
      <c r="L468" s="0" t="n">
        <f aca="false">IF(AND(食数記録!$A468=プレビュー!$C$3,食数記録!$B468="夕",食数記録!$F468="女性入所",食数記録!$D468="欠食"),1,0)</f>
        <v>0</v>
      </c>
      <c r="M468" s="0" t="str">
        <f aca="false">IF(L468=1,SUM($L$2:L468),"")</f>
        <v/>
      </c>
      <c r="N468" s="0" t="n">
        <f aca="false">IF(AND(食数記録!$A468=プレビュー!$C$3,食数記録!$B468="朝",食数記録!$F468="男性GH",食数記録!$D468="臨時喫食"),1,0)</f>
        <v>0</v>
      </c>
      <c r="O468" s="0" t="str">
        <f aca="false">IF(N468=1,SUM($N$2:N468),"")</f>
        <v/>
      </c>
      <c r="P468" s="0" t="n">
        <f aca="false">IF(AND(食数記録!$A468=プレビュー!$C$3,食数記録!$B468="昼",食数記録!$F468="男性GH",食数記録!$D468="臨時喫食"),1,0)</f>
        <v>0</v>
      </c>
      <c r="Q468" s="0" t="str">
        <f aca="false">IF(P468=1,SUM($P$2:P468),"")</f>
        <v/>
      </c>
      <c r="R468" s="0" t="n">
        <f aca="false">IF(AND(食数記録!$A468=プレビュー!$C$3,食数記録!$B468="夕",食数記録!$F468="男性GH",食数記録!$D468="臨時喫食"),1,0)</f>
        <v>0</v>
      </c>
      <c r="S468" s="0" t="str">
        <f aca="false">IF(R468=1,SUM($R$2:R468),"")</f>
        <v/>
      </c>
      <c r="T468" s="0" t="n">
        <f aca="false">IF(AND(食数記録!$A468=プレビュー!$C$3,食数記録!$B468="朝",食数記録!$F468="女性GH",食数記録!$D468="臨時喫食"),1,0)</f>
        <v>0</v>
      </c>
      <c r="U468" s="0" t="str">
        <f aca="false">IF(T468=1,SUM($T$2:T468),"")</f>
        <v/>
      </c>
      <c r="V468" s="0" t="n">
        <f aca="false">IF(AND(食数記録!$A468=プレビュー!$C$3,食数記録!$B468="昼",食数記録!$F468="女性GH",食数記録!$D468="臨時喫食"),1,0)</f>
        <v>0</v>
      </c>
      <c r="W468" s="0" t="str">
        <f aca="false">IF(V468=1,SUM($V$2:V468),"")</f>
        <v/>
      </c>
      <c r="X468" s="0" t="n">
        <f aca="false">IF(AND(食数記録!$A468=プレビュー!$C$3,食数記録!$B468="夕",食数記録!$F468="女性GH",食数記録!$D468="臨時喫食"),1,0)</f>
        <v>0</v>
      </c>
      <c r="Y468" s="0" t="str">
        <f aca="false">IF(X468=1,SUM($X$2:X468),"")</f>
        <v/>
      </c>
    </row>
    <row r="469" customFormat="false" ht="15" hidden="false" customHeight="false" outlineLevel="0" collapsed="false">
      <c r="B469" s="0" t="n">
        <f aca="false">IF(AND(食数記録!$A469=プレビュー!$C$3,食数記録!$B469="朝",食数記録!$F469="男性入所",食数記録!$D469="欠食"),1,0)</f>
        <v>0</v>
      </c>
      <c r="C469" s="0" t="str">
        <f aca="false">IF(B469=1,SUM($B$2:B469),"")</f>
        <v/>
      </c>
      <c r="D469" s="0" t="n">
        <f aca="false">IF(AND(食数記録!$A469=プレビュー!$C$3,食数記録!$B469="昼",食数記録!$F469="男性入所",食数記録!$D469="欠食"),1,0)</f>
        <v>0</v>
      </c>
      <c r="E469" s="0" t="str">
        <f aca="false">IF(D469=1,SUM($D$2:D469),"")</f>
        <v/>
      </c>
      <c r="F469" s="0" t="n">
        <f aca="false">IF(AND(食数記録!$A469=プレビュー!$C$3,食数記録!$B469="夕",食数記録!$F469="男性入所",食数記録!$D469="欠食"),1,0)</f>
        <v>0</v>
      </c>
      <c r="G469" s="0" t="str">
        <f aca="false">IF(F469=1,SUM($F$2:F469),"")</f>
        <v/>
      </c>
      <c r="H469" s="0" t="n">
        <f aca="false">IF(AND(食数記録!$A469=プレビュー!$C$3,食数記録!$B469="朝",食数記録!$F469="女性入所",食数記録!$D469="欠食"),1,0)</f>
        <v>0</v>
      </c>
      <c r="I469" s="0" t="str">
        <f aca="false">IF(H469=1,SUM($H$2:H469),"")</f>
        <v/>
      </c>
      <c r="J469" s="0" t="n">
        <f aca="false">IF(AND(食数記録!$A469=プレビュー!$C$3,食数記録!$B469="昼",食数記録!$F469="女性入所",食数記録!$D469="欠食"),1,0)</f>
        <v>0</v>
      </c>
      <c r="K469" s="0" t="str">
        <f aca="false">IF(J469=1,SUM($J$2:J469),"")</f>
        <v/>
      </c>
      <c r="L469" s="0" t="n">
        <f aca="false">IF(AND(食数記録!$A469=プレビュー!$C$3,食数記録!$B469="夕",食数記録!$F469="女性入所",食数記録!$D469="欠食"),1,0)</f>
        <v>0</v>
      </c>
      <c r="M469" s="0" t="str">
        <f aca="false">IF(L469=1,SUM($L$2:L469),"")</f>
        <v/>
      </c>
      <c r="N469" s="0" t="n">
        <f aca="false">IF(AND(食数記録!$A469=プレビュー!$C$3,食数記録!$B469="朝",食数記録!$F469="男性GH",食数記録!$D469="臨時喫食"),1,0)</f>
        <v>0</v>
      </c>
      <c r="O469" s="0" t="str">
        <f aca="false">IF(N469=1,SUM($N$2:N469),"")</f>
        <v/>
      </c>
      <c r="P469" s="0" t="n">
        <f aca="false">IF(AND(食数記録!$A469=プレビュー!$C$3,食数記録!$B469="昼",食数記録!$F469="男性GH",食数記録!$D469="臨時喫食"),1,0)</f>
        <v>0</v>
      </c>
      <c r="Q469" s="0" t="str">
        <f aca="false">IF(P469=1,SUM($P$2:P469),"")</f>
        <v/>
      </c>
      <c r="R469" s="0" t="n">
        <f aca="false">IF(AND(食数記録!$A469=プレビュー!$C$3,食数記録!$B469="夕",食数記録!$F469="男性GH",食数記録!$D469="臨時喫食"),1,0)</f>
        <v>0</v>
      </c>
      <c r="S469" s="0" t="str">
        <f aca="false">IF(R469=1,SUM($R$2:R469),"")</f>
        <v/>
      </c>
      <c r="T469" s="0" t="n">
        <f aca="false">IF(AND(食数記録!$A469=プレビュー!$C$3,食数記録!$B469="朝",食数記録!$F469="女性GH",食数記録!$D469="臨時喫食"),1,0)</f>
        <v>0</v>
      </c>
      <c r="U469" s="0" t="str">
        <f aca="false">IF(T469=1,SUM($T$2:T469),"")</f>
        <v/>
      </c>
      <c r="V469" s="0" t="n">
        <f aca="false">IF(AND(食数記録!$A469=プレビュー!$C$3,食数記録!$B469="昼",食数記録!$F469="女性GH",食数記録!$D469="臨時喫食"),1,0)</f>
        <v>0</v>
      </c>
      <c r="W469" s="0" t="str">
        <f aca="false">IF(V469=1,SUM($V$2:V469),"")</f>
        <v/>
      </c>
      <c r="X469" s="0" t="n">
        <f aca="false">IF(AND(食数記録!$A469=プレビュー!$C$3,食数記録!$B469="夕",食数記録!$F469="女性GH",食数記録!$D469="臨時喫食"),1,0)</f>
        <v>0</v>
      </c>
      <c r="Y469" s="0" t="str">
        <f aca="false">IF(X469=1,SUM($X$2:X469),"")</f>
        <v/>
      </c>
    </row>
    <row r="470" customFormat="false" ht="15" hidden="false" customHeight="false" outlineLevel="0" collapsed="false">
      <c r="B470" s="0" t="n">
        <f aca="false">IF(AND(食数記録!$A470=プレビュー!$C$3,食数記録!$B470="朝",食数記録!$F470="男性入所",食数記録!$D470="欠食"),1,0)</f>
        <v>0</v>
      </c>
      <c r="C470" s="0" t="str">
        <f aca="false">IF(B470=1,SUM($B$2:B470),"")</f>
        <v/>
      </c>
      <c r="D470" s="0" t="n">
        <f aca="false">IF(AND(食数記録!$A470=プレビュー!$C$3,食数記録!$B470="昼",食数記録!$F470="男性入所",食数記録!$D470="欠食"),1,0)</f>
        <v>0</v>
      </c>
      <c r="E470" s="0" t="str">
        <f aca="false">IF(D470=1,SUM($D$2:D470),"")</f>
        <v/>
      </c>
      <c r="F470" s="0" t="n">
        <f aca="false">IF(AND(食数記録!$A470=プレビュー!$C$3,食数記録!$B470="夕",食数記録!$F470="男性入所",食数記録!$D470="欠食"),1,0)</f>
        <v>0</v>
      </c>
      <c r="G470" s="0" t="str">
        <f aca="false">IF(F470=1,SUM($F$2:F470),"")</f>
        <v/>
      </c>
      <c r="H470" s="0" t="n">
        <f aca="false">IF(AND(食数記録!$A470=プレビュー!$C$3,食数記録!$B470="朝",食数記録!$F470="女性入所",食数記録!$D470="欠食"),1,0)</f>
        <v>0</v>
      </c>
      <c r="I470" s="0" t="str">
        <f aca="false">IF(H470=1,SUM($H$2:H470),"")</f>
        <v/>
      </c>
      <c r="J470" s="0" t="n">
        <f aca="false">IF(AND(食数記録!$A470=プレビュー!$C$3,食数記録!$B470="昼",食数記録!$F470="女性入所",食数記録!$D470="欠食"),1,0)</f>
        <v>0</v>
      </c>
      <c r="K470" s="0" t="str">
        <f aca="false">IF(J470=1,SUM($J$2:J470),"")</f>
        <v/>
      </c>
      <c r="L470" s="0" t="n">
        <f aca="false">IF(AND(食数記録!$A470=プレビュー!$C$3,食数記録!$B470="夕",食数記録!$F470="女性入所",食数記録!$D470="欠食"),1,0)</f>
        <v>0</v>
      </c>
      <c r="M470" s="0" t="str">
        <f aca="false">IF(L470=1,SUM($L$2:L470),"")</f>
        <v/>
      </c>
      <c r="N470" s="0" t="n">
        <f aca="false">IF(AND(食数記録!$A470=プレビュー!$C$3,食数記録!$B470="朝",食数記録!$F470="男性GH",食数記録!$D470="臨時喫食"),1,0)</f>
        <v>0</v>
      </c>
      <c r="O470" s="0" t="str">
        <f aca="false">IF(N470=1,SUM($N$2:N470),"")</f>
        <v/>
      </c>
      <c r="P470" s="0" t="n">
        <f aca="false">IF(AND(食数記録!$A470=プレビュー!$C$3,食数記録!$B470="昼",食数記録!$F470="男性GH",食数記録!$D470="臨時喫食"),1,0)</f>
        <v>0</v>
      </c>
      <c r="Q470" s="0" t="str">
        <f aca="false">IF(P470=1,SUM($P$2:P470),"")</f>
        <v/>
      </c>
      <c r="R470" s="0" t="n">
        <f aca="false">IF(AND(食数記録!$A470=プレビュー!$C$3,食数記録!$B470="夕",食数記録!$F470="男性GH",食数記録!$D470="臨時喫食"),1,0)</f>
        <v>0</v>
      </c>
      <c r="S470" s="0" t="str">
        <f aca="false">IF(R470=1,SUM($R$2:R470),"")</f>
        <v/>
      </c>
      <c r="T470" s="0" t="n">
        <f aca="false">IF(AND(食数記録!$A470=プレビュー!$C$3,食数記録!$B470="朝",食数記録!$F470="女性GH",食数記録!$D470="臨時喫食"),1,0)</f>
        <v>0</v>
      </c>
      <c r="U470" s="0" t="str">
        <f aca="false">IF(T470=1,SUM($T$2:T470),"")</f>
        <v/>
      </c>
      <c r="V470" s="0" t="n">
        <f aca="false">IF(AND(食数記録!$A470=プレビュー!$C$3,食数記録!$B470="昼",食数記録!$F470="女性GH",食数記録!$D470="臨時喫食"),1,0)</f>
        <v>0</v>
      </c>
      <c r="W470" s="0" t="str">
        <f aca="false">IF(V470=1,SUM($V$2:V470),"")</f>
        <v/>
      </c>
      <c r="X470" s="0" t="n">
        <f aca="false">IF(AND(食数記録!$A470=プレビュー!$C$3,食数記録!$B470="夕",食数記録!$F470="女性GH",食数記録!$D470="臨時喫食"),1,0)</f>
        <v>0</v>
      </c>
      <c r="Y470" s="0" t="str">
        <f aca="false">IF(X470=1,SUM($X$2:X470),"")</f>
        <v/>
      </c>
    </row>
    <row r="471" customFormat="false" ht="15" hidden="false" customHeight="false" outlineLevel="0" collapsed="false">
      <c r="B471" s="0" t="n">
        <f aca="false">IF(AND(食数記録!$A471=プレビュー!$C$3,食数記録!$B471="朝",食数記録!$F471="男性入所",食数記録!$D471="欠食"),1,0)</f>
        <v>0</v>
      </c>
      <c r="C471" s="0" t="str">
        <f aca="false">IF(B471=1,SUM($B$2:B471),"")</f>
        <v/>
      </c>
      <c r="D471" s="0" t="n">
        <f aca="false">IF(AND(食数記録!$A471=プレビュー!$C$3,食数記録!$B471="昼",食数記録!$F471="男性入所",食数記録!$D471="欠食"),1,0)</f>
        <v>0</v>
      </c>
      <c r="E471" s="0" t="str">
        <f aca="false">IF(D471=1,SUM($D$2:D471),"")</f>
        <v/>
      </c>
      <c r="F471" s="0" t="n">
        <f aca="false">IF(AND(食数記録!$A471=プレビュー!$C$3,食数記録!$B471="夕",食数記録!$F471="男性入所",食数記録!$D471="欠食"),1,0)</f>
        <v>0</v>
      </c>
      <c r="G471" s="0" t="str">
        <f aca="false">IF(F471=1,SUM($F$2:F471),"")</f>
        <v/>
      </c>
      <c r="H471" s="0" t="n">
        <f aca="false">IF(AND(食数記録!$A471=プレビュー!$C$3,食数記録!$B471="朝",食数記録!$F471="女性入所",食数記録!$D471="欠食"),1,0)</f>
        <v>0</v>
      </c>
      <c r="I471" s="0" t="str">
        <f aca="false">IF(H471=1,SUM($H$2:H471),"")</f>
        <v/>
      </c>
      <c r="J471" s="0" t="n">
        <f aca="false">IF(AND(食数記録!$A471=プレビュー!$C$3,食数記録!$B471="昼",食数記録!$F471="女性入所",食数記録!$D471="欠食"),1,0)</f>
        <v>0</v>
      </c>
      <c r="K471" s="0" t="str">
        <f aca="false">IF(J471=1,SUM($J$2:J471),"")</f>
        <v/>
      </c>
      <c r="L471" s="0" t="n">
        <f aca="false">IF(AND(食数記録!$A471=プレビュー!$C$3,食数記録!$B471="夕",食数記録!$F471="女性入所",食数記録!$D471="欠食"),1,0)</f>
        <v>0</v>
      </c>
      <c r="M471" s="0" t="str">
        <f aca="false">IF(L471=1,SUM($L$2:L471),"")</f>
        <v/>
      </c>
      <c r="N471" s="0" t="n">
        <f aca="false">IF(AND(食数記録!$A471=プレビュー!$C$3,食数記録!$B471="朝",食数記録!$F471="男性GH",食数記録!$D471="臨時喫食"),1,0)</f>
        <v>0</v>
      </c>
      <c r="O471" s="0" t="str">
        <f aca="false">IF(N471=1,SUM($N$2:N471),"")</f>
        <v/>
      </c>
      <c r="P471" s="0" t="n">
        <f aca="false">IF(AND(食数記録!$A471=プレビュー!$C$3,食数記録!$B471="昼",食数記録!$F471="男性GH",食数記録!$D471="臨時喫食"),1,0)</f>
        <v>0</v>
      </c>
      <c r="Q471" s="0" t="str">
        <f aca="false">IF(P471=1,SUM($P$2:P471),"")</f>
        <v/>
      </c>
      <c r="R471" s="0" t="n">
        <f aca="false">IF(AND(食数記録!$A471=プレビュー!$C$3,食数記録!$B471="夕",食数記録!$F471="男性GH",食数記録!$D471="臨時喫食"),1,0)</f>
        <v>0</v>
      </c>
      <c r="S471" s="0" t="str">
        <f aca="false">IF(R471=1,SUM($R$2:R471),"")</f>
        <v/>
      </c>
      <c r="T471" s="0" t="n">
        <f aca="false">IF(AND(食数記録!$A471=プレビュー!$C$3,食数記録!$B471="朝",食数記録!$F471="女性GH",食数記録!$D471="臨時喫食"),1,0)</f>
        <v>0</v>
      </c>
      <c r="U471" s="0" t="str">
        <f aca="false">IF(T471=1,SUM($T$2:T471),"")</f>
        <v/>
      </c>
      <c r="V471" s="0" t="n">
        <f aca="false">IF(AND(食数記録!$A471=プレビュー!$C$3,食数記録!$B471="昼",食数記録!$F471="女性GH",食数記録!$D471="臨時喫食"),1,0)</f>
        <v>0</v>
      </c>
      <c r="W471" s="0" t="str">
        <f aca="false">IF(V471=1,SUM($V$2:V471),"")</f>
        <v/>
      </c>
      <c r="X471" s="0" t="n">
        <f aca="false">IF(AND(食数記録!$A471=プレビュー!$C$3,食数記録!$B471="夕",食数記録!$F471="女性GH",食数記録!$D471="臨時喫食"),1,0)</f>
        <v>0</v>
      </c>
      <c r="Y471" s="0" t="str">
        <f aca="false">IF(X471=1,SUM($X$2:X471),"")</f>
        <v/>
      </c>
    </row>
    <row r="472" customFormat="false" ht="15" hidden="false" customHeight="false" outlineLevel="0" collapsed="false">
      <c r="B472" s="0" t="n">
        <f aca="false">IF(AND(食数記録!$A472=プレビュー!$C$3,食数記録!$B472="朝",食数記録!$F472="男性入所",食数記録!$D472="欠食"),1,0)</f>
        <v>0</v>
      </c>
      <c r="C472" s="0" t="str">
        <f aca="false">IF(B472=1,SUM($B$2:B472),"")</f>
        <v/>
      </c>
      <c r="D472" s="0" t="n">
        <f aca="false">IF(AND(食数記録!$A472=プレビュー!$C$3,食数記録!$B472="昼",食数記録!$F472="男性入所",食数記録!$D472="欠食"),1,0)</f>
        <v>0</v>
      </c>
      <c r="E472" s="0" t="str">
        <f aca="false">IF(D472=1,SUM($D$2:D472),"")</f>
        <v/>
      </c>
      <c r="F472" s="0" t="n">
        <f aca="false">IF(AND(食数記録!$A472=プレビュー!$C$3,食数記録!$B472="夕",食数記録!$F472="男性入所",食数記録!$D472="欠食"),1,0)</f>
        <v>0</v>
      </c>
      <c r="G472" s="0" t="str">
        <f aca="false">IF(F472=1,SUM($F$2:F472),"")</f>
        <v/>
      </c>
      <c r="H472" s="0" t="n">
        <f aca="false">IF(AND(食数記録!$A472=プレビュー!$C$3,食数記録!$B472="朝",食数記録!$F472="女性入所",食数記録!$D472="欠食"),1,0)</f>
        <v>0</v>
      </c>
      <c r="I472" s="0" t="str">
        <f aca="false">IF(H472=1,SUM($H$2:H472),"")</f>
        <v/>
      </c>
      <c r="J472" s="0" t="n">
        <f aca="false">IF(AND(食数記録!$A472=プレビュー!$C$3,食数記録!$B472="昼",食数記録!$F472="女性入所",食数記録!$D472="欠食"),1,0)</f>
        <v>0</v>
      </c>
      <c r="K472" s="0" t="str">
        <f aca="false">IF(J472=1,SUM($J$2:J472),"")</f>
        <v/>
      </c>
      <c r="L472" s="0" t="n">
        <f aca="false">IF(AND(食数記録!$A472=プレビュー!$C$3,食数記録!$B472="夕",食数記録!$F472="女性入所",食数記録!$D472="欠食"),1,0)</f>
        <v>0</v>
      </c>
      <c r="M472" s="0" t="str">
        <f aca="false">IF(L472=1,SUM($L$2:L472),"")</f>
        <v/>
      </c>
      <c r="N472" s="0" t="n">
        <f aca="false">IF(AND(食数記録!$A472=プレビュー!$C$3,食数記録!$B472="朝",食数記録!$F472="男性GH",食数記録!$D472="臨時喫食"),1,0)</f>
        <v>0</v>
      </c>
      <c r="O472" s="0" t="str">
        <f aca="false">IF(N472=1,SUM($N$2:N472),"")</f>
        <v/>
      </c>
      <c r="P472" s="0" t="n">
        <f aca="false">IF(AND(食数記録!$A472=プレビュー!$C$3,食数記録!$B472="昼",食数記録!$F472="男性GH",食数記録!$D472="臨時喫食"),1,0)</f>
        <v>0</v>
      </c>
      <c r="Q472" s="0" t="str">
        <f aca="false">IF(P472=1,SUM($P$2:P472),"")</f>
        <v/>
      </c>
      <c r="R472" s="0" t="n">
        <f aca="false">IF(AND(食数記録!$A472=プレビュー!$C$3,食数記録!$B472="夕",食数記録!$F472="男性GH",食数記録!$D472="臨時喫食"),1,0)</f>
        <v>0</v>
      </c>
      <c r="S472" s="0" t="str">
        <f aca="false">IF(R472=1,SUM($R$2:R472),"")</f>
        <v/>
      </c>
      <c r="T472" s="0" t="n">
        <f aca="false">IF(AND(食数記録!$A472=プレビュー!$C$3,食数記録!$B472="朝",食数記録!$F472="女性GH",食数記録!$D472="臨時喫食"),1,0)</f>
        <v>0</v>
      </c>
      <c r="U472" s="0" t="str">
        <f aca="false">IF(T472=1,SUM($T$2:T472),"")</f>
        <v/>
      </c>
      <c r="V472" s="0" t="n">
        <f aca="false">IF(AND(食数記録!$A472=プレビュー!$C$3,食数記録!$B472="昼",食数記録!$F472="女性GH",食数記録!$D472="臨時喫食"),1,0)</f>
        <v>0</v>
      </c>
      <c r="W472" s="0" t="str">
        <f aca="false">IF(V472=1,SUM($V$2:V472),"")</f>
        <v/>
      </c>
      <c r="X472" s="0" t="n">
        <f aca="false">IF(AND(食数記録!$A472=プレビュー!$C$3,食数記録!$B472="夕",食数記録!$F472="女性GH",食数記録!$D472="臨時喫食"),1,0)</f>
        <v>0</v>
      </c>
      <c r="Y472" s="0" t="str">
        <f aca="false">IF(X472=1,SUM($X$2:X472),"")</f>
        <v/>
      </c>
    </row>
    <row r="473" customFormat="false" ht="15" hidden="false" customHeight="false" outlineLevel="0" collapsed="false">
      <c r="B473" s="0" t="n">
        <f aca="false">IF(AND(食数記録!$A473=プレビュー!$C$3,食数記録!$B473="朝",食数記録!$F473="男性入所",食数記録!$D473="欠食"),1,0)</f>
        <v>0</v>
      </c>
      <c r="C473" s="0" t="str">
        <f aca="false">IF(B473=1,SUM($B$2:B473),"")</f>
        <v/>
      </c>
      <c r="D473" s="0" t="n">
        <f aca="false">IF(AND(食数記録!$A473=プレビュー!$C$3,食数記録!$B473="昼",食数記録!$F473="男性入所",食数記録!$D473="欠食"),1,0)</f>
        <v>0</v>
      </c>
      <c r="E473" s="0" t="str">
        <f aca="false">IF(D473=1,SUM($D$2:D473),"")</f>
        <v/>
      </c>
      <c r="F473" s="0" t="n">
        <f aca="false">IF(AND(食数記録!$A473=プレビュー!$C$3,食数記録!$B473="夕",食数記録!$F473="男性入所",食数記録!$D473="欠食"),1,0)</f>
        <v>0</v>
      </c>
      <c r="G473" s="0" t="str">
        <f aca="false">IF(F473=1,SUM($F$2:F473),"")</f>
        <v/>
      </c>
      <c r="H473" s="0" t="n">
        <f aca="false">IF(AND(食数記録!$A473=プレビュー!$C$3,食数記録!$B473="朝",食数記録!$F473="女性入所",食数記録!$D473="欠食"),1,0)</f>
        <v>0</v>
      </c>
      <c r="I473" s="0" t="str">
        <f aca="false">IF(H473=1,SUM($H$2:H473),"")</f>
        <v/>
      </c>
      <c r="J473" s="0" t="n">
        <f aca="false">IF(AND(食数記録!$A473=プレビュー!$C$3,食数記録!$B473="昼",食数記録!$F473="女性入所",食数記録!$D473="欠食"),1,0)</f>
        <v>0</v>
      </c>
      <c r="K473" s="0" t="str">
        <f aca="false">IF(J473=1,SUM($J$2:J473),"")</f>
        <v/>
      </c>
      <c r="L473" s="0" t="n">
        <f aca="false">IF(AND(食数記録!$A473=プレビュー!$C$3,食数記録!$B473="夕",食数記録!$F473="女性入所",食数記録!$D473="欠食"),1,0)</f>
        <v>0</v>
      </c>
      <c r="M473" s="0" t="str">
        <f aca="false">IF(L473=1,SUM($L$2:L473),"")</f>
        <v/>
      </c>
      <c r="N473" s="0" t="n">
        <f aca="false">IF(AND(食数記録!$A473=プレビュー!$C$3,食数記録!$B473="朝",食数記録!$F473="男性GH",食数記録!$D473="臨時喫食"),1,0)</f>
        <v>0</v>
      </c>
      <c r="O473" s="0" t="str">
        <f aca="false">IF(N473=1,SUM($N$2:N473),"")</f>
        <v/>
      </c>
      <c r="P473" s="0" t="n">
        <f aca="false">IF(AND(食数記録!$A473=プレビュー!$C$3,食数記録!$B473="昼",食数記録!$F473="男性GH",食数記録!$D473="臨時喫食"),1,0)</f>
        <v>0</v>
      </c>
      <c r="Q473" s="0" t="str">
        <f aca="false">IF(P473=1,SUM($P$2:P473),"")</f>
        <v/>
      </c>
      <c r="R473" s="0" t="n">
        <f aca="false">IF(AND(食数記録!$A473=プレビュー!$C$3,食数記録!$B473="夕",食数記録!$F473="男性GH",食数記録!$D473="臨時喫食"),1,0)</f>
        <v>0</v>
      </c>
      <c r="S473" s="0" t="str">
        <f aca="false">IF(R473=1,SUM($R$2:R473),"")</f>
        <v/>
      </c>
      <c r="T473" s="0" t="n">
        <f aca="false">IF(AND(食数記録!$A473=プレビュー!$C$3,食数記録!$B473="朝",食数記録!$F473="女性GH",食数記録!$D473="臨時喫食"),1,0)</f>
        <v>0</v>
      </c>
      <c r="U473" s="0" t="str">
        <f aca="false">IF(T473=1,SUM($T$2:T473),"")</f>
        <v/>
      </c>
      <c r="V473" s="0" t="n">
        <f aca="false">IF(AND(食数記録!$A473=プレビュー!$C$3,食数記録!$B473="昼",食数記録!$F473="女性GH",食数記録!$D473="臨時喫食"),1,0)</f>
        <v>0</v>
      </c>
      <c r="W473" s="0" t="str">
        <f aca="false">IF(V473=1,SUM($V$2:V473),"")</f>
        <v/>
      </c>
      <c r="X473" s="0" t="n">
        <f aca="false">IF(AND(食数記録!$A473=プレビュー!$C$3,食数記録!$B473="夕",食数記録!$F473="女性GH",食数記録!$D473="臨時喫食"),1,0)</f>
        <v>0</v>
      </c>
      <c r="Y473" s="0" t="str">
        <f aca="false">IF(X473=1,SUM($X$2:X473),"")</f>
        <v/>
      </c>
    </row>
    <row r="474" customFormat="false" ht="15" hidden="false" customHeight="false" outlineLevel="0" collapsed="false">
      <c r="B474" s="0" t="n">
        <f aca="false">IF(AND(食数記録!$A474=プレビュー!$C$3,食数記録!$B474="朝",食数記録!$F474="男性入所",食数記録!$D474="欠食"),1,0)</f>
        <v>0</v>
      </c>
      <c r="C474" s="0" t="str">
        <f aca="false">IF(B474=1,SUM($B$2:B474),"")</f>
        <v/>
      </c>
      <c r="D474" s="0" t="n">
        <f aca="false">IF(AND(食数記録!$A474=プレビュー!$C$3,食数記録!$B474="昼",食数記録!$F474="男性入所",食数記録!$D474="欠食"),1,0)</f>
        <v>0</v>
      </c>
      <c r="E474" s="0" t="str">
        <f aca="false">IF(D474=1,SUM($D$2:D474),"")</f>
        <v/>
      </c>
      <c r="F474" s="0" t="n">
        <f aca="false">IF(AND(食数記録!$A474=プレビュー!$C$3,食数記録!$B474="夕",食数記録!$F474="男性入所",食数記録!$D474="欠食"),1,0)</f>
        <v>0</v>
      </c>
      <c r="G474" s="0" t="str">
        <f aca="false">IF(F474=1,SUM($F$2:F474),"")</f>
        <v/>
      </c>
      <c r="H474" s="0" t="n">
        <f aca="false">IF(AND(食数記録!$A474=プレビュー!$C$3,食数記録!$B474="朝",食数記録!$F474="女性入所",食数記録!$D474="欠食"),1,0)</f>
        <v>0</v>
      </c>
      <c r="I474" s="0" t="str">
        <f aca="false">IF(H474=1,SUM($H$2:H474),"")</f>
        <v/>
      </c>
      <c r="J474" s="0" t="n">
        <f aca="false">IF(AND(食数記録!$A474=プレビュー!$C$3,食数記録!$B474="昼",食数記録!$F474="女性入所",食数記録!$D474="欠食"),1,0)</f>
        <v>0</v>
      </c>
      <c r="K474" s="0" t="str">
        <f aca="false">IF(J474=1,SUM($J$2:J474),"")</f>
        <v/>
      </c>
      <c r="L474" s="0" t="n">
        <f aca="false">IF(AND(食数記録!$A474=プレビュー!$C$3,食数記録!$B474="夕",食数記録!$F474="女性入所",食数記録!$D474="欠食"),1,0)</f>
        <v>0</v>
      </c>
      <c r="M474" s="0" t="str">
        <f aca="false">IF(L474=1,SUM($L$2:L474),"")</f>
        <v/>
      </c>
      <c r="N474" s="0" t="n">
        <f aca="false">IF(AND(食数記録!$A474=プレビュー!$C$3,食数記録!$B474="朝",食数記録!$F474="男性GH",食数記録!$D474="臨時喫食"),1,0)</f>
        <v>0</v>
      </c>
      <c r="O474" s="0" t="str">
        <f aca="false">IF(N474=1,SUM($N$2:N474),"")</f>
        <v/>
      </c>
      <c r="P474" s="0" t="n">
        <f aca="false">IF(AND(食数記録!$A474=プレビュー!$C$3,食数記録!$B474="昼",食数記録!$F474="男性GH",食数記録!$D474="臨時喫食"),1,0)</f>
        <v>0</v>
      </c>
      <c r="Q474" s="0" t="str">
        <f aca="false">IF(P474=1,SUM($P$2:P474),"")</f>
        <v/>
      </c>
      <c r="R474" s="0" t="n">
        <f aca="false">IF(AND(食数記録!$A474=プレビュー!$C$3,食数記録!$B474="夕",食数記録!$F474="男性GH",食数記録!$D474="臨時喫食"),1,0)</f>
        <v>0</v>
      </c>
      <c r="S474" s="0" t="str">
        <f aca="false">IF(R474=1,SUM($R$2:R474),"")</f>
        <v/>
      </c>
      <c r="T474" s="0" t="n">
        <f aca="false">IF(AND(食数記録!$A474=プレビュー!$C$3,食数記録!$B474="朝",食数記録!$F474="女性GH",食数記録!$D474="臨時喫食"),1,0)</f>
        <v>0</v>
      </c>
      <c r="U474" s="0" t="str">
        <f aca="false">IF(T474=1,SUM($T$2:T474),"")</f>
        <v/>
      </c>
      <c r="V474" s="0" t="n">
        <f aca="false">IF(AND(食数記録!$A474=プレビュー!$C$3,食数記録!$B474="昼",食数記録!$F474="女性GH",食数記録!$D474="臨時喫食"),1,0)</f>
        <v>0</v>
      </c>
      <c r="W474" s="0" t="str">
        <f aca="false">IF(V474=1,SUM($V$2:V474),"")</f>
        <v/>
      </c>
      <c r="X474" s="0" t="n">
        <f aca="false">IF(AND(食数記録!$A474=プレビュー!$C$3,食数記録!$B474="夕",食数記録!$F474="女性GH",食数記録!$D474="臨時喫食"),1,0)</f>
        <v>0</v>
      </c>
      <c r="Y474" s="0" t="str">
        <f aca="false">IF(X474=1,SUM($X$2:X474),"")</f>
        <v/>
      </c>
    </row>
    <row r="475" customFormat="false" ht="15" hidden="false" customHeight="false" outlineLevel="0" collapsed="false">
      <c r="B475" s="0" t="n">
        <f aca="false">IF(AND(食数記録!$A475=プレビュー!$C$3,食数記録!$B475="朝",食数記録!$F475="男性入所",食数記録!$D475="欠食"),1,0)</f>
        <v>0</v>
      </c>
      <c r="C475" s="0" t="str">
        <f aca="false">IF(B475=1,SUM($B$2:B475),"")</f>
        <v/>
      </c>
      <c r="D475" s="0" t="n">
        <f aca="false">IF(AND(食数記録!$A475=プレビュー!$C$3,食数記録!$B475="昼",食数記録!$F475="男性入所",食数記録!$D475="欠食"),1,0)</f>
        <v>0</v>
      </c>
      <c r="E475" s="0" t="str">
        <f aca="false">IF(D475=1,SUM($D$2:D475),"")</f>
        <v/>
      </c>
      <c r="F475" s="0" t="n">
        <f aca="false">IF(AND(食数記録!$A475=プレビュー!$C$3,食数記録!$B475="夕",食数記録!$F475="男性入所",食数記録!$D475="欠食"),1,0)</f>
        <v>0</v>
      </c>
      <c r="G475" s="0" t="str">
        <f aca="false">IF(F475=1,SUM($F$2:F475),"")</f>
        <v/>
      </c>
      <c r="H475" s="0" t="n">
        <f aca="false">IF(AND(食数記録!$A475=プレビュー!$C$3,食数記録!$B475="朝",食数記録!$F475="女性入所",食数記録!$D475="欠食"),1,0)</f>
        <v>0</v>
      </c>
      <c r="I475" s="0" t="str">
        <f aca="false">IF(H475=1,SUM($H$2:H475),"")</f>
        <v/>
      </c>
      <c r="J475" s="0" t="n">
        <f aca="false">IF(AND(食数記録!$A475=プレビュー!$C$3,食数記録!$B475="昼",食数記録!$F475="女性入所",食数記録!$D475="欠食"),1,0)</f>
        <v>0</v>
      </c>
      <c r="K475" s="0" t="str">
        <f aca="false">IF(J475=1,SUM($J$2:J475),"")</f>
        <v/>
      </c>
      <c r="L475" s="0" t="n">
        <f aca="false">IF(AND(食数記録!$A475=プレビュー!$C$3,食数記録!$B475="夕",食数記録!$F475="女性入所",食数記録!$D475="欠食"),1,0)</f>
        <v>0</v>
      </c>
      <c r="M475" s="0" t="str">
        <f aca="false">IF(L475=1,SUM($L$2:L475),"")</f>
        <v/>
      </c>
      <c r="N475" s="0" t="n">
        <f aca="false">IF(AND(食数記録!$A475=プレビュー!$C$3,食数記録!$B475="朝",食数記録!$F475="男性GH",食数記録!$D475="臨時喫食"),1,0)</f>
        <v>0</v>
      </c>
      <c r="O475" s="0" t="str">
        <f aca="false">IF(N475=1,SUM($N$2:N475),"")</f>
        <v/>
      </c>
      <c r="P475" s="0" t="n">
        <f aca="false">IF(AND(食数記録!$A475=プレビュー!$C$3,食数記録!$B475="昼",食数記録!$F475="男性GH",食数記録!$D475="臨時喫食"),1,0)</f>
        <v>0</v>
      </c>
      <c r="Q475" s="0" t="str">
        <f aca="false">IF(P475=1,SUM($P$2:P475),"")</f>
        <v/>
      </c>
      <c r="R475" s="0" t="n">
        <f aca="false">IF(AND(食数記録!$A475=プレビュー!$C$3,食数記録!$B475="夕",食数記録!$F475="男性GH",食数記録!$D475="臨時喫食"),1,0)</f>
        <v>0</v>
      </c>
      <c r="S475" s="0" t="str">
        <f aca="false">IF(R475=1,SUM($R$2:R475),"")</f>
        <v/>
      </c>
      <c r="T475" s="0" t="n">
        <f aca="false">IF(AND(食数記録!$A475=プレビュー!$C$3,食数記録!$B475="朝",食数記録!$F475="女性GH",食数記録!$D475="臨時喫食"),1,0)</f>
        <v>0</v>
      </c>
      <c r="U475" s="0" t="str">
        <f aca="false">IF(T475=1,SUM($T$2:T475),"")</f>
        <v/>
      </c>
      <c r="V475" s="0" t="n">
        <f aca="false">IF(AND(食数記録!$A475=プレビュー!$C$3,食数記録!$B475="昼",食数記録!$F475="女性GH",食数記録!$D475="臨時喫食"),1,0)</f>
        <v>0</v>
      </c>
      <c r="W475" s="0" t="str">
        <f aca="false">IF(V475=1,SUM($V$2:V475),"")</f>
        <v/>
      </c>
      <c r="X475" s="0" t="n">
        <f aca="false">IF(AND(食数記録!$A475=プレビュー!$C$3,食数記録!$B475="夕",食数記録!$F475="女性GH",食数記録!$D475="臨時喫食"),1,0)</f>
        <v>0</v>
      </c>
      <c r="Y475" s="0" t="str">
        <f aca="false">IF(X475=1,SUM($X$2:X475),"")</f>
        <v/>
      </c>
    </row>
    <row r="476" customFormat="false" ht="15" hidden="false" customHeight="false" outlineLevel="0" collapsed="false">
      <c r="B476" s="0" t="n">
        <f aca="false">IF(AND(食数記録!$A476=プレビュー!$C$3,食数記録!$B476="朝",食数記録!$F476="男性入所",食数記録!$D476="欠食"),1,0)</f>
        <v>0</v>
      </c>
      <c r="C476" s="0" t="str">
        <f aca="false">IF(B476=1,SUM($B$2:B476),"")</f>
        <v/>
      </c>
      <c r="D476" s="0" t="n">
        <f aca="false">IF(AND(食数記録!$A476=プレビュー!$C$3,食数記録!$B476="昼",食数記録!$F476="男性入所",食数記録!$D476="欠食"),1,0)</f>
        <v>0</v>
      </c>
      <c r="E476" s="0" t="str">
        <f aca="false">IF(D476=1,SUM($D$2:D476),"")</f>
        <v/>
      </c>
      <c r="F476" s="0" t="n">
        <f aca="false">IF(AND(食数記録!$A476=プレビュー!$C$3,食数記録!$B476="夕",食数記録!$F476="男性入所",食数記録!$D476="欠食"),1,0)</f>
        <v>0</v>
      </c>
      <c r="G476" s="0" t="str">
        <f aca="false">IF(F476=1,SUM($F$2:F476),"")</f>
        <v/>
      </c>
      <c r="H476" s="0" t="n">
        <f aca="false">IF(AND(食数記録!$A476=プレビュー!$C$3,食数記録!$B476="朝",食数記録!$F476="女性入所",食数記録!$D476="欠食"),1,0)</f>
        <v>0</v>
      </c>
      <c r="I476" s="0" t="str">
        <f aca="false">IF(H476=1,SUM($H$2:H476),"")</f>
        <v/>
      </c>
      <c r="J476" s="0" t="n">
        <f aca="false">IF(AND(食数記録!$A476=プレビュー!$C$3,食数記録!$B476="昼",食数記録!$F476="女性入所",食数記録!$D476="欠食"),1,0)</f>
        <v>0</v>
      </c>
      <c r="K476" s="0" t="str">
        <f aca="false">IF(J476=1,SUM($J$2:J476),"")</f>
        <v/>
      </c>
      <c r="L476" s="0" t="n">
        <f aca="false">IF(AND(食数記録!$A476=プレビュー!$C$3,食数記録!$B476="夕",食数記録!$F476="女性入所",食数記録!$D476="欠食"),1,0)</f>
        <v>0</v>
      </c>
      <c r="M476" s="0" t="str">
        <f aca="false">IF(L476=1,SUM($L$2:L476),"")</f>
        <v/>
      </c>
      <c r="N476" s="0" t="n">
        <f aca="false">IF(AND(食数記録!$A476=プレビュー!$C$3,食数記録!$B476="朝",食数記録!$F476="男性GH",食数記録!$D476="臨時喫食"),1,0)</f>
        <v>0</v>
      </c>
      <c r="O476" s="0" t="str">
        <f aca="false">IF(N476=1,SUM($N$2:N476),"")</f>
        <v/>
      </c>
      <c r="P476" s="0" t="n">
        <f aca="false">IF(AND(食数記録!$A476=プレビュー!$C$3,食数記録!$B476="昼",食数記録!$F476="男性GH",食数記録!$D476="臨時喫食"),1,0)</f>
        <v>0</v>
      </c>
      <c r="Q476" s="0" t="str">
        <f aca="false">IF(P476=1,SUM($P$2:P476),"")</f>
        <v/>
      </c>
      <c r="R476" s="0" t="n">
        <f aca="false">IF(AND(食数記録!$A476=プレビュー!$C$3,食数記録!$B476="夕",食数記録!$F476="男性GH",食数記録!$D476="臨時喫食"),1,0)</f>
        <v>0</v>
      </c>
      <c r="S476" s="0" t="str">
        <f aca="false">IF(R476=1,SUM($R$2:R476),"")</f>
        <v/>
      </c>
      <c r="T476" s="0" t="n">
        <f aca="false">IF(AND(食数記録!$A476=プレビュー!$C$3,食数記録!$B476="朝",食数記録!$F476="女性GH",食数記録!$D476="臨時喫食"),1,0)</f>
        <v>0</v>
      </c>
      <c r="U476" s="0" t="str">
        <f aca="false">IF(T476=1,SUM($T$2:T476),"")</f>
        <v/>
      </c>
      <c r="V476" s="0" t="n">
        <f aca="false">IF(AND(食数記録!$A476=プレビュー!$C$3,食数記録!$B476="昼",食数記録!$F476="女性GH",食数記録!$D476="臨時喫食"),1,0)</f>
        <v>0</v>
      </c>
      <c r="W476" s="0" t="str">
        <f aca="false">IF(V476=1,SUM($V$2:V476),"")</f>
        <v/>
      </c>
      <c r="X476" s="0" t="n">
        <f aca="false">IF(AND(食数記録!$A476=プレビュー!$C$3,食数記録!$B476="夕",食数記録!$F476="女性GH",食数記録!$D476="臨時喫食"),1,0)</f>
        <v>0</v>
      </c>
      <c r="Y476" s="0" t="str">
        <f aca="false">IF(X476=1,SUM($X$2:X476),"")</f>
        <v/>
      </c>
    </row>
    <row r="477" customFormat="false" ht="15" hidden="false" customHeight="false" outlineLevel="0" collapsed="false">
      <c r="B477" s="0" t="n">
        <f aca="false">IF(AND(食数記録!$A477=プレビュー!$C$3,食数記録!$B477="朝",食数記録!$F477="男性入所",食数記録!$D477="欠食"),1,0)</f>
        <v>0</v>
      </c>
      <c r="C477" s="0" t="str">
        <f aca="false">IF(B477=1,SUM($B$2:B477),"")</f>
        <v/>
      </c>
      <c r="D477" s="0" t="n">
        <f aca="false">IF(AND(食数記録!$A477=プレビュー!$C$3,食数記録!$B477="昼",食数記録!$F477="男性入所",食数記録!$D477="欠食"),1,0)</f>
        <v>0</v>
      </c>
      <c r="E477" s="0" t="str">
        <f aca="false">IF(D477=1,SUM($D$2:D477),"")</f>
        <v/>
      </c>
      <c r="F477" s="0" t="n">
        <f aca="false">IF(AND(食数記録!$A477=プレビュー!$C$3,食数記録!$B477="夕",食数記録!$F477="男性入所",食数記録!$D477="欠食"),1,0)</f>
        <v>0</v>
      </c>
      <c r="G477" s="0" t="str">
        <f aca="false">IF(F477=1,SUM($F$2:F477),"")</f>
        <v/>
      </c>
      <c r="H477" s="0" t="n">
        <f aca="false">IF(AND(食数記録!$A477=プレビュー!$C$3,食数記録!$B477="朝",食数記録!$F477="女性入所",食数記録!$D477="欠食"),1,0)</f>
        <v>0</v>
      </c>
      <c r="I477" s="0" t="str">
        <f aca="false">IF(H477=1,SUM($H$2:H477),"")</f>
        <v/>
      </c>
      <c r="J477" s="0" t="n">
        <f aca="false">IF(AND(食数記録!$A477=プレビュー!$C$3,食数記録!$B477="昼",食数記録!$F477="女性入所",食数記録!$D477="欠食"),1,0)</f>
        <v>0</v>
      </c>
      <c r="K477" s="0" t="str">
        <f aca="false">IF(J477=1,SUM($J$2:J477),"")</f>
        <v/>
      </c>
      <c r="L477" s="0" t="n">
        <f aca="false">IF(AND(食数記録!$A477=プレビュー!$C$3,食数記録!$B477="夕",食数記録!$F477="女性入所",食数記録!$D477="欠食"),1,0)</f>
        <v>0</v>
      </c>
      <c r="M477" s="0" t="str">
        <f aca="false">IF(L477=1,SUM($L$2:L477),"")</f>
        <v/>
      </c>
      <c r="N477" s="0" t="n">
        <f aca="false">IF(AND(食数記録!$A477=プレビュー!$C$3,食数記録!$B477="朝",食数記録!$F477="男性GH",食数記録!$D477="臨時喫食"),1,0)</f>
        <v>0</v>
      </c>
      <c r="O477" s="0" t="str">
        <f aca="false">IF(N477=1,SUM($N$2:N477),"")</f>
        <v/>
      </c>
      <c r="P477" s="0" t="n">
        <f aca="false">IF(AND(食数記録!$A477=プレビュー!$C$3,食数記録!$B477="昼",食数記録!$F477="男性GH",食数記録!$D477="臨時喫食"),1,0)</f>
        <v>0</v>
      </c>
      <c r="Q477" s="0" t="str">
        <f aca="false">IF(P477=1,SUM($P$2:P477),"")</f>
        <v/>
      </c>
      <c r="R477" s="0" t="n">
        <f aca="false">IF(AND(食数記録!$A477=プレビュー!$C$3,食数記録!$B477="夕",食数記録!$F477="男性GH",食数記録!$D477="臨時喫食"),1,0)</f>
        <v>0</v>
      </c>
      <c r="S477" s="0" t="str">
        <f aca="false">IF(R477=1,SUM($R$2:R477),"")</f>
        <v/>
      </c>
      <c r="T477" s="0" t="n">
        <f aca="false">IF(AND(食数記録!$A477=プレビュー!$C$3,食数記録!$B477="朝",食数記録!$F477="女性GH",食数記録!$D477="臨時喫食"),1,0)</f>
        <v>0</v>
      </c>
      <c r="U477" s="0" t="str">
        <f aca="false">IF(T477=1,SUM($T$2:T477),"")</f>
        <v/>
      </c>
      <c r="V477" s="0" t="n">
        <f aca="false">IF(AND(食数記録!$A477=プレビュー!$C$3,食数記録!$B477="昼",食数記録!$F477="女性GH",食数記録!$D477="臨時喫食"),1,0)</f>
        <v>0</v>
      </c>
      <c r="W477" s="0" t="str">
        <f aca="false">IF(V477=1,SUM($V$2:V477),"")</f>
        <v/>
      </c>
      <c r="X477" s="0" t="n">
        <f aca="false">IF(AND(食数記録!$A477=プレビュー!$C$3,食数記録!$B477="夕",食数記録!$F477="女性GH",食数記録!$D477="臨時喫食"),1,0)</f>
        <v>0</v>
      </c>
      <c r="Y477" s="0" t="str">
        <f aca="false">IF(X477=1,SUM($X$2:X477),"")</f>
        <v/>
      </c>
    </row>
    <row r="478" customFormat="false" ht="15" hidden="false" customHeight="false" outlineLevel="0" collapsed="false">
      <c r="B478" s="0" t="n">
        <f aca="false">IF(AND(食数記録!$A478=プレビュー!$C$3,食数記録!$B478="朝",食数記録!$F478="男性入所",食数記録!$D478="欠食"),1,0)</f>
        <v>0</v>
      </c>
      <c r="C478" s="0" t="str">
        <f aca="false">IF(B478=1,SUM($B$2:B478),"")</f>
        <v/>
      </c>
      <c r="D478" s="0" t="n">
        <f aca="false">IF(AND(食数記録!$A478=プレビュー!$C$3,食数記録!$B478="昼",食数記録!$F478="男性入所",食数記録!$D478="欠食"),1,0)</f>
        <v>0</v>
      </c>
      <c r="E478" s="0" t="str">
        <f aca="false">IF(D478=1,SUM($D$2:D478),"")</f>
        <v/>
      </c>
      <c r="F478" s="0" t="n">
        <f aca="false">IF(AND(食数記録!$A478=プレビュー!$C$3,食数記録!$B478="夕",食数記録!$F478="男性入所",食数記録!$D478="欠食"),1,0)</f>
        <v>0</v>
      </c>
      <c r="G478" s="0" t="str">
        <f aca="false">IF(F478=1,SUM($F$2:F478),"")</f>
        <v/>
      </c>
      <c r="H478" s="0" t="n">
        <f aca="false">IF(AND(食数記録!$A478=プレビュー!$C$3,食数記録!$B478="朝",食数記録!$F478="女性入所",食数記録!$D478="欠食"),1,0)</f>
        <v>0</v>
      </c>
      <c r="I478" s="0" t="str">
        <f aca="false">IF(H478=1,SUM($H$2:H478),"")</f>
        <v/>
      </c>
      <c r="J478" s="0" t="n">
        <f aca="false">IF(AND(食数記録!$A478=プレビュー!$C$3,食数記録!$B478="昼",食数記録!$F478="女性入所",食数記録!$D478="欠食"),1,0)</f>
        <v>0</v>
      </c>
      <c r="K478" s="0" t="str">
        <f aca="false">IF(J478=1,SUM($J$2:J478),"")</f>
        <v/>
      </c>
      <c r="L478" s="0" t="n">
        <f aca="false">IF(AND(食数記録!$A478=プレビュー!$C$3,食数記録!$B478="夕",食数記録!$F478="女性入所",食数記録!$D478="欠食"),1,0)</f>
        <v>0</v>
      </c>
      <c r="M478" s="0" t="str">
        <f aca="false">IF(L478=1,SUM($L$2:L478),"")</f>
        <v/>
      </c>
      <c r="N478" s="0" t="n">
        <f aca="false">IF(AND(食数記録!$A478=プレビュー!$C$3,食数記録!$B478="朝",食数記録!$F478="男性GH",食数記録!$D478="臨時喫食"),1,0)</f>
        <v>0</v>
      </c>
      <c r="O478" s="0" t="str">
        <f aca="false">IF(N478=1,SUM($N$2:N478),"")</f>
        <v/>
      </c>
      <c r="P478" s="0" t="n">
        <f aca="false">IF(AND(食数記録!$A478=プレビュー!$C$3,食数記録!$B478="昼",食数記録!$F478="男性GH",食数記録!$D478="臨時喫食"),1,0)</f>
        <v>0</v>
      </c>
      <c r="Q478" s="0" t="str">
        <f aca="false">IF(P478=1,SUM($P$2:P478),"")</f>
        <v/>
      </c>
      <c r="R478" s="0" t="n">
        <f aca="false">IF(AND(食数記録!$A478=プレビュー!$C$3,食数記録!$B478="夕",食数記録!$F478="男性GH",食数記録!$D478="臨時喫食"),1,0)</f>
        <v>0</v>
      </c>
      <c r="S478" s="0" t="str">
        <f aca="false">IF(R478=1,SUM($R$2:R478),"")</f>
        <v/>
      </c>
      <c r="T478" s="0" t="n">
        <f aca="false">IF(AND(食数記録!$A478=プレビュー!$C$3,食数記録!$B478="朝",食数記録!$F478="女性GH",食数記録!$D478="臨時喫食"),1,0)</f>
        <v>0</v>
      </c>
      <c r="U478" s="0" t="str">
        <f aca="false">IF(T478=1,SUM($T$2:T478),"")</f>
        <v/>
      </c>
      <c r="V478" s="0" t="n">
        <f aca="false">IF(AND(食数記録!$A478=プレビュー!$C$3,食数記録!$B478="昼",食数記録!$F478="女性GH",食数記録!$D478="臨時喫食"),1,0)</f>
        <v>0</v>
      </c>
      <c r="W478" s="0" t="str">
        <f aca="false">IF(V478=1,SUM($V$2:V478),"")</f>
        <v/>
      </c>
      <c r="X478" s="0" t="n">
        <f aca="false">IF(AND(食数記録!$A478=プレビュー!$C$3,食数記録!$B478="夕",食数記録!$F478="女性GH",食数記録!$D478="臨時喫食"),1,0)</f>
        <v>0</v>
      </c>
      <c r="Y478" s="0" t="str">
        <f aca="false">IF(X478=1,SUM($X$2:X478),"")</f>
        <v/>
      </c>
    </row>
    <row r="479" customFormat="false" ht="15" hidden="false" customHeight="false" outlineLevel="0" collapsed="false">
      <c r="B479" s="0" t="n">
        <f aca="false">IF(AND(食数記録!$A479=プレビュー!$C$3,食数記録!$B479="朝",食数記録!$F479="男性入所",食数記録!$D479="欠食"),1,0)</f>
        <v>0</v>
      </c>
      <c r="C479" s="0" t="str">
        <f aca="false">IF(B479=1,SUM($B$2:B479),"")</f>
        <v/>
      </c>
      <c r="D479" s="0" t="n">
        <f aca="false">IF(AND(食数記録!$A479=プレビュー!$C$3,食数記録!$B479="昼",食数記録!$F479="男性入所",食数記録!$D479="欠食"),1,0)</f>
        <v>0</v>
      </c>
      <c r="E479" s="0" t="str">
        <f aca="false">IF(D479=1,SUM($D$2:D479),"")</f>
        <v/>
      </c>
      <c r="F479" s="0" t="n">
        <f aca="false">IF(AND(食数記録!$A479=プレビュー!$C$3,食数記録!$B479="夕",食数記録!$F479="男性入所",食数記録!$D479="欠食"),1,0)</f>
        <v>0</v>
      </c>
      <c r="G479" s="0" t="str">
        <f aca="false">IF(F479=1,SUM($F$2:F479),"")</f>
        <v/>
      </c>
      <c r="H479" s="0" t="n">
        <f aca="false">IF(AND(食数記録!$A479=プレビュー!$C$3,食数記録!$B479="朝",食数記録!$F479="女性入所",食数記録!$D479="欠食"),1,0)</f>
        <v>0</v>
      </c>
      <c r="I479" s="0" t="str">
        <f aca="false">IF(H479=1,SUM($H$2:H479),"")</f>
        <v/>
      </c>
      <c r="J479" s="0" t="n">
        <f aca="false">IF(AND(食数記録!$A479=プレビュー!$C$3,食数記録!$B479="昼",食数記録!$F479="女性入所",食数記録!$D479="欠食"),1,0)</f>
        <v>0</v>
      </c>
      <c r="K479" s="0" t="str">
        <f aca="false">IF(J479=1,SUM($J$2:J479),"")</f>
        <v/>
      </c>
      <c r="L479" s="0" t="n">
        <f aca="false">IF(AND(食数記録!$A479=プレビュー!$C$3,食数記録!$B479="夕",食数記録!$F479="女性入所",食数記録!$D479="欠食"),1,0)</f>
        <v>0</v>
      </c>
      <c r="M479" s="0" t="str">
        <f aca="false">IF(L479=1,SUM($L$2:L479),"")</f>
        <v/>
      </c>
      <c r="N479" s="0" t="n">
        <f aca="false">IF(AND(食数記録!$A479=プレビュー!$C$3,食数記録!$B479="朝",食数記録!$F479="男性GH",食数記録!$D479="臨時喫食"),1,0)</f>
        <v>0</v>
      </c>
      <c r="O479" s="0" t="str">
        <f aca="false">IF(N479=1,SUM($N$2:N479),"")</f>
        <v/>
      </c>
      <c r="P479" s="0" t="n">
        <f aca="false">IF(AND(食数記録!$A479=プレビュー!$C$3,食数記録!$B479="昼",食数記録!$F479="男性GH",食数記録!$D479="臨時喫食"),1,0)</f>
        <v>0</v>
      </c>
      <c r="Q479" s="0" t="str">
        <f aca="false">IF(P479=1,SUM($P$2:P479),"")</f>
        <v/>
      </c>
      <c r="R479" s="0" t="n">
        <f aca="false">IF(AND(食数記録!$A479=プレビュー!$C$3,食数記録!$B479="夕",食数記録!$F479="男性GH",食数記録!$D479="臨時喫食"),1,0)</f>
        <v>0</v>
      </c>
      <c r="S479" s="0" t="str">
        <f aca="false">IF(R479=1,SUM($R$2:R479),"")</f>
        <v/>
      </c>
      <c r="T479" s="0" t="n">
        <f aca="false">IF(AND(食数記録!$A479=プレビュー!$C$3,食数記録!$B479="朝",食数記録!$F479="女性GH",食数記録!$D479="臨時喫食"),1,0)</f>
        <v>0</v>
      </c>
      <c r="U479" s="0" t="str">
        <f aca="false">IF(T479=1,SUM($T$2:T479),"")</f>
        <v/>
      </c>
      <c r="V479" s="0" t="n">
        <f aca="false">IF(AND(食数記録!$A479=プレビュー!$C$3,食数記録!$B479="昼",食数記録!$F479="女性GH",食数記録!$D479="臨時喫食"),1,0)</f>
        <v>0</v>
      </c>
      <c r="W479" s="0" t="str">
        <f aca="false">IF(V479=1,SUM($V$2:V479),"")</f>
        <v/>
      </c>
      <c r="X479" s="0" t="n">
        <f aca="false">IF(AND(食数記録!$A479=プレビュー!$C$3,食数記録!$B479="夕",食数記録!$F479="女性GH",食数記録!$D479="臨時喫食"),1,0)</f>
        <v>0</v>
      </c>
      <c r="Y479" s="0" t="str">
        <f aca="false">IF(X479=1,SUM($X$2:X479),"")</f>
        <v/>
      </c>
    </row>
    <row r="480" customFormat="false" ht="15" hidden="false" customHeight="false" outlineLevel="0" collapsed="false">
      <c r="B480" s="0" t="n">
        <f aca="false">IF(AND(食数記録!$A480=プレビュー!$C$3,食数記録!$B480="朝",食数記録!$F480="男性入所",食数記録!$D480="欠食"),1,0)</f>
        <v>0</v>
      </c>
      <c r="C480" s="0" t="str">
        <f aca="false">IF(B480=1,SUM($B$2:B480),"")</f>
        <v/>
      </c>
      <c r="D480" s="0" t="n">
        <f aca="false">IF(AND(食数記録!$A480=プレビュー!$C$3,食数記録!$B480="昼",食数記録!$F480="男性入所",食数記録!$D480="欠食"),1,0)</f>
        <v>0</v>
      </c>
      <c r="E480" s="0" t="str">
        <f aca="false">IF(D480=1,SUM($D$2:D480),"")</f>
        <v/>
      </c>
      <c r="F480" s="0" t="n">
        <f aca="false">IF(AND(食数記録!$A480=プレビュー!$C$3,食数記録!$B480="夕",食数記録!$F480="男性入所",食数記録!$D480="欠食"),1,0)</f>
        <v>0</v>
      </c>
      <c r="G480" s="0" t="str">
        <f aca="false">IF(F480=1,SUM($F$2:F480),"")</f>
        <v/>
      </c>
      <c r="H480" s="0" t="n">
        <f aca="false">IF(AND(食数記録!$A480=プレビュー!$C$3,食数記録!$B480="朝",食数記録!$F480="女性入所",食数記録!$D480="欠食"),1,0)</f>
        <v>0</v>
      </c>
      <c r="I480" s="0" t="str">
        <f aca="false">IF(H480=1,SUM($H$2:H480),"")</f>
        <v/>
      </c>
      <c r="J480" s="0" t="n">
        <f aca="false">IF(AND(食数記録!$A480=プレビュー!$C$3,食数記録!$B480="昼",食数記録!$F480="女性入所",食数記録!$D480="欠食"),1,0)</f>
        <v>0</v>
      </c>
      <c r="K480" s="0" t="str">
        <f aca="false">IF(J480=1,SUM($J$2:J480),"")</f>
        <v/>
      </c>
      <c r="L480" s="0" t="n">
        <f aca="false">IF(AND(食数記録!$A480=プレビュー!$C$3,食数記録!$B480="夕",食数記録!$F480="女性入所",食数記録!$D480="欠食"),1,0)</f>
        <v>0</v>
      </c>
      <c r="M480" s="0" t="str">
        <f aca="false">IF(L480=1,SUM($L$2:L480),"")</f>
        <v/>
      </c>
      <c r="N480" s="0" t="n">
        <f aca="false">IF(AND(食数記録!$A480=プレビュー!$C$3,食数記録!$B480="朝",食数記録!$F480="男性GH",食数記録!$D480="臨時喫食"),1,0)</f>
        <v>0</v>
      </c>
      <c r="O480" s="0" t="str">
        <f aca="false">IF(N480=1,SUM($N$2:N480),"")</f>
        <v/>
      </c>
      <c r="P480" s="0" t="n">
        <f aca="false">IF(AND(食数記録!$A480=プレビュー!$C$3,食数記録!$B480="昼",食数記録!$F480="男性GH",食数記録!$D480="臨時喫食"),1,0)</f>
        <v>0</v>
      </c>
      <c r="Q480" s="0" t="str">
        <f aca="false">IF(P480=1,SUM($P$2:P480),"")</f>
        <v/>
      </c>
      <c r="R480" s="0" t="n">
        <f aca="false">IF(AND(食数記録!$A480=プレビュー!$C$3,食数記録!$B480="夕",食数記録!$F480="男性GH",食数記録!$D480="臨時喫食"),1,0)</f>
        <v>0</v>
      </c>
      <c r="S480" s="0" t="str">
        <f aca="false">IF(R480=1,SUM($R$2:R480),"")</f>
        <v/>
      </c>
      <c r="T480" s="0" t="n">
        <f aca="false">IF(AND(食数記録!$A480=プレビュー!$C$3,食数記録!$B480="朝",食数記録!$F480="女性GH",食数記録!$D480="臨時喫食"),1,0)</f>
        <v>0</v>
      </c>
      <c r="U480" s="0" t="str">
        <f aca="false">IF(T480=1,SUM($T$2:T480),"")</f>
        <v/>
      </c>
      <c r="V480" s="0" t="n">
        <f aca="false">IF(AND(食数記録!$A480=プレビュー!$C$3,食数記録!$B480="昼",食数記録!$F480="女性GH",食数記録!$D480="臨時喫食"),1,0)</f>
        <v>0</v>
      </c>
      <c r="W480" s="0" t="str">
        <f aca="false">IF(V480=1,SUM($V$2:V480),"")</f>
        <v/>
      </c>
      <c r="X480" s="0" t="n">
        <f aca="false">IF(AND(食数記録!$A480=プレビュー!$C$3,食数記録!$B480="夕",食数記録!$F480="女性GH",食数記録!$D480="臨時喫食"),1,0)</f>
        <v>0</v>
      </c>
      <c r="Y480" s="0" t="str">
        <f aca="false">IF(X480=1,SUM($X$2:X480),"")</f>
        <v/>
      </c>
    </row>
    <row r="481" customFormat="false" ht="15" hidden="false" customHeight="false" outlineLevel="0" collapsed="false">
      <c r="B481" s="0" t="n">
        <f aca="false">IF(AND(食数記録!$A481=プレビュー!$C$3,食数記録!$B481="朝",食数記録!$F481="男性入所",食数記録!$D481="欠食"),1,0)</f>
        <v>0</v>
      </c>
      <c r="C481" s="0" t="str">
        <f aca="false">IF(B481=1,SUM($B$2:B481),"")</f>
        <v/>
      </c>
      <c r="D481" s="0" t="n">
        <f aca="false">IF(AND(食数記録!$A481=プレビュー!$C$3,食数記録!$B481="昼",食数記録!$F481="男性入所",食数記録!$D481="欠食"),1,0)</f>
        <v>0</v>
      </c>
      <c r="E481" s="0" t="str">
        <f aca="false">IF(D481=1,SUM($D$2:D481),"")</f>
        <v/>
      </c>
      <c r="F481" s="0" t="n">
        <f aca="false">IF(AND(食数記録!$A481=プレビュー!$C$3,食数記録!$B481="夕",食数記録!$F481="男性入所",食数記録!$D481="欠食"),1,0)</f>
        <v>0</v>
      </c>
      <c r="G481" s="0" t="str">
        <f aca="false">IF(F481=1,SUM($F$2:F481),"")</f>
        <v/>
      </c>
      <c r="H481" s="0" t="n">
        <f aca="false">IF(AND(食数記録!$A481=プレビュー!$C$3,食数記録!$B481="朝",食数記録!$F481="女性入所",食数記録!$D481="欠食"),1,0)</f>
        <v>0</v>
      </c>
      <c r="I481" s="0" t="str">
        <f aca="false">IF(H481=1,SUM($H$2:H481),"")</f>
        <v/>
      </c>
      <c r="J481" s="0" t="n">
        <f aca="false">IF(AND(食数記録!$A481=プレビュー!$C$3,食数記録!$B481="昼",食数記録!$F481="女性入所",食数記録!$D481="欠食"),1,0)</f>
        <v>0</v>
      </c>
      <c r="K481" s="0" t="str">
        <f aca="false">IF(J481=1,SUM($J$2:J481),"")</f>
        <v/>
      </c>
      <c r="L481" s="0" t="n">
        <f aca="false">IF(AND(食数記録!$A481=プレビュー!$C$3,食数記録!$B481="夕",食数記録!$F481="女性入所",食数記録!$D481="欠食"),1,0)</f>
        <v>0</v>
      </c>
      <c r="M481" s="0" t="str">
        <f aca="false">IF(L481=1,SUM($L$2:L481),"")</f>
        <v/>
      </c>
      <c r="N481" s="0" t="n">
        <f aca="false">IF(AND(食数記録!$A481=プレビュー!$C$3,食数記録!$B481="朝",食数記録!$F481="男性GH",食数記録!$D481="臨時喫食"),1,0)</f>
        <v>0</v>
      </c>
      <c r="O481" s="0" t="str">
        <f aca="false">IF(N481=1,SUM($N$2:N481),"")</f>
        <v/>
      </c>
      <c r="P481" s="0" t="n">
        <f aca="false">IF(AND(食数記録!$A481=プレビュー!$C$3,食数記録!$B481="昼",食数記録!$F481="男性GH",食数記録!$D481="臨時喫食"),1,0)</f>
        <v>0</v>
      </c>
      <c r="Q481" s="0" t="str">
        <f aca="false">IF(P481=1,SUM($P$2:P481),"")</f>
        <v/>
      </c>
      <c r="R481" s="0" t="n">
        <f aca="false">IF(AND(食数記録!$A481=プレビュー!$C$3,食数記録!$B481="夕",食数記録!$F481="男性GH",食数記録!$D481="臨時喫食"),1,0)</f>
        <v>0</v>
      </c>
      <c r="S481" s="0" t="str">
        <f aca="false">IF(R481=1,SUM($R$2:R481),"")</f>
        <v/>
      </c>
      <c r="T481" s="0" t="n">
        <f aca="false">IF(AND(食数記録!$A481=プレビュー!$C$3,食数記録!$B481="朝",食数記録!$F481="女性GH",食数記録!$D481="臨時喫食"),1,0)</f>
        <v>0</v>
      </c>
      <c r="U481" s="0" t="str">
        <f aca="false">IF(T481=1,SUM($T$2:T481),"")</f>
        <v/>
      </c>
      <c r="V481" s="0" t="n">
        <f aca="false">IF(AND(食数記録!$A481=プレビュー!$C$3,食数記録!$B481="昼",食数記録!$F481="女性GH",食数記録!$D481="臨時喫食"),1,0)</f>
        <v>0</v>
      </c>
      <c r="W481" s="0" t="str">
        <f aca="false">IF(V481=1,SUM($V$2:V481),"")</f>
        <v/>
      </c>
      <c r="X481" s="0" t="n">
        <f aca="false">IF(AND(食数記録!$A481=プレビュー!$C$3,食数記録!$B481="夕",食数記録!$F481="女性GH",食数記録!$D481="臨時喫食"),1,0)</f>
        <v>0</v>
      </c>
      <c r="Y481" s="0" t="str">
        <f aca="false">IF(X481=1,SUM($X$2:X481),"")</f>
        <v/>
      </c>
    </row>
    <row r="482" customFormat="false" ht="15" hidden="false" customHeight="false" outlineLevel="0" collapsed="false">
      <c r="B482" s="0" t="n">
        <f aca="false">IF(AND(食数記録!$A482=プレビュー!$C$3,食数記録!$B482="朝",食数記録!$F482="男性入所",食数記録!$D482="欠食"),1,0)</f>
        <v>0</v>
      </c>
      <c r="C482" s="0" t="str">
        <f aca="false">IF(B482=1,SUM($B$2:B482),"")</f>
        <v/>
      </c>
      <c r="D482" s="0" t="n">
        <f aca="false">IF(AND(食数記録!$A482=プレビュー!$C$3,食数記録!$B482="昼",食数記録!$F482="男性入所",食数記録!$D482="欠食"),1,0)</f>
        <v>0</v>
      </c>
      <c r="E482" s="0" t="str">
        <f aca="false">IF(D482=1,SUM($D$2:D482),"")</f>
        <v/>
      </c>
      <c r="F482" s="0" t="n">
        <f aca="false">IF(AND(食数記録!$A482=プレビュー!$C$3,食数記録!$B482="夕",食数記録!$F482="男性入所",食数記録!$D482="欠食"),1,0)</f>
        <v>0</v>
      </c>
      <c r="G482" s="0" t="str">
        <f aca="false">IF(F482=1,SUM($F$2:F482),"")</f>
        <v/>
      </c>
      <c r="H482" s="0" t="n">
        <f aca="false">IF(AND(食数記録!$A482=プレビュー!$C$3,食数記録!$B482="朝",食数記録!$F482="女性入所",食数記録!$D482="欠食"),1,0)</f>
        <v>0</v>
      </c>
      <c r="I482" s="0" t="str">
        <f aca="false">IF(H482=1,SUM($H$2:H482),"")</f>
        <v/>
      </c>
      <c r="J482" s="0" t="n">
        <f aca="false">IF(AND(食数記録!$A482=プレビュー!$C$3,食数記録!$B482="昼",食数記録!$F482="女性入所",食数記録!$D482="欠食"),1,0)</f>
        <v>0</v>
      </c>
      <c r="K482" s="0" t="str">
        <f aca="false">IF(J482=1,SUM($J$2:J482),"")</f>
        <v/>
      </c>
      <c r="L482" s="0" t="n">
        <f aca="false">IF(AND(食数記録!$A482=プレビュー!$C$3,食数記録!$B482="夕",食数記録!$F482="女性入所",食数記録!$D482="欠食"),1,0)</f>
        <v>0</v>
      </c>
      <c r="M482" s="0" t="str">
        <f aca="false">IF(L482=1,SUM($L$2:L482),"")</f>
        <v/>
      </c>
      <c r="N482" s="0" t="n">
        <f aca="false">IF(AND(食数記録!$A482=プレビュー!$C$3,食数記録!$B482="朝",食数記録!$F482="男性GH",食数記録!$D482="臨時喫食"),1,0)</f>
        <v>0</v>
      </c>
      <c r="O482" s="0" t="str">
        <f aca="false">IF(N482=1,SUM($N$2:N482),"")</f>
        <v/>
      </c>
      <c r="P482" s="0" t="n">
        <f aca="false">IF(AND(食数記録!$A482=プレビュー!$C$3,食数記録!$B482="昼",食数記録!$F482="男性GH",食数記録!$D482="臨時喫食"),1,0)</f>
        <v>0</v>
      </c>
      <c r="Q482" s="0" t="str">
        <f aca="false">IF(P482=1,SUM($P$2:P482),"")</f>
        <v/>
      </c>
      <c r="R482" s="0" t="n">
        <f aca="false">IF(AND(食数記録!$A482=プレビュー!$C$3,食数記録!$B482="夕",食数記録!$F482="男性GH",食数記録!$D482="臨時喫食"),1,0)</f>
        <v>0</v>
      </c>
      <c r="S482" s="0" t="str">
        <f aca="false">IF(R482=1,SUM($R$2:R482),"")</f>
        <v/>
      </c>
      <c r="T482" s="0" t="n">
        <f aca="false">IF(AND(食数記録!$A482=プレビュー!$C$3,食数記録!$B482="朝",食数記録!$F482="女性GH",食数記録!$D482="臨時喫食"),1,0)</f>
        <v>0</v>
      </c>
      <c r="U482" s="0" t="str">
        <f aca="false">IF(T482=1,SUM($T$2:T482),"")</f>
        <v/>
      </c>
      <c r="V482" s="0" t="n">
        <f aca="false">IF(AND(食数記録!$A482=プレビュー!$C$3,食数記録!$B482="昼",食数記録!$F482="女性GH",食数記録!$D482="臨時喫食"),1,0)</f>
        <v>0</v>
      </c>
      <c r="W482" s="0" t="str">
        <f aca="false">IF(V482=1,SUM($V$2:V482),"")</f>
        <v/>
      </c>
      <c r="X482" s="0" t="n">
        <f aca="false">IF(AND(食数記録!$A482=プレビュー!$C$3,食数記録!$B482="夕",食数記録!$F482="女性GH",食数記録!$D482="臨時喫食"),1,0)</f>
        <v>0</v>
      </c>
      <c r="Y482" s="0" t="str">
        <f aca="false">IF(X482=1,SUM($X$2:X482),"")</f>
        <v/>
      </c>
    </row>
    <row r="483" customFormat="false" ht="15" hidden="false" customHeight="false" outlineLevel="0" collapsed="false">
      <c r="B483" s="0" t="n">
        <f aca="false">IF(AND(食数記録!$A483=プレビュー!$C$3,食数記録!$B483="朝",食数記録!$F483="男性入所",食数記録!$D483="欠食"),1,0)</f>
        <v>0</v>
      </c>
      <c r="C483" s="0" t="str">
        <f aca="false">IF(B483=1,SUM($B$2:B483),"")</f>
        <v/>
      </c>
      <c r="D483" s="0" t="n">
        <f aca="false">IF(AND(食数記録!$A483=プレビュー!$C$3,食数記録!$B483="昼",食数記録!$F483="男性入所",食数記録!$D483="欠食"),1,0)</f>
        <v>0</v>
      </c>
      <c r="E483" s="0" t="str">
        <f aca="false">IF(D483=1,SUM($D$2:D483),"")</f>
        <v/>
      </c>
      <c r="F483" s="0" t="n">
        <f aca="false">IF(AND(食数記録!$A483=プレビュー!$C$3,食数記録!$B483="夕",食数記録!$F483="男性入所",食数記録!$D483="欠食"),1,0)</f>
        <v>0</v>
      </c>
      <c r="G483" s="0" t="str">
        <f aca="false">IF(F483=1,SUM($F$2:F483),"")</f>
        <v/>
      </c>
      <c r="H483" s="0" t="n">
        <f aca="false">IF(AND(食数記録!$A483=プレビュー!$C$3,食数記録!$B483="朝",食数記録!$F483="女性入所",食数記録!$D483="欠食"),1,0)</f>
        <v>0</v>
      </c>
      <c r="I483" s="0" t="str">
        <f aca="false">IF(H483=1,SUM($H$2:H483),"")</f>
        <v/>
      </c>
      <c r="J483" s="0" t="n">
        <f aca="false">IF(AND(食数記録!$A483=プレビュー!$C$3,食数記録!$B483="昼",食数記録!$F483="女性入所",食数記録!$D483="欠食"),1,0)</f>
        <v>0</v>
      </c>
      <c r="K483" s="0" t="str">
        <f aca="false">IF(J483=1,SUM($J$2:J483),"")</f>
        <v/>
      </c>
      <c r="L483" s="0" t="n">
        <f aca="false">IF(AND(食数記録!$A483=プレビュー!$C$3,食数記録!$B483="夕",食数記録!$F483="女性入所",食数記録!$D483="欠食"),1,0)</f>
        <v>0</v>
      </c>
      <c r="M483" s="0" t="str">
        <f aca="false">IF(L483=1,SUM($L$2:L483),"")</f>
        <v/>
      </c>
      <c r="N483" s="0" t="n">
        <f aca="false">IF(AND(食数記録!$A483=プレビュー!$C$3,食数記録!$B483="朝",食数記録!$F483="男性GH",食数記録!$D483="臨時喫食"),1,0)</f>
        <v>0</v>
      </c>
      <c r="O483" s="0" t="str">
        <f aca="false">IF(N483=1,SUM($N$2:N483),"")</f>
        <v/>
      </c>
      <c r="P483" s="0" t="n">
        <f aca="false">IF(AND(食数記録!$A483=プレビュー!$C$3,食数記録!$B483="昼",食数記録!$F483="男性GH",食数記録!$D483="臨時喫食"),1,0)</f>
        <v>0</v>
      </c>
      <c r="Q483" s="0" t="str">
        <f aca="false">IF(P483=1,SUM($P$2:P483),"")</f>
        <v/>
      </c>
      <c r="R483" s="0" t="n">
        <f aca="false">IF(AND(食数記録!$A483=プレビュー!$C$3,食数記録!$B483="夕",食数記録!$F483="男性GH",食数記録!$D483="臨時喫食"),1,0)</f>
        <v>0</v>
      </c>
      <c r="S483" s="0" t="str">
        <f aca="false">IF(R483=1,SUM($R$2:R483),"")</f>
        <v/>
      </c>
      <c r="T483" s="0" t="n">
        <f aca="false">IF(AND(食数記録!$A483=プレビュー!$C$3,食数記録!$B483="朝",食数記録!$F483="女性GH",食数記録!$D483="臨時喫食"),1,0)</f>
        <v>0</v>
      </c>
      <c r="U483" s="0" t="str">
        <f aca="false">IF(T483=1,SUM($T$2:T483),"")</f>
        <v/>
      </c>
      <c r="V483" s="0" t="n">
        <f aca="false">IF(AND(食数記録!$A483=プレビュー!$C$3,食数記録!$B483="昼",食数記録!$F483="女性GH",食数記録!$D483="臨時喫食"),1,0)</f>
        <v>0</v>
      </c>
      <c r="W483" s="0" t="str">
        <f aca="false">IF(V483=1,SUM($V$2:V483),"")</f>
        <v/>
      </c>
      <c r="X483" s="0" t="n">
        <f aca="false">IF(AND(食数記録!$A483=プレビュー!$C$3,食数記録!$B483="夕",食数記録!$F483="女性GH",食数記録!$D483="臨時喫食"),1,0)</f>
        <v>0</v>
      </c>
      <c r="Y483" s="0" t="str">
        <f aca="false">IF(X483=1,SUM($X$2:X483),"")</f>
        <v/>
      </c>
    </row>
    <row r="484" customFormat="false" ht="15" hidden="false" customHeight="false" outlineLevel="0" collapsed="false">
      <c r="B484" s="0" t="n">
        <f aca="false">IF(AND(食数記録!$A484=プレビュー!$C$3,食数記録!$B484="朝",食数記録!$F484="男性入所",食数記録!$D484="欠食"),1,0)</f>
        <v>0</v>
      </c>
      <c r="C484" s="0" t="str">
        <f aca="false">IF(B484=1,SUM($B$2:B484),"")</f>
        <v/>
      </c>
      <c r="D484" s="0" t="n">
        <f aca="false">IF(AND(食数記録!$A484=プレビュー!$C$3,食数記録!$B484="昼",食数記録!$F484="男性入所",食数記録!$D484="欠食"),1,0)</f>
        <v>0</v>
      </c>
      <c r="E484" s="0" t="str">
        <f aca="false">IF(D484=1,SUM($D$2:D484),"")</f>
        <v/>
      </c>
      <c r="F484" s="0" t="n">
        <f aca="false">IF(AND(食数記録!$A484=プレビュー!$C$3,食数記録!$B484="夕",食数記録!$F484="男性入所",食数記録!$D484="欠食"),1,0)</f>
        <v>0</v>
      </c>
      <c r="G484" s="0" t="str">
        <f aca="false">IF(F484=1,SUM($F$2:F484),"")</f>
        <v/>
      </c>
      <c r="H484" s="0" t="n">
        <f aca="false">IF(AND(食数記録!$A484=プレビュー!$C$3,食数記録!$B484="朝",食数記録!$F484="女性入所",食数記録!$D484="欠食"),1,0)</f>
        <v>0</v>
      </c>
      <c r="I484" s="0" t="str">
        <f aca="false">IF(H484=1,SUM($H$2:H484),"")</f>
        <v/>
      </c>
      <c r="J484" s="0" t="n">
        <f aca="false">IF(AND(食数記録!$A484=プレビュー!$C$3,食数記録!$B484="昼",食数記録!$F484="女性入所",食数記録!$D484="欠食"),1,0)</f>
        <v>0</v>
      </c>
      <c r="K484" s="0" t="str">
        <f aca="false">IF(J484=1,SUM($J$2:J484),"")</f>
        <v/>
      </c>
      <c r="L484" s="0" t="n">
        <f aca="false">IF(AND(食数記録!$A484=プレビュー!$C$3,食数記録!$B484="夕",食数記録!$F484="女性入所",食数記録!$D484="欠食"),1,0)</f>
        <v>0</v>
      </c>
      <c r="M484" s="0" t="str">
        <f aca="false">IF(L484=1,SUM($L$2:L484),"")</f>
        <v/>
      </c>
      <c r="N484" s="0" t="n">
        <f aca="false">IF(AND(食数記録!$A484=プレビュー!$C$3,食数記録!$B484="朝",食数記録!$F484="男性GH",食数記録!$D484="臨時喫食"),1,0)</f>
        <v>0</v>
      </c>
      <c r="O484" s="0" t="str">
        <f aca="false">IF(N484=1,SUM($N$2:N484),"")</f>
        <v/>
      </c>
      <c r="P484" s="0" t="n">
        <f aca="false">IF(AND(食数記録!$A484=プレビュー!$C$3,食数記録!$B484="昼",食数記録!$F484="男性GH",食数記録!$D484="臨時喫食"),1,0)</f>
        <v>0</v>
      </c>
      <c r="Q484" s="0" t="str">
        <f aca="false">IF(P484=1,SUM($P$2:P484),"")</f>
        <v/>
      </c>
      <c r="R484" s="0" t="n">
        <f aca="false">IF(AND(食数記録!$A484=プレビュー!$C$3,食数記録!$B484="夕",食数記録!$F484="男性GH",食数記録!$D484="臨時喫食"),1,0)</f>
        <v>0</v>
      </c>
      <c r="S484" s="0" t="str">
        <f aca="false">IF(R484=1,SUM($R$2:R484),"")</f>
        <v/>
      </c>
      <c r="T484" s="0" t="n">
        <f aca="false">IF(AND(食数記録!$A484=プレビュー!$C$3,食数記録!$B484="朝",食数記録!$F484="女性GH",食数記録!$D484="臨時喫食"),1,0)</f>
        <v>0</v>
      </c>
      <c r="U484" s="0" t="str">
        <f aca="false">IF(T484=1,SUM($T$2:T484),"")</f>
        <v/>
      </c>
      <c r="V484" s="0" t="n">
        <f aca="false">IF(AND(食数記録!$A484=プレビュー!$C$3,食数記録!$B484="昼",食数記録!$F484="女性GH",食数記録!$D484="臨時喫食"),1,0)</f>
        <v>0</v>
      </c>
      <c r="W484" s="0" t="str">
        <f aca="false">IF(V484=1,SUM($V$2:V484),"")</f>
        <v/>
      </c>
      <c r="X484" s="0" t="n">
        <f aca="false">IF(AND(食数記録!$A484=プレビュー!$C$3,食数記録!$B484="夕",食数記録!$F484="女性GH",食数記録!$D484="臨時喫食"),1,0)</f>
        <v>0</v>
      </c>
      <c r="Y484" s="0" t="str">
        <f aca="false">IF(X484=1,SUM($X$2:X484),"")</f>
        <v/>
      </c>
    </row>
    <row r="485" customFormat="false" ht="15" hidden="false" customHeight="false" outlineLevel="0" collapsed="false">
      <c r="B485" s="0" t="n">
        <f aca="false">IF(AND(食数記録!$A485=プレビュー!$C$3,食数記録!$B485="朝",食数記録!$F485="男性入所",食数記録!$D485="欠食"),1,0)</f>
        <v>0</v>
      </c>
      <c r="C485" s="0" t="str">
        <f aca="false">IF(B485=1,SUM($B$2:B485),"")</f>
        <v/>
      </c>
      <c r="D485" s="0" t="n">
        <f aca="false">IF(AND(食数記録!$A485=プレビュー!$C$3,食数記録!$B485="昼",食数記録!$F485="男性入所",食数記録!$D485="欠食"),1,0)</f>
        <v>0</v>
      </c>
      <c r="E485" s="0" t="str">
        <f aca="false">IF(D485=1,SUM($D$2:D485),"")</f>
        <v/>
      </c>
      <c r="F485" s="0" t="n">
        <f aca="false">IF(AND(食数記録!$A485=プレビュー!$C$3,食数記録!$B485="夕",食数記録!$F485="男性入所",食数記録!$D485="欠食"),1,0)</f>
        <v>0</v>
      </c>
      <c r="G485" s="0" t="str">
        <f aca="false">IF(F485=1,SUM($F$2:F485),"")</f>
        <v/>
      </c>
      <c r="H485" s="0" t="n">
        <f aca="false">IF(AND(食数記録!$A485=プレビュー!$C$3,食数記録!$B485="朝",食数記録!$F485="女性入所",食数記録!$D485="欠食"),1,0)</f>
        <v>0</v>
      </c>
      <c r="I485" s="0" t="str">
        <f aca="false">IF(H485=1,SUM($H$2:H485),"")</f>
        <v/>
      </c>
      <c r="J485" s="0" t="n">
        <f aca="false">IF(AND(食数記録!$A485=プレビュー!$C$3,食数記録!$B485="昼",食数記録!$F485="女性入所",食数記録!$D485="欠食"),1,0)</f>
        <v>0</v>
      </c>
      <c r="K485" s="0" t="str">
        <f aca="false">IF(J485=1,SUM($J$2:J485),"")</f>
        <v/>
      </c>
      <c r="L485" s="0" t="n">
        <f aca="false">IF(AND(食数記録!$A485=プレビュー!$C$3,食数記録!$B485="夕",食数記録!$F485="女性入所",食数記録!$D485="欠食"),1,0)</f>
        <v>0</v>
      </c>
      <c r="M485" s="0" t="str">
        <f aca="false">IF(L485=1,SUM($L$2:L485),"")</f>
        <v/>
      </c>
      <c r="N485" s="0" t="n">
        <f aca="false">IF(AND(食数記録!$A485=プレビュー!$C$3,食数記録!$B485="朝",食数記録!$F485="男性GH",食数記録!$D485="臨時喫食"),1,0)</f>
        <v>0</v>
      </c>
      <c r="O485" s="0" t="str">
        <f aca="false">IF(N485=1,SUM($N$2:N485),"")</f>
        <v/>
      </c>
      <c r="P485" s="0" t="n">
        <f aca="false">IF(AND(食数記録!$A485=プレビュー!$C$3,食数記録!$B485="昼",食数記録!$F485="男性GH",食数記録!$D485="臨時喫食"),1,0)</f>
        <v>0</v>
      </c>
      <c r="Q485" s="0" t="str">
        <f aca="false">IF(P485=1,SUM($P$2:P485),"")</f>
        <v/>
      </c>
      <c r="R485" s="0" t="n">
        <f aca="false">IF(AND(食数記録!$A485=プレビュー!$C$3,食数記録!$B485="夕",食数記録!$F485="男性GH",食数記録!$D485="臨時喫食"),1,0)</f>
        <v>0</v>
      </c>
      <c r="S485" s="0" t="str">
        <f aca="false">IF(R485=1,SUM($R$2:R485),"")</f>
        <v/>
      </c>
      <c r="T485" s="0" t="n">
        <f aca="false">IF(AND(食数記録!$A485=プレビュー!$C$3,食数記録!$B485="朝",食数記録!$F485="女性GH",食数記録!$D485="臨時喫食"),1,0)</f>
        <v>0</v>
      </c>
      <c r="U485" s="0" t="str">
        <f aca="false">IF(T485=1,SUM($T$2:T485),"")</f>
        <v/>
      </c>
      <c r="V485" s="0" t="n">
        <f aca="false">IF(AND(食数記録!$A485=プレビュー!$C$3,食数記録!$B485="昼",食数記録!$F485="女性GH",食数記録!$D485="臨時喫食"),1,0)</f>
        <v>0</v>
      </c>
      <c r="W485" s="0" t="str">
        <f aca="false">IF(V485=1,SUM($V$2:V485),"")</f>
        <v/>
      </c>
      <c r="X485" s="0" t="n">
        <f aca="false">IF(AND(食数記録!$A485=プレビュー!$C$3,食数記録!$B485="夕",食数記録!$F485="女性GH",食数記録!$D485="臨時喫食"),1,0)</f>
        <v>0</v>
      </c>
      <c r="Y485" s="0" t="str">
        <f aca="false">IF(X485=1,SUM($X$2:X485),"")</f>
        <v/>
      </c>
    </row>
    <row r="486" customFormat="false" ht="15" hidden="false" customHeight="false" outlineLevel="0" collapsed="false">
      <c r="B486" s="0" t="n">
        <f aca="false">IF(AND(食数記録!$A486=プレビュー!$C$3,食数記録!$B486="朝",食数記録!$F486="男性入所",食数記録!$D486="欠食"),1,0)</f>
        <v>0</v>
      </c>
      <c r="C486" s="0" t="str">
        <f aca="false">IF(B486=1,SUM($B$2:B486),"")</f>
        <v/>
      </c>
      <c r="D486" s="0" t="n">
        <f aca="false">IF(AND(食数記録!$A486=プレビュー!$C$3,食数記録!$B486="昼",食数記録!$F486="男性入所",食数記録!$D486="欠食"),1,0)</f>
        <v>0</v>
      </c>
      <c r="E486" s="0" t="str">
        <f aca="false">IF(D486=1,SUM($D$2:D486),"")</f>
        <v/>
      </c>
      <c r="F486" s="0" t="n">
        <f aca="false">IF(AND(食数記録!$A486=プレビュー!$C$3,食数記録!$B486="夕",食数記録!$F486="男性入所",食数記録!$D486="欠食"),1,0)</f>
        <v>0</v>
      </c>
      <c r="G486" s="0" t="str">
        <f aca="false">IF(F486=1,SUM($F$2:F486),"")</f>
        <v/>
      </c>
      <c r="H486" s="0" t="n">
        <f aca="false">IF(AND(食数記録!$A486=プレビュー!$C$3,食数記録!$B486="朝",食数記録!$F486="女性入所",食数記録!$D486="欠食"),1,0)</f>
        <v>0</v>
      </c>
      <c r="I486" s="0" t="str">
        <f aca="false">IF(H486=1,SUM($H$2:H486),"")</f>
        <v/>
      </c>
      <c r="J486" s="0" t="n">
        <f aca="false">IF(AND(食数記録!$A486=プレビュー!$C$3,食数記録!$B486="昼",食数記録!$F486="女性入所",食数記録!$D486="欠食"),1,0)</f>
        <v>0</v>
      </c>
      <c r="K486" s="0" t="str">
        <f aca="false">IF(J486=1,SUM($J$2:J486),"")</f>
        <v/>
      </c>
      <c r="L486" s="0" t="n">
        <f aca="false">IF(AND(食数記録!$A486=プレビュー!$C$3,食数記録!$B486="夕",食数記録!$F486="女性入所",食数記録!$D486="欠食"),1,0)</f>
        <v>0</v>
      </c>
      <c r="M486" s="0" t="str">
        <f aca="false">IF(L486=1,SUM($L$2:L486),"")</f>
        <v/>
      </c>
      <c r="N486" s="0" t="n">
        <f aca="false">IF(AND(食数記録!$A486=プレビュー!$C$3,食数記録!$B486="朝",食数記録!$F486="男性GH",食数記録!$D486="臨時喫食"),1,0)</f>
        <v>0</v>
      </c>
      <c r="O486" s="0" t="str">
        <f aca="false">IF(N486=1,SUM($N$2:N486),"")</f>
        <v/>
      </c>
      <c r="P486" s="0" t="n">
        <f aca="false">IF(AND(食数記録!$A486=プレビュー!$C$3,食数記録!$B486="昼",食数記録!$F486="男性GH",食数記録!$D486="臨時喫食"),1,0)</f>
        <v>0</v>
      </c>
      <c r="Q486" s="0" t="str">
        <f aca="false">IF(P486=1,SUM($P$2:P486),"")</f>
        <v/>
      </c>
      <c r="R486" s="0" t="n">
        <f aca="false">IF(AND(食数記録!$A486=プレビュー!$C$3,食数記録!$B486="夕",食数記録!$F486="男性GH",食数記録!$D486="臨時喫食"),1,0)</f>
        <v>0</v>
      </c>
      <c r="S486" s="0" t="str">
        <f aca="false">IF(R486=1,SUM($R$2:R486),"")</f>
        <v/>
      </c>
      <c r="T486" s="0" t="n">
        <f aca="false">IF(AND(食数記録!$A486=プレビュー!$C$3,食数記録!$B486="朝",食数記録!$F486="女性GH",食数記録!$D486="臨時喫食"),1,0)</f>
        <v>0</v>
      </c>
      <c r="U486" s="0" t="str">
        <f aca="false">IF(T486=1,SUM($T$2:T486),"")</f>
        <v/>
      </c>
      <c r="V486" s="0" t="n">
        <f aca="false">IF(AND(食数記録!$A486=プレビュー!$C$3,食数記録!$B486="昼",食数記録!$F486="女性GH",食数記録!$D486="臨時喫食"),1,0)</f>
        <v>0</v>
      </c>
      <c r="W486" s="0" t="str">
        <f aca="false">IF(V486=1,SUM($V$2:V486),"")</f>
        <v/>
      </c>
      <c r="X486" s="0" t="n">
        <f aca="false">IF(AND(食数記録!$A486=プレビュー!$C$3,食数記録!$B486="夕",食数記録!$F486="女性GH",食数記録!$D486="臨時喫食"),1,0)</f>
        <v>0</v>
      </c>
      <c r="Y486" s="0" t="str">
        <f aca="false">IF(X486=1,SUM($X$2:X486),"")</f>
        <v/>
      </c>
    </row>
    <row r="487" customFormat="false" ht="15" hidden="false" customHeight="false" outlineLevel="0" collapsed="false">
      <c r="B487" s="0" t="n">
        <f aca="false">IF(AND(食数記録!$A487=プレビュー!$C$3,食数記録!$B487="朝",食数記録!$F487="男性入所",食数記録!$D487="欠食"),1,0)</f>
        <v>0</v>
      </c>
      <c r="C487" s="0" t="str">
        <f aca="false">IF(B487=1,SUM($B$2:B487),"")</f>
        <v/>
      </c>
      <c r="D487" s="0" t="n">
        <f aca="false">IF(AND(食数記録!$A487=プレビュー!$C$3,食数記録!$B487="昼",食数記録!$F487="男性入所",食数記録!$D487="欠食"),1,0)</f>
        <v>0</v>
      </c>
      <c r="E487" s="0" t="str">
        <f aca="false">IF(D487=1,SUM($D$2:D487),"")</f>
        <v/>
      </c>
      <c r="F487" s="0" t="n">
        <f aca="false">IF(AND(食数記録!$A487=プレビュー!$C$3,食数記録!$B487="夕",食数記録!$F487="男性入所",食数記録!$D487="欠食"),1,0)</f>
        <v>0</v>
      </c>
      <c r="G487" s="0" t="str">
        <f aca="false">IF(F487=1,SUM($F$2:F487),"")</f>
        <v/>
      </c>
      <c r="H487" s="0" t="n">
        <f aca="false">IF(AND(食数記録!$A487=プレビュー!$C$3,食数記録!$B487="朝",食数記録!$F487="女性入所",食数記録!$D487="欠食"),1,0)</f>
        <v>0</v>
      </c>
      <c r="I487" s="0" t="str">
        <f aca="false">IF(H487=1,SUM($H$2:H487),"")</f>
        <v/>
      </c>
      <c r="J487" s="0" t="n">
        <f aca="false">IF(AND(食数記録!$A487=プレビュー!$C$3,食数記録!$B487="昼",食数記録!$F487="女性入所",食数記録!$D487="欠食"),1,0)</f>
        <v>0</v>
      </c>
      <c r="K487" s="0" t="str">
        <f aca="false">IF(J487=1,SUM($J$2:J487),"")</f>
        <v/>
      </c>
      <c r="L487" s="0" t="n">
        <f aca="false">IF(AND(食数記録!$A487=プレビュー!$C$3,食数記録!$B487="夕",食数記録!$F487="女性入所",食数記録!$D487="欠食"),1,0)</f>
        <v>0</v>
      </c>
      <c r="M487" s="0" t="str">
        <f aca="false">IF(L487=1,SUM($L$2:L487),"")</f>
        <v/>
      </c>
      <c r="N487" s="0" t="n">
        <f aca="false">IF(AND(食数記録!$A487=プレビュー!$C$3,食数記録!$B487="朝",食数記録!$F487="男性GH",食数記録!$D487="臨時喫食"),1,0)</f>
        <v>0</v>
      </c>
      <c r="O487" s="0" t="str">
        <f aca="false">IF(N487=1,SUM($N$2:N487),"")</f>
        <v/>
      </c>
      <c r="P487" s="0" t="n">
        <f aca="false">IF(AND(食数記録!$A487=プレビュー!$C$3,食数記録!$B487="昼",食数記録!$F487="男性GH",食数記録!$D487="臨時喫食"),1,0)</f>
        <v>0</v>
      </c>
      <c r="Q487" s="0" t="str">
        <f aca="false">IF(P487=1,SUM($P$2:P487),"")</f>
        <v/>
      </c>
      <c r="R487" s="0" t="n">
        <f aca="false">IF(AND(食数記録!$A487=プレビュー!$C$3,食数記録!$B487="夕",食数記録!$F487="男性GH",食数記録!$D487="臨時喫食"),1,0)</f>
        <v>0</v>
      </c>
      <c r="S487" s="0" t="str">
        <f aca="false">IF(R487=1,SUM($R$2:R487),"")</f>
        <v/>
      </c>
      <c r="T487" s="0" t="n">
        <f aca="false">IF(AND(食数記録!$A487=プレビュー!$C$3,食数記録!$B487="朝",食数記録!$F487="女性GH",食数記録!$D487="臨時喫食"),1,0)</f>
        <v>0</v>
      </c>
      <c r="U487" s="0" t="str">
        <f aca="false">IF(T487=1,SUM($T$2:T487),"")</f>
        <v/>
      </c>
      <c r="V487" s="0" t="n">
        <f aca="false">IF(AND(食数記録!$A487=プレビュー!$C$3,食数記録!$B487="昼",食数記録!$F487="女性GH",食数記録!$D487="臨時喫食"),1,0)</f>
        <v>0</v>
      </c>
      <c r="W487" s="0" t="str">
        <f aca="false">IF(V487=1,SUM($V$2:V487),"")</f>
        <v/>
      </c>
      <c r="X487" s="0" t="n">
        <f aca="false">IF(AND(食数記録!$A487=プレビュー!$C$3,食数記録!$B487="夕",食数記録!$F487="女性GH",食数記録!$D487="臨時喫食"),1,0)</f>
        <v>0</v>
      </c>
      <c r="Y487" s="0" t="str">
        <f aca="false">IF(X487=1,SUM($X$2:X487),"")</f>
        <v/>
      </c>
    </row>
    <row r="488" customFormat="false" ht="15" hidden="false" customHeight="false" outlineLevel="0" collapsed="false">
      <c r="B488" s="0" t="n">
        <f aca="false">IF(AND(食数記録!$A488=プレビュー!$C$3,食数記録!$B488="朝",食数記録!$F488="男性入所",食数記録!$D488="欠食"),1,0)</f>
        <v>0</v>
      </c>
      <c r="C488" s="0" t="str">
        <f aca="false">IF(B488=1,SUM($B$2:B488),"")</f>
        <v/>
      </c>
      <c r="D488" s="0" t="n">
        <f aca="false">IF(AND(食数記録!$A488=プレビュー!$C$3,食数記録!$B488="昼",食数記録!$F488="男性入所",食数記録!$D488="欠食"),1,0)</f>
        <v>0</v>
      </c>
      <c r="E488" s="0" t="str">
        <f aca="false">IF(D488=1,SUM($D$2:D488),"")</f>
        <v/>
      </c>
      <c r="F488" s="0" t="n">
        <f aca="false">IF(AND(食数記録!$A488=プレビュー!$C$3,食数記録!$B488="夕",食数記録!$F488="男性入所",食数記録!$D488="欠食"),1,0)</f>
        <v>0</v>
      </c>
      <c r="G488" s="0" t="str">
        <f aca="false">IF(F488=1,SUM($F$2:F488),"")</f>
        <v/>
      </c>
      <c r="H488" s="0" t="n">
        <f aca="false">IF(AND(食数記録!$A488=プレビュー!$C$3,食数記録!$B488="朝",食数記録!$F488="女性入所",食数記録!$D488="欠食"),1,0)</f>
        <v>0</v>
      </c>
      <c r="I488" s="0" t="str">
        <f aca="false">IF(H488=1,SUM($H$2:H488),"")</f>
        <v/>
      </c>
      <c r="J488" s="0" t="n">
        <f aca="false">IF(AND(食数記録!$A488=プレビュー!$C$3,食数記録!$B488="昼",食数記録!$F488="女性入所",食数記録!$D488="欠食"),1,0)</f>
        <v>0</v>
      </c>
      <c r="K488" s="0" t="str">
        <f aca="false">IF(J488=1,SUM($J$2:J488),"")</f>
        <v/>
      </c>
      <c r="L488" s="0" t="n">
        <f aca="false">IF(AND(食数記録!$A488=プレビュー!$C$3,食数記録!$B488="夕",食数記録!$F488="女性入所",食数記録!$D488="欠食"),1,0)</f>
        <v>0</v>
      </c>
      <c r="M488" s="0" t="str">
        <f aca="false">IF(L488=1,SUM($L$2:L488),"")</f>
        <v/>
      </c>
      <c r="N488" s="0" t="n">
        <f aca="false">IF(AND(食数記録!$A488=プレビュー!$C$3,食数記録!$B488="朝",食数記録!$F488="男性GH",食数記録!$D488="臨時喫食"),1,0)</f>
        <v>0</v>
      </c>
      <c r="O488" s="0" t="str">
        <f aca="false">IF(N488=1,SUM($N$2:N488),"")</f>
        <v/>
      </c>
      <c r="P488" s="0" t="n">
        <f aca="false">IF(AND(食数記録!$A488=プレビュー!$C$3,食数記録!$B488="昼",食数記録!$F488="男性GH",食数記録!$D488="臨時喫食"),1,0)</f>
        <v>0</v>
      </c>
      <c r="Q488" s="0" t="str">
        <f aca="false">IF(P488=1,SUM($P$2:P488),"")</f>
        <v/>
      </c>
      <c r="R488" s="0" t="n">
        <f aca="false">IF(AND(食数記録!$A488=プレビュー!$C$3,食数記録!$B488="夕",食数記録!$F488="男性GH",食数記録!$D488="臨時喫食"),1,0)</f>
        <v>0</v>
      </c>
      <c r="S488" s="0" t="str">
        <f aca="false">IF(R488=1,SUM($R$2:R488),"")</f>
        <v/>
      </c>
      <c r="T488" s="0" t="n">
        <f aca="false">IF(AND(食数記録!$A488=プレビュー!$C$3,食数記録!$B488="朝",食数記録!$F488="女性GH",食数記録!$D488="臨時喫食"),1,0)</f>
        <v>0</v>
      </c>
      <c r="U488" s="0" t="str">
        <f aca="false">IF(T488=1,SUM($T$2:T488),"")</f>
        <v/>
      </c>
      <c r="V488" s="0" t="n">
        <f aca="false">IF(AND(食数記録!$A488=プレビュー!$C$3,食数記録!$B488="昼",食数記録!$F488="女性GH",食数記録!$D488="臨時喫食"),1,0)</f>
        <v>0</v>
      </c>
      <c r="W488" s="0" t="str">
        <f aca="false">IF(V488=1,SUM($V$2:V488),"")</f>
        <v/>
      </c>
      <c r="X488" s="0" t="n">
        <f aca="false">IF(AND(食数記録!$A488=プレビュー!$C$3,食数記録!$B488="夕",食数記録!$F488="女性GH",食数記録!$D488="臨時喫食"),1,0)</f>
        <v>0</v>
      </c>
      <c r="Y488" s="0" t="str">
        <f aca="false">IF(X488=1,SUM($X$2:X488),"")</f>
        <v/>
      </c>
    </row>
    <row r="489" customFormat="false" ht="15" hidden="false" customHeight="false" outlineLevel="0" collapsed="false">
      <c r="B489" s="0" t="n">
        <f aca="false">IF(AND(食数記録!$A489=プレビュー!$C$3,食数記録!$B489="朝",食数記録!$F489="男性入所",食数記録!$D489="欠食"),1,0)</f>
        <v>0</v>
      </c>
      <c r="C489" s="0" t="str">
        <f aca="false">IF(B489=1,SUM($B$2:B489),"")</f>
        <v/>
      </c>
      <c r="D489" s="0" t="n">
        <f aca="false">IF(AND(食数記録!$A489=プレビュー!$C$3,食数記録!$B489="昼",食数記録!$F489="男性入所",食数記録!$D489="欠食"),1,0)</f>
        <v>0</v>
      </c>
      <c r="E489" s="0" t="str">
        <f aca="false">IF(D489=1,SUM($D$2:D489),"")</f>
        <v/>
      </c>
      <c r="F489" s="0" t="n">
        <f aca="false">IF(AND(食数記録!$A489=プレビュー!$C$3,食数記録!$B489="夕",食数記録!$F489="男性入所",食数記録!$D489="欠食"),1,0)</f>
        <v>0</v>
      </c>
      <c r="G489" s="0" t="str">
        <f aca="false">IF(F489=1,SUM($F$2:F489),"")</f>
        <v/>
      </c>
      <c r="H489" s="0" t="n">
        <f aca="false">IF(AND(食数記録!$A489=プレビュー!$C$3,食数記録!$B489="朝",食数記録!$F489="女性入所",食数記録!$D489="欠食"),1,0)</f>
        <v>0</v>
      </c>
      <c r="I489" s="0" t="str">
        <f aca="false">IF(H489=1,SUM($H$2:H489),"")</f>
        <v/>
      </c>
      <c r="J489" s="0" t="n">
        <f aca="false">IF(AND(食数記録!$A489=プレビュー!$C$3,食数記録!$B489="昼",食数記録!$F489="女性入所",食数記録!$D489="欠食"),1,0)</f>
        <v>0</v>
      </c>
      <c r="K489" s="0" t="str">
        <f aca="false">IF(J489=1,SUM($J$2:J489),"")</f>
        <v/>
      </c>
      <c r="L489" s="0" t="n">
        <f aca="false">IF(AND(食数記録!$A489=プレビュー!$C$3,食数記録!$B489="夕",食数記録!$F489="女性入所",食数記録!$D489="欠食"),1,0)</f>
        <v>0</v>
      </c>
      <c r="M489" s="0" t="str">
        <f aca="false">IF(L489=1,SUM($L$2:L489),"")</f>
        <v/>
      </c>
      <c r="N489" s="0" t="n">
        <f aca="false">IF(AND(食数記録!$A489=プレビュー!$C$3,食数記録!$B489="朝",食数記録!$F489="男性GH",食数記録!$D489="臨時喫食"),1,0)</f>
        <v>0</v>
      </c>
      <c r="O489" s="0" t="str">
        <f aca="false">IF(N489=1,SUM($N$2:N489),"")</f>
        <v/>
      </c>
      <c r="P489" s="0" t="n">
        <f aca="false">IF(AND(食数記録!$A489=プレビュー!$C$3,食数記録!$B489="昼",食数記録!$F489="男性GH",食数記録!$D489="臨時喫食"),1,0)</f>
        <v>0</v>
      </c>
      <c r="Q489" s="0" t="str">
        <f aca="false">IF(P489=1,SUM($P$2:P489),"")</f>
        <v/>
      </c>
      <c r="R489" s="0" t="n">
        <f aca="false">IF(AND(食数記録!$A489=プレビュー!$C$3,食数記録!$B489="夕",食数記録!$F489="男性GH",食数記録!$D489="臨時喫食"),1,0)</f>
        <v>0</v>
      </c>
      <c r="S489" s="0" t="str">
        <f aca="false">IF(R489=1,SUM($R$2:R489),"")</f>
        <v/>
      </c>
      <c r="T489" s="0" t="n">
        <f aca="false">IF(AND(食数記録!$A489=プレビュー!$C$3,食数記録!$B489="朝",食数記録!$F489="女性GH",食数記録!$D489="臨時喫食"),1,0)</f>
        <v>0</v>
      </c>
      <c r="U489" s="0" t="str">
        <f aca="false">IF(T489=1,SUM($T$2:T489),"")</f>
        <v/>
      </c>
      <c r="V489" s="0" t="n">
        <f aca="false">IF(AND(食数記録!$A489=プレビュー!$C$3,食数記録!$B489="昼",食数記録!$F489="女性GH",食数記録!$D489="臨時喫食"),1,0)</f>
        <v>0</v>
      </c>
      <c r="W489" s="0" t="str">
        <f aca="false">IF(V489=1,SUM($V$2:V489),"")</f>
        <v/>
      </c>
      <c r="X489" s="0" t="n">
        <f aca="false">IF(AND(食数記録!$A489=プレビュー!$C$3,食数記録!$B489="夕",食数記録!$F489="女性GH",食数記録!$D489="臨時喫食"),1,0)</f>
        <v>0</v>
      </c>
      <c r="Y489" s="0" t="str">
        <f aca="false">IF(X489=1,SUM($X$2:X489),"")</f>
        <v/>
      </c>
    </row>
    <row r="490" customFormat="false" ht="15" hidden="false" customHeight="false" outlineLevel="0" collapsed="false">
      <c r="B490" s="0" t="n">
        <f aca="false">IF(AND(食数記録!$A490=プレビュー!$C$3,食数記録!$B490="朝",食数記録!$F490="男性入所",食数記録!$D490="欠食"),1,0)</f>
        <v>0</v>
      </c>
      <c r="C490" s="0" t="str">
        <f aca="false">IF(B490=1,SUM($B$2:B490),"")</f>
        <v/>
      </c>
      <c r="D490" s="0" t="n">
        <f aca="false">IF(AND(食数記録!$A490=プレビュー!$C$3,食数記録!$B490="昼",食数記録!$F490="男性入所",食数記録!$D490="欠食"),1,0)</f>
        <v>0</v>
      </c>
      <c r="E490" s="0" t="str">
        <f aca="false">IF(D490=1,SUM($D$2:D490),"")</f>
        <v/>
      </c>
      <c r="F490" s="0" t="n">
        <f aca="false">IF(AND(食数記録!$A490=プレビュー!$C$3,食数記録!$B490="夕",食数記録!$F490="男性入所",食数記録!$D490="欠食"),1,0)</f>
        <v>0</v>
      </c>
      <c r="G490" s="0" t="str">
        <f aca="false">IF(F490=1,SUM($F$2:F490),"")</f>
        <v/>
      </c>
      <c r="H490" s="0" t="n">
        <f aca="false">IF(AND(食数記録!$A490=プレビュー!$C$3,食数記録!$B490="朝",食数記録!$F490="女性入所",食数記録!$D490="欠食"),1,0)</f>
        <v>0</v>
      </c>
      <c r="I490" s="0" t="str">
        <f aca="false">IF(H490=1,SUM($H$2:H490),"")</f>
        <v/>
      </c>
      <c r="J490" s="0" t="n">
        <f aca="false">IF(AND(食数記録!$A490=プレビュー!$C$3,食数記録!$B490="昼",食数記録!$F490="女性入所",食数記録!$D490="欠食"),1,0)</f>
        <v>0</v>
      </c>
      <c r="K490" s="0" t="str">
        <f aca="false">IF(J490=1,SUM($J$2:J490),"")</f>
        <v/>
      </c>
      <c r="L490" s="0" t="n">
        <f aca="false">IF(AND(食数記録!$A490=プレビュー!$C$3,食数記録!$B490="夕",食数記録!$F490="女性入所",食数記録!$D490="欠食"),1,0)</f>
        <v>0</v>
      </c>
      <c r="M490" s="0" t="str">
        <f aca="false">IF(L490=1,SUM($L$2:L490),"")</f>
        <v/>
      </c>
      <c r="N490" s="0" t="n">
        <f aca="false">IF(AND(食数記録!$A490=プレビュー!$C$3,食数記録!$B490="朝",食数記録!$F490="男性GH",食数記録!$D490="臨時喫食"),1,0)</f>
        <v>0</v>
      </c>
      <c r="O490" s="0" t="str">
        <f aca="false">IF(N490=1,SUM($N$2:N490),"")</f>
        <v/>
      </c>
      <c r="P490" s="0" t="n">
        <f aca="false">IF(AND(食数記録!$A490=プレビュー!$C$3,食数記録!$B490="昼",食数記録!$F490="男性GH",食数記録!$D490="臨時喫食"),1,0)</f>
        <v>0</v>
      </c>
      <c r="Q490" s="0" t="str">
        <f aca="false">IF(P490=1,SUM($P$2:P490),"")</f>
        <v/>
      </c>
      <c r="R490" s="0" t="n">
        <f aca="false">IF(AND(食数記録!$A490=プレビュー!$C$3,食数記録!$B490="夕",食数記録!$F490="男性GH",食数記録!$D490="臨時喫食"),1,0)</f>
        <v>0</v>
      </c>
      <c r="S490" s="0" t="str">
        <f aca="false">IF(R490=1,SUM($R$2:R490),"")</f>
        <v/>
      </c>
      <c r="T490" s="0" t="n">
        <f aca="false">IF(AND(食数記録!$A490=プレビュー!$C$3,食数記録!$B490="朝",食数記録!$F490="女性GH",食数記録!$D490="臨時喫食"),1,0)</f>
        <v>0</v>
      </c>
      <c r="U490" s="0" t="str">
        <f aca="false">IF(T490=1,SUM($T$2:T490),"")</f>
        <v/>
      </c>
      <c r="V490" s="0" t="n">
        <f aca="false">IF(AND(食数記録!$A490=プレビュー!$C$3,食数記録!$B490="昼",食数記録!$F490="女性GH",食数記録!$D490="臨時喫食"),1,0)</f>
        <v>0</v>
      </c>
      <c r="W490" s="0" t="str">
        <f aca="false">IF(V490=1,SUM($V$2:V490),"")</f>
        <v/>
      </c>
      <c r="X490" s="0" t="n">
        <f aca="false">IF(AND(食数記録!$A490=プレビュー!$C$3,食数記録!$B490="夕",食数記録!$F490="女性GH",食数記録!$D490="臨時喫食"),1,0)</f>
        <v>0</v>
      </c>
      <c r="Y490" s="0" t="str">
        <f aca="false">IF(X490=1,SUM($X$2:X490),"")</f>
        <v/>
      </c>
    </row>
    <row r="491" customFormat="false" ht="15" hidden="false" customHeight="false" outlineLevel="0" collapsed="false">
      <c r="B491" s="0" t="n">
        <f aca="false">IF(AND(食数記録!$A491=プレビュー!$C$3,食数記録!$B491="朝",食数記録!$F491="男性入所",食数記録!$D491="欠食"),1,0)</f>
        <v>0</v>
      </c>
      <c r="C491" s="0" t="str">
        <f aca="false">IF(B491=1,SUM($B$2:B491),"")</f>
        <v/>
      </c>
      <c r="D491" s="0" t="n">
        <f aca="false">IF(AND(食数記録!$A491=プレビュー!$C$3,食数記録!$B491="昼",食数記録!$F491="男性入所",食数記録!$D491="欠食"),1,0)</f>
        <v>0</v>
      </c>
      <c r="E491" s="0" t="str">
        <f aca="false">IF(D491=1,SUM($D$2:D491),"")</f>
        <v/>
      </c>
      <c r="F491" s="0" t="n">
        <f aca="false">IF(AND(食数記録!$A491=プレビュー!$C$3,食数記録!$B491="夕",食数記録!$F491="男性入所",食数記録!$D491="欠食"),1,0)</f>
        <v>0</v>
      </c>
      <c r="G491" s="0" t="str">
        <f aca="false">IF(F491=1,SUM($F$2:F491),"")</f>
        <v/>
      </c>
      <c r="H491" s="0" t="n">
        <f aca="false">IF(AND(食数記録!$A491=プレビュー!$C$3,食数記録!$B491="朝",食数記録!$F491="女性入所",食数記録!$D491="欠食"),1,0)</f>
        <v>0</v>
      </c>
      <c r="I491" s="0" t="str">
        <f aca="false">IF(H491=1,SUM($H$2:H491),"")</f>
        <v/>
      </c>
      <c r="J491" s="0" t="n">
        <f aca="false">IF(AND(食数記録!$A491=プレビュー!$C$3,食数記録!$B491="昼",食数記録!$F491="女性入所",食数記録!$D491="欠食"),1,0)</f>
        <v>0</v>
      </c>
      <c r="K491" s="0" t="str">
        <f aca="false">IF(J491=1,SUM($J$2:J491),"")</f>
        <v/>
      </c>
      <c r="L491" s="0" t="n">
        <f aca="false">IF(AND(食数記録!$A491=プレビュー!$C$3,食数記録!$B491="夕",食数記録!$F491="女性入所",食数記録!$D491="欠食"),1,0)</f>
        <v>0</v>
      </c>
      <c r="M491" s="0" t="str">
        <f aca="false">IF(L491=1,SUM($L$2:L491),"")</f>
        <v/>
      </c>
      <c r="N491" s="0" t="n">
        <f aca="false">IF(AND(食数記録!$A491=プレビュー!$C$3,食数記録!$B491="朝",食数記録!$F491="男性GH",食数記録!$D491="臨時喫食"),1,0)</f>
        <v>0</v>
      </c>
      <c r="O491" s="0" t="str">
        <f aca="false">IF(N491=1,SUM($N$2:N491),"")</f>
        <v/>
      </c>
      <c r="P491" s="0" t="n">
        <f aca="false">IF(AND(食数記録!$A491=プレビュー!$C$3,食数記録!$B491="昼",食数記録!$F491="男性GH",食数記録!$D491="臨時喫食"),1,0)</f>
        <v>0</v>
      </c>
      <c r="Q491" s="0" t="str">
        <f aca="false">IF(P491=1,SUM($P$2:P491),"")</f>
        <v/>
      </c>
      <c r="R491" s="0" t="n">
        <f aca="false">IF(AND(食数記録!$A491=プレビュー!$C$3,食数記録!$B491="夕",食数記録!$F491="男性GH",食数記録!$D491="臨時喫食"),1,0)</f>
        <v>0</v>
      </c>
      <c r="S491" s="0" t="str">
        <f aca="false">IF(R491=1,SUM($R$2:R491),"")</f>
        <v/>
      </c>
      <c r="T491" s="0" t="n">
        <f aca="false">IF(AND(食数記録!$A491=プレビュー!$C$3,食数記録!$B491="朝",食数記録!$F491="女性GH",食数記録!$D491="臨時喫食"),1,0)</f>
        <v>0</v>
      </c>
      <c r="U491" s="0" t="str">
        <f aca="false">IF(T491=1,SUM($T$2:T491),"")</f>
        <v/>
      </c>
      <c r="V491" s="0" t="n">
        <f aca="false">IF(AND(食数記録!$A491=プレビュー!$C$3,食数記録!$B491="昼",食数記録!$F491="女性GH",食数記録!$D491="臨時喫食"),1,0)</f>
        <v>0</v>
      </c>
      <c r="W491" s="0" t="str">
        <f aca="false">IF(V491=1,SUM($V$2:V491),"")</f>
        <v/>
      </c>
      <c r="X491" s="0" t="n">
        <f aca="false">IF(AND(食数記録!$A491=プレビュー!$C$3,食数記録!$B491="夕",食数記録!$F491="女性GH",食数記録!$D491="臨時喫食"),1,0)</f>
        <v>0</v>
      </c>
      <c r="Y491" s="0" t="str">
        <f aca="false">IF(X491=1,SUM($X$2:X491),"")</f>
        <v/>
      </c>
    </row>
    <row r="492" customFormat="false" ht="15" hidden="false" customHeight="false" outlineLevel="0" collapsed="false">
      <c r="B492" s="0" t="n">
        <f aca="false">IF(AND(食数記録!$A492=プレビュー!$C$3,食数記録!$B492="朝",食数記録!$F492="男性入所",食数記録!$D492="欠食"),1,0)</f>
        <v>0</v>
      </c>
      <c r="C492" s="0" t="str">
        <f aca="false">IF(B492=1,SUM($B$2:B492),"")</f>
        <v/>
      </c>
      <c r="D492" s="0" t="n">
        <f aca="false">IF(AND(食数記録!$A492=プレビュー!$C$3,食数記録!$B492="昼",食数記録!$F492="男性入所",食数記録!$D492="欠食"),1,0)</f>
        <v>0</v>
      </c>
      <c r="E492" s="0" t="str">
        <f aca="false">IF(D492=1,SUM($D$2:D492),"")</f>
        <v/>
      </c>
      <c r="F492" s="0" t="n">
        <f aca="false">IF(AND(食数記録!$A492=プレビュー!$C$3,食数記録!$B492="夕",食数記録!$F492="男性入所",食数記録!$D492="欠食"),1,0)</f>
        <v>0</v>
      </c>
      <c r="G492" s="0" t="str">
        <f aca="false">IF(F492=1,SUM($F$2:F492),"")</f>
        <v/>
      </c>
      <c r="H492" s="0" t="n">
        <f aca="false">IF(AND(食数記録!$A492=プレビュー!$C$3,食数記録!$B492="朝",食数記録!$F492="女性入所",食数記録!$D492="欠食"),1,0)</f>
        <v>0</v>
      </c>
      <c r="I492" s="0" t="str">
        <f aca="false">IF(H492=1,SUM($H$2:H492),"")</f>
        <v/>
      </c>
      <c r="J492" s="0" t="n">
        <f aca="false">IF(AND(食数記録!$A492=プレビュー!$C$3,食数記録!$B492="昼",食数記録!$F492="女性入所",食数記録!$D492="欠食"),1,0)</f>
        <v>0</v>
      </c>
      <c r="K492" s="0" t="str">
        <f aca="false">IF(J492=1,SUM($J$2:J492),"")</f>
        <v/>
      </c>
      <c r="L492" s="0" t="n">
        <f aca="false">IF(AND(食数記録!$A492=プレビュー!$C$3,食数記録!$B492="夕",食数記録!$F492="女性入所",食数記録!$D492="欠食"),1,0)</f>
        <v>0</v>
      </c>
      <c r="M492" s="0" t="str">
        <f aca="false">IF(L492=1,SUM($L$2:L492),"")</f>
        <v/>
      </c>
      <c r="N492" s="0" t="n">
        <f aca="false">IF(AND(食数記録!$A492=プレビュー!$C$3,食数記録!$B492="朝",食数記録!$F492="男性GH",食数記録!$D492="臨時喫食"),1,0)</f>
        <v>0</v>
      </c>
      <c r="O492" s="0" t="str">
        <f aca="false">IF(N492=1,SUM($N$2:N492),"")</f>
        <v/>
      </c>
      <c r="P492" s="0" t="n">
        <f aca="false">IF(AND(食数記録!$A492=プレビュー!$C$3,食数記録!$B492="昼",食数記録!$F492="男性GH",食数記録!$D492="臨時喫食"),1,0)</f>
        <v>0</v>
      </c>
      <c r="Q492" s="0" t="str">
        <f aca="false">IF(P492=1,SUM($P$2:P492),"")</f>
        <v/>
      </c>
      <c r="R492" s="0" t="n">
        <f aca="false">IF(AND(食数記録!$A492=プレビュー!$C$3,食数記録!$B492="夕",食数記録!$F492="男性GH",食数記録!$D492="臨時喫食"),1,0)</f>
        <v>0</v>
      </c>
      <c r="S492" s="0" t="str">
        <f aca="false">IF(R492=1,SUM($R$2:R492),"")</f>
        <v/>
      </c>
      <c r="T492" s="0" t="n">
        <f aca="false">IF(AND(食数記録!$A492=プレビュー!$C$3,食数記録!$B492="朝",食数記録!$F492="女性GH",食数記録!$D492="臨時喫食"),1,0)</f>
        <v>0</v>
      </c>
      <c r="U492" s="0" t="str">
        <f aca="false">IF(T492=1,SUM($T$2:T492),"")</f>
        <v/>
      </c>
      <c r="V492" s="0" t="n">
        <f aca="false">IF(AND(食数記録!$A492=プレビュー!$C$3,食数記録!$B492="昼",食数記録!$F492="女性GH",食数記録!$D492="臨時喫食"),1,0)</f>
        <v>0</v>
      </c>
      <c r="W492" s="0" t="str">
        <f aca="false">IF(V492=1,SUM($V$2:V492),"")</f>
        <v/>
      </c>
      <c r="X492" s="0" t="n">
        <f aca="false">IF(AND(食数記録!$A492=プレビュー!$C$3,食数記録!$B492="夕",食数記録!$F492="女性GH",食数記録!$D492="臨時喫食"),1,0)</f>
        <v>0</v>
      </c>
      <c r="Y492" s="0" t="str">
        <f aca="false">IF(X492=1,SUM($X$2:X492),"")</f>
        <v/>
      </c>
    </row>
    <row r="493" customFormat="false" ht="15" hidden="false" customHeight="false" outlineLevel="0" collapsed="false">
      <c r="B493" s="0" t="n">
        <f aca="false">IF(AND(食数記録!$A493=プレビュー!$C$3,食数記録!$B493="朝",食数記録!$F493="男性入所",食数記録!$D493="欠食"),1,0)</f>
        <v>0</v>
      </c>
      <c r="C493" s="0" t="str">
        <f aca="false">IF(B493=1,SUM($B$2:B493),"")</f>
        <v/>
      </c>
      <c r="D493" s="0" t="n">
        <f aca="false">IF(AND(食数記録!$A493=プレビュー!$C$3,食数記録!$B493="昼",食数記録!$F493="男性入所",食数記録!$D493="欠食"),1,0)</f>
        <v>0</v>
      </c>
      <c r="E493" s="0" t="str">
        <f aca="false">IF(D493=1,SUM($D$2:D493),"")</f>
        <v/>
      </c>
      <c r="F493" s="0" t="n">
        <f aca="false">IF(AND(食数記録!$A493=プレビュー!$C$3,食数記録!$B493="夕",食数記録!$F493="男性入所",食数記録!$D493="欠食"),1,0)</f>
        <v>0</v>
      </c>
      <c r="G493" s="0" t="str">
        <f aca="false">IF(F493=1,SUM($F$2:F493),"")</f>
        <v/>
      </c>
      <c r="H493" s="0" t="n">
        <f aca="false">IF(AND(食数記録!$A493=プレビュー!$C$3,食数記録!$B493="朝",食数記録!$F493="女性入所",食数記録!$D493="欠食"),1,0)</f>
        <v>0</v>
      </c>
      <c r="I493" s="0" t="str">
        <f aca="false">IF(H493=1,SUM($H$2:H493),"")</f>
        <v/>
      </c>
      <c r="J493" s="0" t="n">
        <f aca="false">IF(AND(食数記録!$A493=プレビュー!$C$3,食数記録!$B493="昼",食数記録!$F493="女性入所",食数記録!$D493="欠食"),1,0)</f>
        <v>0</v>
      </c>
      <c r="K493" s="0" t="str">
        <f aca="false">IF(J493=1,SUM($J$2:J493),"")</f>
        <v/>
      </c>
      <c r="L493" s="0" t="n">
        <f aca="false">IF(AND(食数記録!$A493=プレビュー!$C$3,食数記録!$B493="夕",食数記録!$F493="女性入所",食数記録!$D493="欠食"),1,0)</f>
        <v>0</v>
      </c>
      <c r="M493" s="0" t="str">
        <f aca="false">IF(L493=1,SUM($L$2:L493),"")</f>
        <v/>
      </c>
      <c r="N493" s="0" t="n">
        <f aca="false">IF(AND(食数記録!$A493=プレビュー!$C$3,食数記録!$B493="朝",食数記録!$F493="男性GH",食数記録!$D493="臨時喫食"),1,0)</f>
        <v>0</v>
      </c>
      <c r="O493" s="0" t="str">
        <f aca="false">IF(N493=1,SUM($N$2:N493),"")</f>
        <v/>
      </c>
      <c r="P493" s="0" t="n">
        <f aca="false">IF(AND(食数記録!$A493=プレビュー!$C$3,食数記録!$B493="昼",食数記録!$F493="男性GH",食数記録!$D493="臨時喫食"),1,0)</f>
        <v>0</v>
      </c>
      <c r="Q493" s="0" t="str">
        <f aca="false">IF(P493=1,SUM($P$2:P493),"")</f>
        <v/>
      </c>
      <c r="R493" s="0" t="n">
        <f aca="false">IF(AND(食数記録!$A493=プレビュー!$C$3,食数記録!$B493="夕",食数記録!$F493="男性GH",食数記録!$D493="臨時喫食"),1,0)</f>
        <v>0</v>
      </c>
      <c r="S493" s="0" t="str">
        <f aca="false">IF(R493=1,SUM($R$2:R493),"")</f>
        <v/>
      </c>
      <c r="T493" s="0" t="n">
        <f aca="false">IF(AND(食数記録!$A493=プレビュー!$C$3,食数記録!$B493="朝",食数記録!$F493="女性GH",食数記録!$D493="臨時喫食"),1,0)</f>
        <v>0</v>
      </c>
      <c r="U493" s="0" t="str">
        <f aca="false">IF(T493=1,SUM($T$2:T493),"")</f>
        <v/>
      </c>
      <c r="V493" s="0" t="n">
        <f aca="false">IF(AND(食数記録!$A493=プレビュー!$C$3,食数記録!$B493="昼",食数記録!$F493="女性GH",食数記録!$D493="臨時喫食"),1,0)</f>
        <v>0</v>
      </c>
      <c r="W493" s="0" t="str">
        <f aca="false">IF(V493=1,SUM($V$2:V493),"")</f>
        <v/>
      </c>
      <c r="X493" s="0" t="n">
        <f aca="false">IF(AND(食数記録!$A493=プレビュー!$C$3,食数記録!$B493="夕",食数記録!$F493="女性GH",食数記録!$D493="臨時喫食"),1,0)</f>
        <v>0</v>
      </c>
      <c r="Y493" s="0" t="str">
        <f aca="false">IF(X493=1,SUM($X$2:X493),"")</f>
        <v/>
      </c>
    </row>
    <row r="494" customFormat="false" ht="15" hidden="false" customHeight="false" outlineLevel="0" collapsed="false">
      <c r="B494" s="0" t="n">
        <f aca="false">IF(AND(食数記録!$A494=プレビュー!$C$3,食数記録!$B494="朝",食数記録!$F494="男性入所",食数記録!$D494="欠食"),1,0)</f>
        <v>0</v>
      </c>
      <c r="C494" s="0" t="str">
        <f aca="false">IF(B494=1,SUM($B$2:B494),"")</f>
        <v/>
      </c>
      <c r="D494" s="0" t="n">
        <f aca="false">IF(AND(食数記録!$A494=プレビュー!$C$3,食数記録!$B494="昼",食数記録!$F494="男性入所",食数記録!$D494="欠食"),1,0)</f>
        <v>0</v>
      </c>
      <c r="E494" s="0" t="str">
        <f aca="false">IF(D494=1,SUM($D$2:D494),"")</f>
        <v/>
      </c>
      <c r="F494" s="0" t="n">
        <f aca="false">IF(AND(食数記録!$A494=プレビュー!$C$3,食数記録!$B494="夕",食数記録!$F494="男性入所",食数記録!$D494="欠食"),1,0)</f>
        <v>0</v>
      </c>
      <c r="G494" s="0" t="str">
        <f aca="false">IF(F494=1,SUM($F$2:F494),"")</f>
        <v/>
      </c>
      <c r="H494" s="0" t="n">
        <f aca="false">IF(AND(食数記録!$A494=プレビュー!$C$3,食数記録!$B494="朝",食数記録!$F494="女性入所",食数記録!$D494="欠食"),1,0)</f>
        <v>0</v>
      </c>
      <c r="I494" s="0" t="str">
        <f aca="false">IF(H494=1,SUM($H$2:H494),"")</f>
        <v/>
      </c>
      <c r="J494" s="0" t="n">
        <f aca="false">IF(AND(食数記録!$A494=プレビュー!$C$3,食数記録!$B494="昼",食数記録!$F494="女性入所",食数記録!$D494="欠食"),1,0)</f>
        <v>0</v>
      </c>
      <c r="K494" s="0" t="str">
        <f aca="false">IF(J494=1,SUM($J$2:J494),"")</f>
        <v/>
      </c>
      <c r="L494" s="0" t="n">
        <f aca="false">IF(AND(食数記録!$A494=プレビュー!$C$3,食数記録!$B494="夕",食数記録!$F494="女性入所",食数記録!$D494="欠食"),1,0)</f>
        <v>0</v>
      </c>
      <c r="M494" s="0" t="str">
        <f aca="false">IF(L494=1,SUM($L$2:L494),"")</f>
        <v/>
      </c>
      <c r="N494" s="0" t="n">
        <f aca="false">IF(AND(食数記録!$A494=プレビュー!$C$3,食数記録!$B494="朝",食数記録!$F494="男性GH",食数記録!$D494="臨時喫食"),1,0)</f>
        <v>0</v>
      </c>
      <c r="O494" s="0" t="str">
        <f aca="false">IF(N494=1,SUM($N$2:N494),"")</f>
        <v/>
      </c>
      <c r="P494" s="0" t="n">
        <f aca="false">IF(AND(食数記録!$A494=プレビュー!$C$3,食数記録!$B494="昼",食数記録!$F494="男性GH",食数記録!$D494="臨時喫食"),1,0)</f>
        <v>0</v>
      </c>
      <c r="Q494" s="0" t="str">
        <f aca="false">IF(P494=1,SUM($P$2:P494),"")</f>
        <v/>
      </c>
      <c r="R494" s="0" t="n">
        <f aca="false">IF(AND(食数記録!$A494=プレビュー!$C$3,食数記録!$B494="夕",食数記録!$F494="男性GH",食数記録!$D494="臨時喫食"),1,0)</f>
        <v>0</v>
      </c>
      <c r="S494" s="0" t="str">
        <f aca="false">IF(R494=1,SUM($R$2:R494),"")</f>
        <v/>
      </c>
      <c r="T494" s="0" t="n">
        <f aca="false">IF(AND(食数記録!$A494=プレビュー!$C$3,食数記録!$B494="朝",食数記録!$F494="女性GH",食数記録!$D494="臨時喫食"),1,0)</f>
        <v>0</v>
      </c>
      <c r="U494" s="0" t="str">
        <f aca="false">IF(T494=1,SUM($T$2:T494),"")</f>
        <v/>
      </c>
      <c r="V494" s="0" t="n">
        <f aca="false">IF(AND(食数記録!$A494=プレビュー!$C$3,食数記録!$B494="昼",食数記録!$F494="女性GH",食数記録!$D494="臨時喫食"),1,0)</f>
        <v>0</v>
      </c>
      <c r="W494" s="0" t="str">
        <f aca="false">IF(V494=1,SUM($V$2:V494),"")</f>
        <v/>
      </c>
      <c r="X494" s="0" t="n">
        <f aca="false">IF(AND(食数記録!$A494=プレビュー!$C$3,食数記録!$B494="夕",食数記録!$F494="女性GH",食数記録!$D494="臨時喫食"),1,0)</f>
        <v>0</v>
      </c>
      <c r="Y494" s="0" t="str">
        <f aca="false">IF(X494=1,SUM($X$2:X494),"")</f>
        <v/>
      </c>
    </row>
    <row r="495" customFormat="false" ht="15" hidden="false" customHeight="false" outlineLevel="0" collapsed="false">
      <c r="B495" s="0" t="n">
        <f aca="false">IF(AND(食数記録!$A495=プレビュー!$C$3,食数記録!$B495="朝",食数記録!$F495="男性入所",食数記録!$D495="欠食"),1,0)</f>
        <v>0</v>
      </c>
      <c r="C495" s="0" t="str">
        <f aca="false">IF(B495=1,SUM($B$2:B495),"")</f>
        <v/>
      </c>
      <c r="D495" s="0" t="n">
        <f aca="false">IF(AND(食数記録!$A495=プレビュー!$C$3,食数記録!$B495="昼",食数記録!$F495="男性入所",食数記録!$D495="欠食"),1,0)</f>
        <v>0</v>
      </c>
      <c r="E495" s="0" t="str">
        <f aca="false">IF(D495=1,SUM($D$2:D495),"")</f>
        <v/>
      </c>
      <c r="F495" s="0" t="n">
        <f aca="false">IF(AND(食数記録!$A495=プレビュー!$C$3,食数記録!$B495="夕",食数記録!$F495="男性入所",食数記録!$D495="欠食"),1,0)</f>
        <v>0</v>
      </c>
      <c r="G495" s="0" t="str">
        <f aca="false">IF(F495=1,SUM($F$2:F495),"")</f>
        <v/>
      </c>
      <c r="H495" s="0" t="n">
        <f aca="false">IF(AND(食数記録!$A495=プレビュー!$C$3,食数記録!$B495="朝",食数記録!$F495="女性入所",食数記録!$D495="欠食"),1,0)</f>
        <v>0</v>
      </c>
      <c r="I495" s="0" t="str">
        <f aca="false">IF(H495=1,SUM($H$2:H495),"")</f>
        <v/>
      </c>
      <c r="J495" s="0" t="n">
        <f aca="false">IF(AND(食数記録!$A495=プレビュー!$C$3,食数記録!$B495="昼",食数記録!$F495="女性入所",食数記録!$D495="欠食"),1,0)</f>
        <v>0</v>
      </c>
      <c r="K495" s="0" t="str">
        <f aca="false">IF(J495=1,SUM($J$2:J495),"")</f>
        <v/>
      </c>
      <c r="L495" s="0" t="n">
        <f aca="false">IF(AND(食数記録!$A495=プレビュー!$C$3,食数記録!$B495="夕",食数記録!$F495="女性入所",食数記録!$D495="欠食"),1,0)</f>
        <v>0</v>
      </c>
      <c r="M495" s="0" t="str">
        <f aca="false">IF(L495=1,SUM($L$2:L495),"")</f>
        <v/>
      </c>
      <c r="N495" s="0" t="n">
        <f aca="false">IF(AND(食数記録!$A495=プレビュー!$C$3,食数記録!$B495="朝",食数記録!$F495="男性GH",食数記録!$D495="臨時喫食"),1,0)</f>
        <v>0</v>
      </c>
      <c r="O495" s="0" t="str">
        <f aca="false">IF(N495=1,SUM($N$2:N495),"")</f>
        <v/>
      </c>
      <c r="P495" s="0" t="n">
        <f aca="false">IF(AND(食数記録!$A495=プレビュー!$C$3,食数記録!$B495="昼",食数記録!$F495="男性GH",食数記録!$D495="臨時喫食"),1,0)</f>
        <v>0</v>
      </c>
      <c r="Q495" s="0" t="str">
        <f aca="false">IF(P495=1,SUM($P$2:P495),"")</f>
        <v/>
      </c>
      <c r="R495" s="0" t="n">
        <f aca="false">IF(AND(食数記録!$A495=プレビュー!$C$3,食数記録!$B495="夕",食数記録!$F495="男性GH",食数記録!$D495="臨時喫食"),1,0)</f>
        <v>0</v>
      </c>
      <c r="S495" s="0" t="str">
        <f aca="false">IF(R495=1,SUM($R$2:R495),"")</f>
        <v/>
      </c>
      <c r="T495" s="0" t="n">
        <f aca="false">IF(AND(食数記録!$A495=プレビュー!$C$3,食数記録!$B495="朝",食数記録!$F495="女性GH",食数記録!$D495="臨時喫食"),1,0)</f>
        <v>0</v>
      </c>
      <c r="U495" s="0" t="str">
        <f aca="false">IF(T495=1,SUM($T$2:T495),"")</f>
        <v/>
      </c>
      <c r="V495" s="0" t="n">
        <f aca="false">IF(AND(食数記録!$A495=プレビュー!$C$3,食数記録!$B495="昼",食数記録!$F495="女性GH",食数記録!$D495="臨時喫食"),1,0)</f>
        <v>0</v>
      </c>
      <c r="W495" s="0" t="str">
        <f aca="false">IF(V495=1,SUM($V$2:V495),"")</f>
        <v/>
      </c>
      <c r="X495" s="0" t="n">
        <f aca="false">IF(AND(食数記録!$A495=プレビュー!$C$3,食数記録!$B495="夕",食数記録!$F495="女性GH",食数記録!$D495="臨時喫食"),1,0)</f>
        <v>0</v>
      </c>
      <c r="Y495" s="0" t="str">
        <f aca="false">IF(X495=1,SUM($X$2:X495),"")</f>
        <v/>
      </c>
    </row>
    <row r="496" customFormat="false" ht="15" hidden="false" customHeight="false" outlineLevel="0" collapsed="false">
      <c r="B496" s="0" t="n">
        <f aca="false">IF(AND(食数記録!$A496=プレビュー!$C$3,食数記録!$B496="朝",食数記録!$F496="男性入所",食数記録!$D496="欠食"),1,0)</f>
        <v>0</v>
      </c>
      <c r="C496" s="0" t="str">
        <f aca="false">IF(B496=1,SUM($B$2:B496),"")</f>
        <v/>
      </c>
      <c r="D496" s="0" t="n">
        <f aca="false">IF(AND(食数記録!$A496=プレビュー!$C$3,食数記録!$B496="昼",食数記録!$F496="男性入所",食数記録!$D496="欠食"),1,0)</f>
        <v>0</v>
      </c>
      <c r="E496" s="0" t="str">
        <f aca="false">IF(D496=1,SUM($D$2:D496),"")</f>
        <v/>
      </c>
      <c r="F496" s="0" t="n">
        <f aca="false">IF(AND(食数記録!$A496=プレビュー!$C$3,食数記録!$B496="夕",食数記録!$F496="男性入所",食数記録!$D496="欠食"),1,0)</f>
        <v>0</v>
      </c>
      <c r="G496" s="0" t="str">
        <f aca="false">IF(F496=1,SUM($F$2:F496),"")</f>
        <v/>
      </c>
      <c r="H496" s="0" t="n">
        <f aca="false">IF(AND(食数記録!$A496=プレビュー!$C$3,食数記録!$B496="朝",食数記録!$F496="女性入所",食数記録!$D496="欠食"),1,0)</f>
        <v>0</v>
      </c>
      <c r="I496" s="0" t="str">
        <f aca="false">IF(H496=1,SUM($H$2:H496),"")</f>
        <v/>
      </c>
      <c r="J496" s="0" t="n">
        <f aca="false">IF(AND(食数記録!$A496=プレビュー!$C$3,食数記録!$B496="昼",食数記録!$F496="女性入所",食数記録!$D496="欠食"),1,0)</f>
        <v>0</v>
      </c>
      <c r="K496" s="0" t="str">
        <f aca="false">IF(J496=1,SUM($J$2:J496),"")</f>
        <v/>
      </c>
      <c r="L496" s="0" t="n">
        <f aca="false">IF(AND(食数記録!$A496=プレビュー!$C$3,食数記録!$B496="夕",食数記録!$F496="女性入所",食数記録!$D496="欠食"),1,0)</f>
        <v>0</v>
      </c>
      <c r="M496" s="0" t="str">
        <f aca="false">IF(L496=1,SUM($L$2:L496),"")</f>
        <v/>
      </c>
      <c r="N496" s="0" t="n">
        <f aca="false">IF(AND(食数記録!$A496=プレビュー!$C$3,食数記録!$B496="朝",食数記録!$F496="男性GH",食数記録!$D496="臨時喫食"),1,0)</f>
        <v>0</v>
      </c>
      <c r="O496" s="0" t="str">
        <f aca="false">IF(N496=1,SUM($N$2:N496),"")</f>
        <v/>
      </c>
      <c r="P496" s="0" t="n">
        <f aca="false">IF(AND(食数記録!$A496=プレビュー!$C$3,食数記録!$B496="昼",食数記録!$F496="男性GH",食数記録!$D496="臨時喫食"),1,0)</f>
        <v>0</v>
      </c>
      <c r="Q496" s="0" t="str">
        <f aca="false">IF(P496=1,SUM($P$2:P496),"")</f>
        <v/>
      </c>
      <c r="R496" s="0" t="n">
        <f aca="false">IF(AND(食数記録!$A496=プレビュー!$C$3,食数記録!$B496="夕",食数記録!$F496="男性GH",食数記録!$D496="臨時喫食"),1,0)</f>
        <v>0</v>
      </c>
      <c r="S496" s="0" t="str">
        <f aca="false">IF(R496=1,SUM($R$2:R496),"")</f>
        <v/>
      </c>
      <c r="T496" s="0" t="n">
        <f aca="false">IF(AND(食数記録!$A496=プレビュー!$C$3,食数記録!$B496="朝",食数記録!$F496="女性GH",食数記録!$D496="臨時喫食"),1,0)</f>
        <v>0</v>
      </c>
      <c r="U496" s="0" t="str">
        <f aca="false">IF(T496=1,SUM($T$2:T496),"")</f>
        <v/>
      </c>
      <c r="V496" s="0" t="n">
        <f aca="false">IF(AND(食数記録!$A496=プレビュー!$C$3,食数記録!$B496="昼",食数記録!$F496="女性GH",食数記録!$D496="臨時喫食"),1,0)</f>
        <v>0</v>
      </c>
      <c r="W496" s="0" t="str">
        <f aca="false">IF(V496=1,SUM($V$2:V496),"")</f>
        <v/>
      </c>
      <c r="X496" s="0" t="n">
        <f aca="false">IF(AND(食数記録!$A496=プレビュー!$C$3,食数記録!$B496="夕",食数記録!$F496="女性GH",食数記録!$D496="臨時喫食"),1,0)</f>
        <v>0</v>
      </c>
      <c r="Y496" s="0" t="str">
        <f aca="false">IF(X496=1,SUM($X$2:X496),"")</f>
        <v/>
      </c>
    </row>
    <row r="497" customFormat="false" ht="15" hidden="false" customHeight="false" outlineLevel="0" collapsed="false">
      <c r="B497" s="0" t="n">
        <f aca="false">IF(AND(食数記録!$A497=プレビュー!$C$3,食数記録!$B497="朝",食数記録!$F497="男性入所",食数記録!$D497="欠食"),1,0)</f>
        <v>0</v>
      </c>
      <c r="C497" s="0" t="str">
        <f aca="false">IF(B497=1,SUM($B$2:B497),"")</f>
        <v/>
      </c>
      <c r="D497" s="0" t="n">
        <f aca="false">IF(AND(食数記録!$A497=プレビュー!$C$3,食数記録!$B497="昼",食数記録!$F497="男性入所",食数記録!$D497="欠食"),1,0)</f>
        <v>0</v>
      </c>
      <c r="E497" s="0" t="str">
        <f aca="false">IF(D497=1,SUM($D$2:D497),"")</f>
        <v/>
      </c>
      <c r="F497" s="0" t="n">
        <f aca="false">IF(AND(食数記録!$A497=プレビュー!$C$3,食数記録!$B497="夕",食数記録!$F497="男性入所",食数記録!$D497="欠食"),1,0)</f>
        <v>0</v>
      </c>
      <c r="G497" s="0" t="str">
        <f aca="false">IF(F497=1,SUM($F$2:F497),"")</f>
        <v/>
      </c>
      <c r="H497" s="0" t="n">
        <f aca="false">IF(AND(食数記録!$A497=プレビュー!$C$3,食数記録!$B497="朝",食数記録!$F497="女性入所",食数記録!$D497="欠食"),1,0)</f>
        <v>0</v>
      </c>
      <c r="I497" s="0" t="str">
        <f aca="false">IF(H497=1,SUM($H$2:H497),"")</f>
        <v/>
      </c>
      <c r="J497" s="0" t="n">
        <f aca="false">IF(AND(食数記録!$A497=プレビュー!$C$3,食数記録!$B497="昼",食数記録!$F497="女性入所",食数記録!$D497="欠食"),1,0)</f>
        <v>0</v>
      </c>
      <c r="K497" s="0" t="str">
        <f aca="false">IF(J497=1,SUM($J$2:J497),"")</f>
        <v/>
      </c>
      <c r="L497" s="0" t="n">
        <f aca="false">IF(AND(食数記録!$A497=プレビュー!$C$3,食数記録!$B497="夕",食数記録!$F497="女性入所",食数記録!$D497="欠食"),1,0)</f>
        <v>0</v>
      </c>
      <c r="M497" s="0" t="str">
        <f aca="false">IF(L497=1,SUM($L$2:L497),"")</f>
        <v/>
      </c>
      <c r="N497" s="0" t="n">
        <f aca="false">IF(AND(食数記録!$A497=プレビュー!$C$3,食数記録!$B497="朝",食数記録!$F497="男性GH",食数記録!$D497="臨時喫食"),1,0)</f>
        <v>0</v>
      </c>
      <c r="O497" s="0" t="str">
        <f aca="false">IF(N497=1,SUM($N$2:N497),"")</f>
        <v/>
      </c>
      <c r="P497" s="0" t="n">
        <f aca="false">IF(AND(食数記録!$A497=プレビュー!$C$3,食数記録!$B497="昼",食数記録!$F497="男性GH",食数記録!$D497="臨時喫食"),1,0)</f>
        <v>0</v>
      </c>
      <c r="Q497" s="0" t="str">
        <f aca="false">IF(P497=1,SUM($P$2:P497),"")</f>
        <v/>
      </c>
      <c r="R497" s="0" t="n">
        <f aca="false">IF(AND(食数記録!$A497=プレビュー!$C$3,食数記録!$B497="夕",食数記録!$F497="男性GH",食数記録!$D497="臨時喫食"),1,0)</f>
        <v>0</v>
      </c>
      <c r="S497" s="0" t="str">
        <f aca="false">IF(R497=1,SUM($R$2:R497),"")</f>
        <v/>
      </c>
      <c r="T497" s="0" t="n">
        <f aca="false">IF(AND(食数記録!$A497=プレビュー!$C$3,食数記録!$B497="朝",食数記録!$F497="女性GH",食数記録!$D497="臨時喫食"),1,0)</f>
        <v>0</v>
      </c>
      <c r="U497" s="0" t="str">
        <f aca="false">IF(T497=1,SUM($T$2:T497),"")</f>
        <v/>
      </c>
      <c r="V497" s="0" t="n">
        <f aca="false">IF(AND(食数記録!$A497=プレビュー!$C$3,食数記録!$B497="昼",食数記録!$F497="女性GH",食数記録!$D497="臨時喫食"),1,0)</f>
        <v>0</v>
      </c>
      <c r="W497" s="0" t="str">
        <f aca="false">IF(V497=1,SUM($V$2:V497),"")</f>
        <v/>
      </c>
      <c r="X497" s="0" t="n">
        <f aca="false">IF(AND(食数記録!$A497=プレビュー!$C$3,食数記録!$B497="夕",食数記録!$F497="女性GH",食数記録!$D497="臨時喫食"),1,0)</f>
        <v>0</v>
      </c>
      <c r="Y497" s="0" t="str">
        <f aca="false">IF(X497=1,SUM($X$2:X497),"")</f>
        <v/>
      </c>
    </row>
    <row r="498" customFormat="false" ht="15" hidden="false" customHeight="false" outlineLevel="0" collapsed="false">
      <c r="B498" s="0" t="n">
        <f aca="false">IF(AND(食数記録!$A498=プレビュー!$C$3,食数記録!$B498="朝",食数記録!$F498="男性入所",食数記録!$D498="欠食"),1,0)</f>
        <v>0</v>
      </c>
      <c r="C498" s="0" t="str">
        <f aca="false">IF(B498=1,SUM($B$2:B498),"")</f>
        <v/>
      </c>
      <c r="D498" s="0" t="n">
        <f aca="false">IF(AND(食数記録!$A498=プレビュー!$C$3,食数記録!$B498="昼",食数記録!$F498="男性入所",食数記録!$D498="欠食"),1,0)</f>
        <v>0</v>
      </c>
      <c r="E498" s="0" t="str">
        <f aca="false">IF(D498=1,SUM($D$2:D498),"")</f>
        <v/>
      </c>
      <c r="F498" s="0" t="n">
        <f aca="false">IF(AND(食数記録!$A498=プレビュー!$C$3,食数記録!$B498="夕",食数記録!$F498="男性入所",食数記録!$D498="欠食"),1,0)</f>
        <v>0</v>
      </c>
      <c r="G498" s="0" t="str">
        <f aca="false">IF(F498=1,SUM($F$2:F498),"")</f>
        <v/>
      </c>
      <c r="H498" s="0" t="n">
        <f aca="false">IF(AND(食数記録!$A498=プレビュー!$C$3,食数記録!$B498="朝",食数記録!$F498="女性入所",食数記録!$D498="欠食"),1,0)</f>
        <v>0</v>
      </c>
      <c r="I498" s="0" t="str">
        <f aca="false">IF(H498=1,SUM($H$2:H498),"")</f>
        <v/>
      </c>
      <c r="J498" s="0" t="n">
        <f aca="false">IF(AND(食数記録!$A498=プレビュー!$C$3,食数記録!$B498="昼",食数記録!$F498="女性入所",食数記録!$D498="欠食"),1,0)</f>
        <v>0</v>
      </c>
      <c r="K498" s="0" t="str">
        <f aca="false">IF(J498=1,SUM($J$2:J498),"")</f>
        <v/>
      </c>
      <c r="L498" s="0" t="n">
        <f aca="false">IF(AND(食数記録!$A498=プレビュー!$C$3,食数記録!$B498="夕",食数記録!$F498="女性入所",食数記録!$D498="欠食"),1,0)</f>
        <v>0</v>
      </c>
      <c r="M498" s="0" t="str">
        <f aca="false">IF(L498=1,SUM($L$2:L498),"")</f>
        <v/>
      </c>
      <c r="N498" s="0" t="n">
        <f aca="false">IF(AND(食数記録!$A498=プレビュー!$C$3,食数記録!$B498="朝",食数記録!$F498="男性GH",食数記録!$D498="臨時喫食"),1,0)</f>
        <v>0</v>
      </c>
      <c r="O498" s="0" t="str">
        <f aca="false">IF(N498=1,SUM($N$2:N498),"")</f>
        <v/>
      </c>
      <c r="P498" s="0" t="n">
        <f aca="false">IF(AND(食数記録!$A498=プレビュー!$C$3,食数記録!$B498="昼",食数記録!$F498="男性GH",食数記録!$D498="臨時喫食"),1,0)</f>
        <v>0</v>
      </c>
      <c r="Q498" s="0" t="str">
        <f aca="false">IF(P498=1,SUM($P$2:P498),"")</f>
        <v/>
      </c>
      <c r="R498" s="0" t="n">
        <f aca="false">IF(AND(食数記録!$A498=プレビュー!$C$3,食数記録!$B498="夕",食数記録!$F498="男性GH",食数記録!$D498="臨時喫食"),1,0)</f>
        <v>0</v>
      </c>
      <c r="S498" s="0" t="str">
        <f aca="false">IF(R498=1,SUM($R$2:R498),"")</f>
        <v/>
      </c>
      <c r="T498" s="0" t="n">
        <f aca="false">IF(AND(食数記録!$A498=プレビュー!$C$3,食数記録!$B498="朝",食数記録!$F498="女性GH",食数記録!$D498="臨時喫食"),1,0)</f>
        <v>0</v>
      </c>
      <c r="U498" s="0" t="str">
        <f aca="false">IF(T498=1,SUM($T$2:T498),"")</f>
        <v/>
      </c>
      <c r="V498" s="0" t="n">
        <f aca="false">IF(AND(食数記録!$A498=プレビュー!$C$3,食数記録!$B498="昼",食数記録!$F498="女性GH",食数記録!$D498="臨時喫食"),1,0)</f>
        <v>0</v>
      </c>
      <c r="W498" s="0" t="str">
        <f aca="false">IF(V498=1,SUM($V$2:V498),"")</f>
        <v/>
      </c>
      <c r="X498" s="0" t="n">
        <f aca="false">IF(AND(食数記録!$A498=プレビュー!$C$3,食数記録!$B498="夕",食数記録!$F498="女性GH",食数記録!$D498="臨時喫食"),1,0)</f>
        <v>0</v>
      </c>
      <c r="Y498" s="0" t="str">
        <f aca="false">IF(X498=1,SUM($X$2:X498),"")</f>
        <v/>
      </c>
    </row>
    <row r="499" customFormat="false" ht="15" hidden="false" customHeight="false" outlineLevel="0" collapsed="false">
      <c r="B499" s="0" t="n">
        <f aca="false">IF(AND(食数記録!$A499=プレビュー!$C$3,食数記録!$B499="朝",食数記録!$F499="男性入所",食数記録!$D499="欠食"),1,0)</f>
        <v>0</v>
      </c>
      <c r="C499" s="0" t="str">
        <f aca="false">IF(B499=1,SUM($B$2:B499),"")</f>
        <v/>
      </c>
      <c r="D499" s="0" t="n">
        <f aca="false">IF(AND(食数記録!$A499=プレビュー!$C$3,食数記録!$B499="昼",食数記録!$F499="男性入所",食数記録!$D499="欠食"),1,0)</f>
        <v>0</v>
      </c>
      <c r="E499" s="0" t="str">
        <f aca="false">IF(D499=1,SUM($D$2:D499),"")</f>
        <v/>
      </c>
      <c r="F499" s="0" t="n">
        <f aca="false">IF(AND(食数記録!$A499=プレビュー!$C$3,食数記録!$B499="夕",食数記録!$F499="男性入所",食数記録!$D499="欠食"),1,0)</f>
        <v>0</v>
      </c>
      <c r="G499" s="0" t="str">
        <f aca="false">IF(F499=1,SUM($F$2:F499),"")</f>
        <v/>
      </c>
      <c r="H499" s="0" t="n">
        <f aca="false">IF(AND(食数記録!$A499=プレビュー!$C$3,食数記録!$B499="朝",食数記録!$F499="女性入所",食数記録!$D499="欠食"),1,0)</f>
        <v>0</v>
      </c>
      <c r="I499" s="0" t="str">
        <f aca="false">IF(H499=1,SUM($H$2:H499),"")</f>
        <v/>
      </c>
      <c r="J499" s="0" t="n">
        <f aca="false">IF(AND(食数記録!$A499=プレビュー!$C$3,食数記録!$B499="昼",食数記録!$F499="女性入所",食数記録!$D499="欠食"),1,0)</f>
        <v>0</v>
      </c>
      <c r="K499" s="0" t="str">
        <f aca="false">IF(J499=1,SUM($J$2:J499),"")</f>
        <v/>
      </c>
      <c r="L499" s="0" t="n">
        <f aca="false">IF(AND(食数記録!$A499=プレビュー!$C$3,食数記録!$B499="夕",食数記録!$F499="女性入所",食数記録!$D499="欠食"),1,0)</f>
        <v>0</v>
      </c>
      <c r="M499" s="0" t="str">
        <f aca="false">IF(L499=1,SUM($L$2:L499),"")</f>
        <v/>
      </c>
      <c r="N499" s="0" t="n">
        <f aca="false">IF(AND(食数記録!$A499=プレビュー!$C$3,食数記録!$B499="朝",食数記録!$F499="男性GH",食数記録!$D499="臨時喫食"),1,0)</f>
        <v>0</v>
      </c>
      <c r="O499" s="0" t="str">
        <f aca="false">IF(N499=1,SUM($N$2:N499),"")</f>
        <v/>
      </c>
      <c r="P499" s="0" t="n">
        <f aca="false">IF(AND(食数記録!$A499=プレビュー!$C$3,食数記録!$B499="昼",食数記録!$F499="男性GH",食数記録!$D499="臨時喫食"),1,0)</f>
        <v>0</v>
      </c>
      <c r="Q499" s="0" t="str">
        <f aca="false">IF(P499=1,SUM($P$2:P499),"")</f>
        <v/>
      </c>
      <c r="R499" s="0" t="n">
        <f aca="false">IF(AND(食数記録!$A499=プレビュー!$C$3,食数記録!$B499="夕",食数記録!$F499="男性GH",食数記録!$D499="臨時喫食"),1,0)</f>
        <v>0</v>
      </c>
      <c r="S499" s="0" t="str">
        <f aca="false">IF(R499=1,SUM($R$2:R499),"")</f>
        <v/>
      </c>
      <c r="T499" s="0" t="n">
        <f aca="false">IF(AND(食数記録!$A499=プレビュー!$C$3,食数記録!$B499="朝",食数記録!$F499="女性GH",食数記録!$D499="臨時喫食"),1,0)</f>
        <v>0</v>
      </c>
      <c r="U499" s="0" t="str">
        <f aca="false">IF(T499=1,SUM($T$2:T499),"")</f>
        <v/>
      </c>
      <c r="V499" s="0" t="n">
        <f aca="false">IF(AND(食数記録!$A499=プレビュー!$C$3,食数記録!$B499="昼",食数記録!$F499="女性GH",食数記録!$D499="臨時喫食"),1,0)</f>
        <v>0</v>
      </c>
      <c r="W499" s="0" t="str">
        <f aca="false">IF(V499=1,SUM($V$2:V499),"")</f>
        <v/>
      </c>
      <c r="X499" s="0" t="n">
        <f aca="false">IF(AND(食数記録!$A499=プレビュー!$C$3,食数記録!$B499="夕",食数記録!$F499="女性GH",食数記録!$D499="臨時喫食"),1,0)</f>
        <v>0</v>
      </c>
      <c r="Y499" s="0" t="str">
        <f aca="false">IF(X499=1,SUM($X$2:X499),"")</f>
        <v/>
      </c>
    </row>
    <row r="500" customFormat="false" ht="15" hidden="false" customHeight="false" outlineLevel="0" collapsed="false">
      <c r="B500" s="0" t="n">
        <f aca="false">IF(AND(食数記録!$A500=プレビュー!$C$3,食数記録!$B500="朝",食数記録!$F500="男性入所",食数記録!$D500="欠食"),1,0)</f>
        <v>0</v>
      </c>
      <c r="C500" s="0" t="str">
        <f aca="false">IF(B500=1,SUM($B$2:B500),"")</f>
        <v/>
      </c>
      <c r="D500" s="0" t="n">
        <f aca="false">IF(AND(食数記録!$A500=プレビュー!$C$3,食数記録!$B500="昼",食数記録!$F500="男性入所",食数記録!$D500="欠食"),1,0)</f>
        <v>0</v>
      </c>
      <c r="E500" s="0" t="str">
        <f aca="false">IF(D500=1,SUM($D$2:D500),"")</f>
        <v/>
      </c>
      <c r="F500" s="0" t="n">
        <f aca="false">IF(AND(食数記録!$A500=プレビュー!$C$3,食数記録!$B500="夕",食数記録!$F500="男性入所",食数記録!$D500="欠食"),1,0)</f>
        <v>0</v>
      </c>
      <c r="G500" s="0" t="str">
        <f aca="false">IF(F500=1,SUM($F$2:F500),"")</f>
        <v/>
      </c>
      <c r="H500" s="0" t="n">
        <f aca="false">IF(AND(食数記録!$A500=プレビュー!$C$3,食数記録!$B500="朝",食数記録!$F500="女性入所",食数記録!$D500="欠食"),1,0)</f>
        <v>0</v>
      </c>
      <c r="I500" s="0" t="str">
        <f aca="false">IF(H500=1,SUM($H$2:H500),"")</f>
        <v/>
      </c>
      <c r="J500" s="0" t="n">
        <f aca="false">IF(AND(食数記録!$A500=プレビュー!$C$3,食数記録!$B500="昼",食数記録!$F500="女性入所",食数記録!$D500="欠食"),1,0)</f>
        <v>0</v>
      </c>
      <c r="K500" s="0" t="str">
        <f aca="false">IF(J500=1,SUM($J$2:J500),"")</f>
        <v/>
      </c>
      <c r="L500" s="0" t="n">
        <f aca="false">IF(AND(食数記録!$A500=プレビュー!$C$3,食数記録!$B500="夕",食数記録!$F500="女性入所",食数記録!$D500="欠食"),1,0)</f>
        <v>0</v>
      </c>
      <c r="M500" s="0" t="str">
        <f aca="false">IF(L500=1,SUM($L$2:L500),"")</f>
        <v/>
      </c>
      <c r="N500" s="0" t="n">
        <f aca="false">IF(AND(食数記録!$A500=プレビュー!$C$3,食数記録!$B500="朝",食数記録!$F500="男性GH",食数記録!$D500="臨時喫食"),1,0)</f>
        <v>0</v>
      </c>
      <c r="O500" s="0" t="str">
        <f aca="false">IF(N500=1,SUM($N$2:N500),"")</f>
        <v/>
      </c>
      <c r="P500" s="0" t="n">
        <f aca="false">IF(AND(食数記録!$A500=プレビュー!$C$3,食数記録!$B500="昼",食数記録!$F500="男性GH",食数記録!$D500="臨時喫食"),1,0)</f>
        <v>0</v>
      </c>
      <c r="Q500" s="0" t="str">
        <f aca="false">IF(P500=1,SUM($P$2:P500),"")</f>
        <v/>
      </c>
      <c r="R500" s="0" t="n">
        <f aca="false">IF(AND(食数記録!$A500=プレビュー!$C$3,食数記録!$B500="夕",食数記録!$F500="男性GH",食数記録!$D500="臨時喫食"),1,0)</f>
        <v>0</v>
      </c>
      <c r="S500" s="0" t="str">
        <f aca="false">IF(R500=1,SUM($R$2:R500),"")</f>
        <v/>
      </c>
      <c r="T500" s="0" t="n">
        <f aca="false">IF(AND(食数記録!$A500=プレビュー!$C$3,食数記録!$B500="朝",食数記録!$F500="女性GH",食数記録!$D500="臨時喫食"),1,0)</f>
        <v>0</v>
      </c>
      <c r="U500" s="0" t="str">
        <f aca="false">IF(T500=1,SUM($T$2:T500),"")</f>
        <v/>
      </c>
      <c r="V500" s="0" t="n">
        <f aca="false">IF(AND(食数記録!$A500=プレビュー!$C$3,食数記録!$B500="昼",食数記録!$F500="女性GH",食数記録!$D500="臨時喫食"),1,0)</f>
        <v>0</v>
      </c>
      <c r="W500" s="0" t="str">
        <f aca="false">IF(V500=1,SUM($V$2:V500),"")</f>
        <v/>
      </c>
      <c r="X500" s="0" t="n">
        <f aca="false">IF(AND(食数記録!$A500=プレビュー!$C$3,食数記録!$B500="夕",食数記録!$F500="女性GH",食数記録!$D500="臨時喫食"),1,0)</f>
        <v>0</v>
      </c>
      <c r="Y500" s="0" t="str">
        <f aca="false">IF(X500=1,SUM($X$2:X500),"")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2026-08-13T06:18:32Z</dcterms:created>
  <dc:creator>openpyxl</dc:creator>
  <dc:description/>
  <dc:language>en-US</dc:language>
  <cp:lastModifiedBy/>
  <dcterms:modified xsi:type="dcterms:W3CDTF">2026-08-13T06:18:32Z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